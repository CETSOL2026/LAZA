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son.sfchimoco\Desktop\Contas Nacionais\PIB Trimestral\I Trimestre 2026\"/>
    </mc:Choice>
  </mc:AlternateContent>
  <xr:revisionPtr revIDLastSave="0" documentId="8_{72B0E277-F67F-4258-BE21-C24F269FFBBC}" xr6:coauthVersionLast="47" xr6:coauthVersionMax="47" xr10:uidLastSave="{00000000-0000-0000-0000-000000000000}"/>
  <bookViews>
    <workbookView xWindow="1170" yWindow="1170" windowWidth="23400" windowHeight="20010" xr2:uid="{00000000-000D-0000-FFFF-FFFF00000000}"/>
  </bookViews>
  <sheets>
    <sheet name="Índice" sheetId="36" r:id="rId1"/>
    <sheet name="Q1" sheetId="33" r:id="rId2"/>
    <sheet name="Q2" sheetId="20" r:id="rId3"/>
    <sheet name="Q3" sheetId="21" r:id="rId4"/>
    <sheet name="Q4" sheetId="22" r:id="rId5"/>
    <sheet name="Q5" sheetId="23" r:id="rId6"/>
    <sheet name="Q6" sheetId="24" r:id="rId7"/>
    <sheet name="Q7" sheetId="25" r:id="rId8"/>
    <sheet name="Q8" sheetId="26" r:id="rId9"/>
    <sheet name="Q9" sheetId="27" r:id="rId10"/>
    <sheet name="Q10" sheetId="28" r:id="rId11"/>
    <sheet name="Q11" sheetId="29" r:id="rId12"/>
    <sheet name="Q12" sheetId="16" r:id="rId13"/>
    <sheet name="Q13" sheetId="18" r:id="rId14"/>
    <sheet name="Q14" sheetId="19" r:id="rId15"/>
    <sheet name="Q15" sheetId="34" r:id="rId16"/>
  </sheets>
  <definedNames>
    <definedName name="_xlnm.Print_Area" localSheetId="1">'Q1'!$C$1:$O$123</definedName>
    <definedName name="_xlnm.Print_Area" localSheetId="10">'Q10'!$C$1:$U$121</definedName>
    <definedName name="_xlnm.Print_Area" localSheetId="11">'Q11'!$C$1:$U$121</definedName>
    <definedName name="_xlnm.Print_Area" localSheetId="12">'Q12'!$C$1:$U$122</definedName>
    <definedName name="_xlnm.Print_Area" localSheetId="13">'Q13'!$C$1:$U$122</definedName>
    <definedName name="_xlnm.Print_Area" localSheetId="14">'Q14'!$C$1:$U$122</definedName>
    <definedName name="_xlnm.Print_Area" localSheetId="15">'Q15'!$C$1:$AA$123</definedName>
    <definedName name="_xlnm.Print_Area" localSheetId="2">'Q2'!$C$1:$U$98</definedName>
    <definedName name="_xlnm.Print_Area" localSheetId="3">'Q3'!$C$1:$U$98</definedName>
    <definedName name="_xlnm.Print_Area" localSheetId="4">'Q4'!$C$1:$U$98</definedName>
    <definedName name="_xlnm.Print_Area" localSheetId="5">'Q5'!$C$1:$U$122</definedName>
    <definedName name="_xlnm.Print_Area" localSheetId="6">'Q6'!$C$1:$U$121</definedName>
    <definedName name="_xlnm.Print_Area" localSheetId="7">'Q7'!$C$1:$U$99</definedName>
    <definedName name="_xlnm.Print_Area" localSheetId="8">'Q8'!$C$1:$U$122</definedName>
    <definedName name="_xlnm.Print_Area" localSheetId="9">'Q9'!$C$1:$U$121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3" i="27" l="1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G113" i="27"/>
  <c r="F113" i="27"/>
  <c r="E113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U92" i="27"/>
  <c r="T92" i="27"/>
  <c r="S92" i="27"/>
  <c r="R92" i="27"/>
  <c r="Q92" i="27"/>
  <c r="P92" i="27"/>
  <c r="O92" i="27"/>
  <c r="N92" i="27"/>
  <c r="M92" i="27"/>
  <c r="L92" i="27"/>
  <c r="K92" i="27"/>
  <c r="J92" i="27"/>
  <c r="I92" i="27"/>
  <c r="H92" i="27"/>
  <c r="G92" i="27"/>
  <c r="F92" i="27"/>
  <c r="E92" i="27"/>
  <c r="U91" i="27"/>
  <c r="T91" i="27"/>
  <c r="S91" i="27"/>
  <c r="R91" i="27"/>
  <c r="Q91" i="27"/>
  <c r="P91" i="27"/>
  <c r="O91" i="27"/>
  <c r="N91" i="27"/>
  <c r="M91" i="27"/>
  <c r="L91" i="27"/>
  <c r="K91" i="27"/>
  <c r="J91" i="27"/>
  <c r="I91" i="27"/>
  <c r="H91" i="27"/>
  <c r="G91" i="27"/>
  <c r="F91" i="27"/>
  <c r="E91" i="27"/>
  <c r="U90" i="27"/>
  <c r="T90" i="27"/>
  <c r="S90" i="27"/>
  <c r="R90" i="27"/>
  <c r="Q90" i="27"/>
  <c r="P90" i="27"/>
  <c r="O90" i="27"/>
  <c r="N90" i="27"/>
  <c r="M90" i="27"/>
  <c r="L90" i="27"/>
  <c r="K90" i="27"/>
  <c r="J90" i="27"/>
  <c r="I90" i="27"/>
  <c r="H90" i="27"/>
  <c r="G90" i="27"/>
  <c r="F90" i="27"/>
  <c r="E90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U81" i="27"/>
  <c r="T81" i="27"/>
  <c r="S81" i="27"/>
  <c r="R81" i="27"/>
  <c r="Q81" i="27"/>
  <c r="P81" i="27"/>
  <c r="O81" i="27"/>
  <c r="N81" i="27"/>
  <c r="M81" i="27"/>
  <c r="L81" i="27"/>
  <c r="K81" i="27"/>
  <c r="J81" i="27"/>
  <c r="I81" i="27"/>
  <c r="H81" i="27"/>
  <c r="G81" i="27"/>
  <c r="F81" i="27"/>
  <c r="E81" i="27"/>
  <c r="U80" i="27"/>
  <c r="T80" i="27"/>
  <c r="S80" i="27"/>
  <c r="R80" i="27"/>
  <c r="Q80" i="27"/>
  <c r="P80" i="27"/>
  <c r="O80" i="27"/>
  <c r="N80" i="27"/>
  <c r="M80" i="27"/>
  <c r="L80" i="27"/>
  <c r="K80" i="27"/>
  <c r="J80" i="27"/>
  <c r="I80" i="27"/>
  <c r="H80" i="27"/>
  <c r="G80" i="27"/>
  <c r="F80" i="27"/>
  <c r="E80" i="27"/>
  <c r="U79" i="27"/>
  <c r="T79" i="27"/>
  <c r="S79" i="27"/>
  <c r="R79" i="27"/>
  <c r="Q79" i="27"/>
  <c r="P79" i="27"/>
  <c r="O79" i="27"/>
  <c r="N79" i="27"/>
  <c r="M79" i="27"/>
  <c r="L79" i="27"/>
  <c r="K79" i="27"/>
  <c r="J79" i="27"/>
  <c r="I79" i="27"/>
  <c r="H79" i="27"/>
  <c r="G79" i="27"/>
  <c r="F79" i="27"/>
  <c r="E79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U70" i="27"/>
  <c r="T70" i="27"/>
  <c r="S70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E70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U68" i="27"/>
  <c r="T68" i="27"/>
  <c r="S68" i="27"/>
  <c r="R68" i="27"/>
  <c r="Q68" i="27"/>
  <c r="P68" i="27"/>
  <c r="O68" i="27"/>
  <c r="N68" i="27"/>
  <c r="M68" i="27"/>
  <c r="L68" i="27"/>
  <c r="K68" i="27"/>
  <c r="J68" i="27"/>
  <c r="I68" i="27"/>
  <c r="H68" i="27"/>
  <c r="G68" i="27"/>
  <c r="F68" i="27"/>
  <c r="E68" i="27"/>
  <c r="R67" i="27"/>
  <c r="Q67" i="27"/>
  <c r="P67" i="27"/>
  <c r="O67" i="27"/>
  <c r="N67" i="27"/>
  <c r="M67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U59" i="27"/>
  <c r="T59" i="27"/>
  <c r="S59" i="27"/>
  <c r="R59" i="27"/>
  <c r="Q59" i="27"/>
  <c r="P59" i="27"/>
  <c r="O59" i="27"/>
  <c r="N59" i="27"/>
  <c r="M59" i="27"/>
  <c r="L59" i="27"/>
  <c r="K59" i="27"/>
  <c r="J59" i="27"/>
  <c r="I59" i="27"/>
  <c r="H59" i="27"/>
  <c r="G59" i="27"/>
  <c r="F59" i="27"/>
  <c r="E59" i="27"/>
  <c r="U58" i="27"/>
  <c r="T58" i="27"/>
  <c r="S58" i="27"/>
  <c r="R58" i="27"/>
  <c r="Q58" i="27"/>
  <c r="P58" i="27"/>
  <c r="O58" i="27"/>
  <c r="N58" i="27"/>
  <c r="M58" i="27"/>
  <c r="L58" i="27"/>
  <c r="K58" i="27"/>
  <c r="J58" i="27"/>
  <c r="I58" i="27"/>
  <c r="H58" i="27"/>
  <c r="G58" i="27"/>
  <c r="F58" i="27"/>
  <c r="E58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U52" i="27"/>
  <c r="T52" i="27"/>
  <c r="S52" i="27"/>
  <c r="R52" i="27"/>
  <c r="Q52" i="27"/>
  <c r="P52" i="27"/>
  <c r="O52" i="27"/>
  <c r="N52" i="27"/>
  <c r="M52" i="27"/>
  <c r="L52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H47" i="27"/>
  <c r="G47" i="27"/>
  <c r="F47" i="27"/>
  <c r="E47" i="27"/>
  <c r="U46" i="27"/>
  <c r="T46" i="27"/>
  <c r="S46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E46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L37" i="27"/>
  <c r="K37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U27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T22" i="27"/>
  <c r="S22" i="27"/>
  <c r="R22" i="27"/>
  <c r="Q22" i="27"/>
  <c r="P22" i="27"/>
  <c r="O22" i="27"/>
  <c r="N22" i="27"/>
  <c r="M22" i="27"/>
  <c r="L22" i="27"/>
  <c r="K22" i="27"/>
  <c r="J22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F17" i="27"/>
  <c r="E17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U12" i="27"/>
  <c r="T12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J7" i="27"/>
  <c r="I7" i="27"/>
  <c r="D117" i="27"/>
  <c r="D107" i="27"/>
  <c r="D92" i="27"/>
  <c r="D82" i="27"/>
  <c r="D67" i="27"/>
  <c r="U63" i="26"/>
  <c r="U62" i="27" s="1"/>
  <c r="T63" i="26"/>
  <c r="T62" i="27" s="1"/>
  <c r="S63" i="26"/>
  <c r="S62" i="27" s="1"/>
  <c r="R63" i="26"/>
  <c r="Q63" i="26"/>
  <c r="P63" i="26"/>
  <c r="O63" i="26"/>
  <c r="N63" i="26"/>
  <c r="M63" i="26"/>
  <c r="L63" i="26"/>
  <c r="L67" i="27" s="1"/>
  <c r="K63" i="26"/>
  <c r="K67" i="27" s="1"/>
  <c r="J63" i="26"/>
  <c r="J67" i="27" s="1"/>
  <c r="I63" i="26"/>
  <c r="I67" i="27" s="1"/>
  <c r="H63" i="26"/>
  <c r="H67" i="27" s="1"/>
  <c r="G63" i="26"/>
  <c r="G67" i="27" s="1"/>
  <c r="F63" i="26"/>
  <c r="F67" i="27" s="1"/>
  <c r="E63" i="26"/>
  <c r="E67" i="27" s="1"/>
  <c r="D63" i="26"/>
  <c r="D62" i="27" s="1"/>
  <c r="U58" i="26"/>
  <c r="U57" i="27" s="1"/>
  <c r="T58" i="26"/>
  <c r="T57" i="27" s="1"/>
  <c r="S58" i="26"/>
  <c r="S57" i="27" s="1"/>
  <c r="R58" i="26"/>
  <c r="R57" i="27" s="1"/>
  <c r="Q58" i="26"/>
  <c r="Q57" i="27" s="1"/>
  <c r="P58" i="26"/>
  <c r="P62" i="27" s="1"/>
  <c r="O58" i="26"/>
  <c r="O62" i="27" s="1"/>
  <c r="N58" i="26"/>
  <c r="N62" i="27" s="1"/>
  <c r="M58" i="26"/>
  <c r="M57" i="27" s="1"/>
  <c r="L58" i="26"/>
  <c r="L57" i="27" s="1"/>
  <c r="K58" i="26"/>
  <c r="K57" i="27" s="1"/>
  <c r="J58" i="26"/>
  <c r="J62" i="27" s="1"/>
  <c r="I58" i="26"/>
  <c r="I57" i="27" s="1"/>
  <c r="H58" i="26"/>
  <c r="H57" i="27" s="1"/>
  <c r="G58" i="26"/>
  <c r="G62" i="27" s="1"/>
  <c r="F58" i="26"/>
  <c r="F57" i="27" s="1"/>
  <c r="E58" i="26"/>
  <c r="E57" i="27" s="1"/>
  <c r="D58" i="26"/>
  <c r="U53" i="26"/>
  <c r="T53" i="26"/>
  <c r="S53" i="26"/>
  <c r="R53" i="26"/>
  <c r="Q53" i="26"/>
  <c r="P53" i="26"/>
  <c r="O53" i="26"/>
  <c r="N53" i="26"/>
  <c r="M53" i="26"/>
  <c r="L53" i="26"/>
  <c r="K53" i="26"/>
  <c r="K52" i="27" s="1"/>
  <c r="J53" i="26"/>
  <c r="J52" i="27" s="1"/>
  <c r="I53" i="26"/>
  <c r="I52" i="27" s="1"/>
  <c r="H53" i="26"/>
  <c r="H52" i="27" s="1"/>
  <c r="G53" i="26"/>
  <c r="G52" i="27" s="1"/>
  <c r="F53" i="26"/>
  <c r="F52" i="27" s="1"/>
  <c r="E53" i="26"/>
  <c r="E52" i="27" s="1"/>
  <c r="D53" i="26"/>
  <c r="D52" i="27" s="1"/>
  <c r="U48" i="26"/>
  <c r="U47" i="27" s="1"/>
  <c r="T48" i="26"/>
  <c r="T47" i="27" s="1"/>
  <c r="S48" i="26"/>
  <c r="S47" i="27" s="1"/>
  <c r="R48" i="26"/>
  <c r="R47" i="27" s="1"/>
  <c r="Q48" i="26"/>
  <c r="Q47" i="27" s="1"/>
  <c r="P48" i="26"/>
  <c r="P47" i="27" s="1"/>
  <c r="O48" i="26"/>
  <c r="O47" i="27" s="1"/>
  <c r="N48" i="26"/>
  <c r="N47" i="27" s="1"/>
  <c r="M48" i="26"/>
  <c r="M47" i="27" s="1"/>
  <c r="L48" i="26"/>
  <c r="L47" i="27" s="1"/>
  <c r="K48" i="26"/>
  <c r="K47" i="27" s="1"/>
  <c r="J48" i="26"/>
  <c r="J47" i="27" s="1"/>
  <c r="I48" i="26"/>
  <c r="I47" i="27" s="1"/>
  <c r="H48" i="26"/>
  <c r="G48" i="26"/>
  <c r="F48" i="26"/>
  <c r="E48" i="26"/>
  <c r="D48" i="26"/>
  <c r="U43" i="26"/>
  <c r="U42" i="27" s="1"/>
  <c r="T43" i="26"/>
  <c r="T42" i="27" s="1"/>
  <c r="S43" i="26"/>
  <c r="R43" i="26"/>
  <c r="R42" i="27" s="1"/>
  <c r="Q43" i="26"/>
  <c r="Q42" i="27" s="1"/>
  <c r="P43" i="26"/>
  <c r="P42" i="27" s="1"/>
  <c r="O43" i="26"/>
  <c r="O42" i="27" s="1"/>
  <c r="N43" i="26"/>
  <c r="N42" i="27" s="1"/>
  <c r="M43" i="26"/>
  <c r="M42" i="27" s="1"/>
  <c r="L43" i="26"/>
  <c r="L42" i="27" s="1"/>
  <c r="K43" i="26"/>
  <c r="K42" i="27" s="1"/>
  <c r="J43" i="26"/>
  <c r="J42" i="27" s="1"/>
  <c r="I43" i="26"/>
  <c r="I42" i="27" s="1"/>
  <c r="H43" i="26"/>
  <c r="H42" i="27" s="1"/>
  <c r="G43" i="26"/>
  <c r="G42" i="27" s="1"/>
  <c r="F43" i="26"/>
  <c r="F42" i="27" s="1"/>
  <c r="E43" i="26"/>
  <c r="E42" i="27" s="1"/>
  <c r="D43" i="26"/>
  <c r="D42" i="27" s="1"/>
  <c r="U38" i="26"/>
  <c r="U37" i="27" s="1"/>
  <c r="T38" i="26"/>
  <c r="T37" i="27" s="1"/>
  <c r="S38" i="26"/>
  <c r="S42" i="27" s="1"/>
  <c r="R38" i="26"/>
  <c r="R37" i="27" s="1"/>
  <c r="Q38" i="26"/>
  <c r="Q37" i="27" s="1"/>
  <c r="P38" i="26"/>
  <c r="P37" i="27" s="1"/>
  <c r="O38" i="26"/>
  <c r="O37" i="27" s="1"/>
  <c r="N38" i="26"/>
  <c r="N37" i="27" s="1"/>
  <c r="M38" i="26"/>
  <c r="M37" i="27" s="1"/>
  <c r="L38" i="26"/>
  <c r="K38" i="26"/>
  <c r="J38" i="26"/>
  <c r="J37" i="27" s="1"/>
  <c r="I38" i="26"/>
  <c r="I37" i="27" s="1"/>
  <c r="H38" i="26"/>
  <c r="G38" i="26"/>
  <c r="G37" i="27" s="1"/>
  <c r="F38" i="26"/>
  <c r="F37" i="27" s="1"/>
  <c r="E38" i="26"/>
  <c r="E37" i="27" s="1"/>
  <c r="D38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H37" i="27" s="1"/>
  <c r="G33" i="26"/>
  <c r="F33" i="26"/>
  <c r="E33" i="26"/>
  <c r="D33" i="26"/>
  <c r="D32" i="27" s="1"/>
  <c r="U28" i="26"/>
  <c r="U32" i="27" s="1"/>
  <c r="T28" i="26"/>
  <c r="T27" i="27" s="1"/>
  <c r="S28" i="26"/>
  <c r="S27" i="27" s="1"/>
  <c r="R28" i="26"/>
  <c r="R27" i="27" s="1"/>
  <c r="Q28" i="26"/>
  <c r="Q27" i="27" s="1"/>
  <c r="P28" i="26"/>
  <c r="P27" i="27" s="1"/>
  <c r="O28" i="26"/>
  <c r="O27" i="27" s="1"/>
  <c r="N28" i="26"/>
  <c r="N27" i="27" s="1"/>
  <c r="M28" i="26"/>
  <c r="L28" i="26"/>
  <c r="K28" i="26"/>
  <c r="J28" i="26"/>
  <c r="I28" i="26"/>
  <c r="H28" i="26"/>
  <c r="G28" i="26"/>
  <c r="F28" i="26"/>
  <c r="E28" i="26"/>
  <c r="D28" i="26"/>
  <c r="U23" i="26"/>
  <c r="T23" i="26"/>
  <c r="S23" i="26"/>
  <c r="R23" i="26"/>
  <c r="Q23" i="26"/>
  <c r="P23" i="26"/>
  <c r="O23" i="26"/>
  <c r="N23" i="26"/>
  <c r="M23" i="26"/>
  <c r="M27" i="27" s="1"/>
  <c r="L23" i="26"/>
  <c r="L27" i="27" s="1"/>
  <c r="K23" i="26"/>
  <c r="K27" i="27" s="1"/>
  <c r="J23" i="26"/>
  <c r="J27" i="27" s="1"/>
  <c r="I23" i="26"/>
  <c r="I22" i="27" s="1"/>
  <c r="H23" i="26"/>
  <c r="H22" i="27" s="1"/>
  <c r="G23" i="26"/>
  <c r="G22" i="27" s="1"/>
  <c r="F23" i="26"/>
  <c r="F27" i="27" s="1"/>
  <c r="E23" i="26"/>
  <c r="E27" i="27" s="1"/>
  <c r="D23" i="26"/>
  <c r="D22" i="27" s="1"/>
  <c r="U18" i="26"/>
  <c r="U17" i="27" s="1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D17" i="27" s="1"/>
  <c r="U13" i="26"/>
  <c r="T13" i="26"/>
  <c r="T17" i="27" s="1"/>
  <c r="S13" i="26"/>
  <c r="S12" i="27" s="1"/>
  <c r="R13" i="26"/>
  <c r="R12" i="27" s="1"/>
  <c r="Q13" i="26"/>
  <c r="Q12" i="27" s="1"/>
  <c r="P13" i="26"/>
  <c r="P17" i="27" s="1"/>
  <c r="O13" i="26"/>
  <c r="O12" i="27" s="1"/>
  <c r="N13" i="26"/>
  <c r="N12" i="27" s="1"/>
  <c r="M13" i="26"/>
  <c r="M17" i="27" s="1"/>
  <c r="L13" i="26"/>
  <c r="L12" i="27" s="1"/>
  <c r="K13" i="26"/>
  <c r="K17" i="27" s="1"/>
  <c r="J13" i="26"/>
  <c r="J17" i="27" s="1"/>
  <c r="I13" i="26"/>
  <c r="I17" i="27" s="1"/>
  <c r="H13" i="26"/>
  <c r="H12" i="27" s="1"/>
  <c r="G13" i="26"/>
  <c r="G12" i="27" s="1"/>
  <c r="F13" i="26"/>
  <c r="E13" i="26"/>
  <c r="D13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H7" i="27" s="1"/>
  <c r="G8" i="26"/>
  <c r="G7" i="27" s="1"/>
  <c r="F8" i="26"/>
  <c r="F7" i="27" s="1"/>
  <c r="E8" i="26"/>
  <c r="E7" i="27" s="1"/>
  <c r="D8" i="26"/>
  <c r="D7" i="27" s="1"/>
  <c r="U3" i="26"/>
  <c r="U7" i="27" s="1"/>
  <c r="T3" i="26"/>
  <c r="T7" i="27" s="1"/>
  <c r="S3" i="26"/>
  <c r="S7" i="27" s="1"/>
  <c r="R3" i="26"/>
  <c r="R7" i="27" s="1"/>
  <c r="Q3" i="26"/>
  <c r="Q7" i="27" s="1"/>
  <c r="P3" i="26"/>
  <c r="P7" i="27" s="1"/>
  <c r="O3" i="26"/>
  <c r="O7" i="27" s="1"/>
  <c r="N3" i="26"/>
  <c r="N7" i="27" s="1"/>
  <c r="M3" i="26"/>
  <c r="M7" i="27" s="1"/>
  <c r="L3" i="26"/>
  <c r="L7" i="27" s="1"/>
  <c r="K3" i="26"/>
  <c r="K7" i="27" s="1"/>
  <c r="J3" i="26"/>
  <c r="I3" i="26"/>
  <c r="H3" i="26"/>
  <c r="G3" i="26"/>
  <c r="F3" i="26"/>
  <c r="E3" i="26"/>
  <c r="D3" i="26"/>
  <c r="D123" i="27"/>
  <c r="D121" i="27"/>
  <c r="D120" i="27"/>
  <c r="D119" i="27"/>
  <c r="D118" i="27"/>
  <c r="D116" i="27"/>
  <c r="D115" i="27"/>
  <c r="D114" i="27"/>
  <c r="D113" i="27"/>
  <c r="D111" i="27"/>
  <c r="D110" i="27"/>
  <c r="D109" i="27"/>
  <c r="D108" i="27"/>
  <c r="D106" i="27"/>
  <c r="D105" i="27"/>
  <c r="D104" i="27"/>
  <c r="D103" i="27"/>
  <c r="D101" i="27"/>
  <c r="D100" i="27"/>
  <c r="D99" i="27"/>
  <c r="D98" i="27"/>
  <c r="D97" i="27"/>
  <c r="D96" i="27"/>
  <c r="D95" i="27"/>
  <c r="D94" i="27"/>
  <c r="D93" i="27"/>
  <c r="D91" i="27"/>
  <c r="D90" i="27"/>
  <c r="D89" i="27"/>
  <c r="D88" i="27"/>
  <c r="D87" i="27"/>
  <c r="D86" i="27"/>
  <c r="D85" i="27"/>
  <c r="D84" i="27"/>
  <c r="D83" i="27"/>
  <c r="D81" i="27"/>
  <c r="D80" i="27"/>
  <c r="D79" i="27"/>
  <c r="D78" i="27"/>
  <c r="D76" i="27"/>
  <c r="D75" i="27"/>
  <c r="D74" i="27"/>
  <c r="D73" i="27"/>
  <c r="D72" i="27"/>
  <c r="D71" i="27"/>
  <c r="D70" i="27"/>
  <c r="D69" i="27"/>
  <c r="D68" i="27"/>
  <c r="D66" i="27"/>
  <c r="D65" i="27"/>
  <c r="D64" i="27"/>
  <c r="D63" i="27"/>
  <c r="D61" i="27"/>
  <c r="D60" i="27"/>
  <c r="D59" i="27"/>
  <c r="D58" i="27"/>
  <c r="D56" i="27"/>
  <c r="D55" i="27"/>
  <c r="D54" i="27"/>
  <c r="D53" i="27"/>
  <c r="D51" i="27"/>
  <c r="D50" i="27"/>
  <c r="D49" i="27"/>
  <c r="D48" i="27"/>
  <c r="D46" i="27"/>
  <c r="D45" i="27"/>
  <c r="D44" i="27"/>
  <c r="D43" i="27"/>
  <c r="D41" i="27"/>
  <c r="D40" i="27"/>
  <c r="D39" i="27"/>
  <c r="D38" i="27"/>
  <c r="D36" i="27"/>
  <c r="D35" i="27"/>
  <c r="D34" i="27"/>
  <c r="D33" i="27"/>
  <c r="D31" i="27"/>
  <c r="D30" i="27"/>
  <c r="D29" i="27"/>
  <c r="D28" i="27"/>
  <c r="D26" i="27"/>
  <c r="D25" i="27"/>
  <c r="D24" i="27"/>
  <c r="D23" i="27"/>
  <c r="D21" i="27"/>
  <c r="D20" i="27"/>
  <c r="D19" i="27"/>
  <c r="D18" i="27"/>
  <c r="D16" i="27"/>
  <c r="D15" i="27"/>
  <c r="D14" i="27"/>
  <c r="D13" i="27"/>
  <c r="D11" i="27"/>
  <c r="D10" i="27"/>
  <c r="D9" i="27"/>
  <c r="D8" i="27"/>
  <c r="U123" i="29"/>
  <c r="T123" i="29"/>
  <c r="S123" i="29"/>
  <c r="R123" i="29"/>
  <c r="Q123" i="29"/>
  <c r="P123" i="29"/>
  <c r="O123" i="29"/>
  <c r="N123" i="29"/>
  <c r="M123" i="29"/>
  <c r="L123" i="29"/>
  <c r="K123" i="29"/>
  <c r="J123" i="29"/>
  <c r="I123" i="29"/>
  <c r="H123" i="29"/>
  <c r="G123" i="29"/>
  <c r="F123" i="29"/>
  <c r="E123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U113" i="29"/>
  <c r="T113" i="29"/>
  <c r="S113" i="29"/>
  <c r="R113" i="29"/>
  <c r="Q113" i="29"/>
  <c r="P113" i="29"/>
  <c r="O113" i="29"/>
  <c r="N113" i="29"/>
  <c r="M113" i="29"/>
  <c r="L113" i="29"/>
  <c r="K113" i="29"/>
  <c r="J113" i="29"/>
  <c r="I113" i="29"/>
  <c r="H113" i="29"/>
  <c r="G113" i="29"/>
  <c r="F113" i="29"/>
  <c r="E113" i="29"/>
  <c r="U112" i="29"/>
  <c r="T112" i="29"/>
  <c r="S112" i="29"/>
  <c r="R112" i="29"/>
  <c r="Q112" i="29"/>
  <c r="P112" i="29"/>
  <c r="O112" i="29"/>
  <c r="N112" i="29"/>
  <c r="M112" i="29"/>
  <c r="L112" i="29"/>
  <c r="K112" i="29"/>
  <c r="J112" i="29"/>
  <c r="I112" i="29"/>
  <c r="H112" i="29"/>
  <c r="G112" i="29"/>
  <c r="F112" i="29"/>
  <c r="E112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U90" i="29"/>
  <c r="T90" i="29"/>
  <c r="S90" i="29"/>
  <c r="R90" i="29"/>
  <c r="Q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U81" i="29"/>
  <c r="T81" i="29"/>
  <c r="S81" i="29"/>
  <c r="R81" i="29"/>
  <c r="Q81" i="29"/>
  <c r="P81" i="29"/>
  <c r="O81" i="29"/>
  <c r="N81" i="29"/>
  <c r="M81" i="29"/>
  <c r="L81" i="29"/>
  <c r="K81" i="29"/>
  <c r="J81" i="29"/>
  <c r="I81" i="29"/>
  <c r="H81" i="29"/>
  <c r="G81" i="29"/>
  <c r="F81" i="29"/>
  <c r="E81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U68" i="29"/>
  <c r="T68" i="29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23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D122" i="28"/>
  <c r="V123" i="23"/>
  <c r="I125" i="33"/>
  <c r="I124" i="33"/>
  <c r="I123" i="33"/>
  <c r="I122" i="33"/>
  <c r="I121" i="33"/>
  <c r="I120" i="33"/>
  <c r="I119" i="33"/>
  <c r="I118" i="33"/>
  <c r="I117" i="33"/>
  <c r="I116" i="33"/>
  <c r="I115" i="33"/>
  <c r="I114" i="33"/>
  <c r="I113" i="33"/>
  <c r="I112" i="33"/>
  <c r="I111" i="33"/>
  <c r="I110" i="33"/>
  <c r="I109" i="33"/>
  <c r="I108" i="33"/>
  <c r="I107" i="33"/>
  <c r="I106" i="33"/>
  <c r="I105" i="33"/>
  <c r="I104" i="33"/>
  <c r="I103" i="33"/>
  <c r="I102" i="33"/>
  <c r="I101" i="33"/>
  <c r="I100" i="33"/>
  <c r="I99" i="33"/>
  <c r="I98" i="33"/>
  <c r="I97" i="33"/>
  <c r="I96" i="33"/>
  <c r="I95" i="33"/>
  <c r="I94" i="33"/>
  <c r="I93" i="33"/>
  <c r="I92" i="33"/>
  <c r="I91" i="33"/>
  <c r="I90" i="33"/>
  <c r="I89" i="33"/>
  <c r="I88" i="33"/>
  <c r="I87" i="33"/>
  <c r="I86" i="33"/>
  <c r="I85" i="33"/>
  <c r="I84" i="33"/>
  <c r="I83" i="33"/>
  <c r="I82" i="33"/>
  <c r="I81" i="33"/>
  <c r="I80" i="33"/>
  <c r="I79" i="33"/>
  <c r="I78" i="33"/>
  <c r="I77" i="33"/>
  <c r="I76" i="33"/>
  <c r="I75" i="33"/>
  <c r="I74" i="33"/>
  <c r="I73" i="33"/>
  <c r="I72" i="33"/>
  <c r="I71" i="33"/>
  <c r="I70" i="33"/>
  <c r="I69" i="33"/>
  <c r="I68" i="33"/>
  <c r="I67" i="33"/>
  <c r="I66" i="33"/>
  <c r="I65" i="33"/>
  <c r="I64" i="33"/>
  <c r="I63" i="33"/>
  <c r="I62" i="33"/>
  <c r="I61" i="33"/>
  <c r="I60" i="33"/>
  <c r="I59" i="33"/>
  <c r="I58" i="33"/>
  <c r="I57" i="33"/>
  <c r="I56" i="33"/>
  <c r="I55" i="33"/>
  <c r="I54" i="33"/>
  <c r="I53" i="33"/>
  <c r="I52" i="33"/>
  <c r="I51" i="33"/>
  <c r="I50" i="33"/>
  <c r="I49" i="33"/>
  <c r="I48" i="33"/>
  <c r="I47" i="33"/>
  <c r="I46" i="33"/>
  <c r="I45" i="33"/>
  <c r="I44" i="33"/>
  <c r="I43" i="33"/>
  <c r="I42" i="33"/>
  <c r="I41" i="33"/>
  <c r="I40" i="33"/>
  <c r="I39" i="33"/>
  <c r="I38" i="33"/>
  <c r="I37" i="33"/>
  <c r="I36" i="33"/>
  <c r="I35" i="33"/>
  <c r="I34" i="33"/>
  <c r="I33" i="33"/>
  <c r="I32" i="33"/>
  <c r="I31" i="33"/>
  <c r="I30" i="33"/>
  <c r="I29" i="33"/>
  <c r="I28" i="33"/>
  <c r="I27" i="33"/>
  <c r="I26" i="33"/>
  <c r="I25" i="33"/>
  <c r="I24" i="33"/>
  <c r="I23" i="33"/>
  <c r="I22" i="33"/>
  <c r="I21" i="33"/>
  <c r="I20" i="33"/>
  <c r="I19" i="33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I4" i="33"/>
  <c r="E62" i="27" l="1"/>
  <c r="H62" i="27"/>
  <c r="U22" i="27"/>
  <c r="L17" i="27"/>
  <c r="N17" i="27"/>
  <c r="G57" i="27"/>
  <c r="E12" i="27"/>
  <c r="Q17" i="27"/>
  <c r="R17" i="27"/>
  <c r="J57" i="27"/>
  <c r="J12" i="27"/>
  <c r="O57" i="27"/>
  <c r="F12" i="27"/>
  <c r="M12" i="27"/>
  <c r="P57" i="27"/>
  <c r="F62" i="27"/>
  <c r="T67" i="27"/>
  <c r="S37" i="27"/>
  <c r="U67" i="27"/>
  <c r="K62" i="27"/>
  <c r="L62" i="27"/>
  <c r="Q62" i="27"/>
  <c r="O17" i="27"/>
  <c r="R62" i="27"/>
  <c r="G27" i="27"/>
  <c r="I12" i="27"/>
  <c r="K12" i="27"/>
  <c r="N57" i="27"/>
  <c r="I62" i="27"/>
  <c r="H17" i="27"/>
  <c r="Q32" i="27"/>
  <c r="I27" i="27"/>
  <c r="D47" i="27"/>
  <c r="E22" i="27"/>
  <c r="S67" i="27"/>
  <c r="D27" i="27"/>
  <c r="S32" i="27"/>
  <c r="P12" i="27"/>
  <c r="F22" i="27"/>
  <c r="G17" i="27"/>
  <c r="M62" i="27"/>
  <c r="R32" i="27"/>
  <c r="H27" i="27"/>
  <c r="S17" i="27"/>
  <c r="T32" i="27"/>
  <c r="D12" i="27"/>
  <c r="D57" i="27"/>
  <c r="D37" i="27"/>
  <c r="D102" i="27"/>
  <c r="D77" i="27"/>
  <c r="D112" i="27"/>
  <c r="W77" i="23"/>
  <c r="W78" i="23"/>
  <c r="V118" i="23"/>
</calcChain>
</file>

<file path=xl/sharedStrings.xml><?xml version="1.0" encoding="utf-8"?>
<sst xmlns="http://schemas.openxmlformats.org/spreadsheetml/2006/main" count="2153" uniqueCount="82">
  <si>
    <t xml:space="preserve">Agro-Pecuária e Silvicultura </t>
  </si>
  <si>
    <t xml:space="preserve">Pesca </t>
  </si>
  <si>
    <t xml:space="preserve">Extracção e Refino de Petróleo </t>
  </si>
  <si>
    <t xml:space="preserve">Extracção de Diamantes, Minerais Metálicos e de Outros Minerais não Metálicos </t>
  </si>
  <si>
    <t xml:space="preserve">Produtos da Indústria Transformadora </t>
  </si>
  <si>
    <t xml:space="preserve">Electricidade e Água </t>
  </si>
  <si>
    <t xml:space="preserve">Construção </t>
  </si>
  <si>
    <t xml:space="preserve">Comércio </t>
  </si>
  <si>
    <t xml:space="preserve"> Alojamento e restauração</t>
  </si>
  <si>
    <t xml:space="preserve">Transportes e Armazenagem </t>
  </si>
  <si>
    <t xml:space="preserve">Correios e Telecomunicações </t>
  </si>
  <si>
    <t xml:space="preserve">Intermediação Financeira e de Seguros </t>
  </si>
  <si>
    <t xml:space="preserve">Administração Pública, Defesa e Segurança Social Obrigatória </t>
  </si>
  <si>
    <t xml:space="preserve">Serviços Imobiliários e Aluguer </t>
  </si>
  <si>
    <t>Outros Serviços</t>
  </si>
  <si>
    <t>Imposto sobre os produtos</t>
  </si>
  <si>
    <t>Subsídios (-)</t>
  </si>
  <si>
    <t>PRODUCTO INTERNO BRUTO</t>
  </si>
  <si>
    <t>Quadro 12 -  PIB em Milhões de Kwanzas a Preços Correntes</t>
  </si>
  <si>
    <t xml:space="preserve"> Quadro 14 - Participação (%) do PIB  Nominal </t>
  </si>
  <si>
    <t>Quadro 3 -Variação % Trimestre por Trimestre ( Ajustado Sazonalmente)</t>
  </si>
  <si>
    <t>Quadro 4 -  Contribuição  % das Actividades Económicas na Taxa de Crescimento do PIB Trimestral Ajustado Sazonalmente</t>
  </si>
  <si>
    <t xml:space="preserve"> Quadro 7 - Contribuição  % das Actividades Económicas na Taxa de Crescimento do PIB Trimestral   - Medidas de Volume Encadeadas (Não Ajustada) </t>
  </si>
  <si>
    <t xml:space="preserve">Pesca e Aquicultura </t>
  </si>
  <si>
    <t>Produção de Electricidade, Água e Saneamento</t>
  </si>
  <si>
    <t>Comércio e Raparação de Veiculos</t>
  </si>
  <si>
    <t xml:space="preserve"> Serviço de Alojamento e Restauração</t>
  </si>
  <si>
    <t xml:space="preserve">Actividades de informação e de comunicação </t>
  </si>
  <si>
    <t>I TRIM</t>
  </si>
  <si>
    <t>II TRIM</t>
  </si>
  <si>
    <t>III TRIM</t>
  </si>
  <si>
    <t>IV TRIM</t>
  </si>
  <si>
    <t xml:space="preserve"> Quadro 5 - PIB_Trimestral_Medidas de Volume Encadeadas (Não Ajustada) em Milhões de Kwanzas</t>
  </si>
  <si>
    <t>Quadro 2 -  Medidas de Volume Encadeadas(com Ajuste Sazonal) em Milhões de Kwanzas</t>
  </si>
  <si>
    <t>Quadro 6 - PIB_Trimestral_Medidas de Volume Encadeadas (Não Ajustada) - Variação Homóloga %</t>
  </si>
  <si>
    <t xml:space="preserve"> Quadro 8 - PIB Ttrimestral Valor de Medida_Encadeada Acumulada ao Longo do Ano em Milhões de Kwanzas</t>
  </si>
  <si>
    <t>Quadro 9 -  Variação % Acumulada ao Longo do Ano</t>
  </si>
  <si>
    <t xml:space="preserve"> Quadro 10 - PIB Trimestral- Valor de Medida Encadeada Acumulada nos Últimos 4 Trimestres em Milhões de Kwanzas</t>
  </si>
  <si>
    <t xml:space="preserve"> Quadro 11 - Variação % Acumulada nos Últimos 4 Trimestres</t>
  </si>
  <si>
    <t>Quadro 13 - Variação Homóloga  % (PIB a Preços Correntes)</t>
  </si>
  <si>
    <t>PIB Petroliféro (Extracção e Refino de Petróleo )</t>
  </si>
  <si>
    <t>PIB NÃO PETROLIFÉRO</t>
  </si>
  <si>
    <t>Em Milhões de Kwanzas</t>
  </si>
  <si>
    <t>Variação Homóloga %</t>
  </si>
  <si>
    <t>Contribuição %</t>
  </si>
  <si>
    <t xml:space="preserve"> Agro-Pecuária e Silvicultura, Pesca e Aquacultura</t>
  </si>
  <si>
    <t>Indústria</t>
  </si>
  <si>
    <t>Serviços</t>
  </si>
  <si>
    <t>Participação %</t>
  </si>
  <si>
    <t xml:space="preserve"> Quadro 1 - PIB Petrolífero e Não Petrolífero</t>
  </si>
  <si>
    <t xml:space="preserve"> Quadro 15 - PIB por sector de actividades</t>
  </si>
  <si>
    <t>Total</t>
  </si>
  <si>
    <t xml:space="preserve">Fonte: INE - Direcção de Contas Nacionais </t>
  </si>
  <si>
    <t>Período</t>
  </si>
  <si>
    <t/>
  </si>
  <si>
    <t>Direcção das Contas Nacionais</t>
  </si>
  <si>
    <t>Departamento das Contas Nacionais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</si>
  <si>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</si>
  <si>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</si>
  <si>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</si>
  <si>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</si>
  <si>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</si>
  <si>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</si>
  <si>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</si>
  <si>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</si>
  <si>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</si>
  <si>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</si>
  <si>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</si>
  <si>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</si>
  <si>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</si>
  <si>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</si>
  <si>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</si>
  <si>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Contas Nacionais Trimestras - 2002 - 2025</t>
  </si>
  <si>
    <t>Quadro 1 - PIB Petrolífero e Não Petrolífero</t>
  </si>
  <si>
    <t>Quadro 5 - PIB_Trimestral_Medidas de Volume Encadeadas (Não Ajustada) em Milhões de Kwanzas</t>
  </si>
  <si>
    <t xml:space="preserve">Quadro 7 - Contribuição  % das Actividades Económicas na Taxa de Crescimento do PIB Trimestral   - Medidas de Volume Encadeadas (Não Ajustada) </t>
  </si>
  <si>
    <t>Quadro 8 - PIB Ttrimestral Valor de Medida_Encadeada Acumulada ao Longo do Ano em Milhões de Kwanzas</t>
  </si>
  <si>
    <t>Quadro 10 - PIB Trimestral- Valor de Medida Encadeada Acumulada nos Últimos 4 Trimestres em Milhões de Kwanzas</t>
  </si>
  <si>
    <t>Quadro 11 - Variação % Acumulada nos Últimos 4 Trimestres</t>
  </si>
  <si>
    <t xml:space="preserve">Quadro 14 - Participação (%) do PIB  Nominal </t>
  </si>
  <si>
    <t>Quadro 15 - PIB por sector de actividades</t>
  </si>
  <si>
    <t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</si>
</sst>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#,##0.0"/>
    <numFmt numFmtId="166" formatCode="#,##0.000"/>
    <numFmt numFmtId="167" formatCode="0.000%"/>
  </numFmts>
  <fonts count="2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8"/>
      <name val="Calibri"/>
      <family val="2"/>
    </font>
    <font>
      <sz val="9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</font>
    <font>
      <sz val="1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0"/>
      <name val="Calibri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FF0000"/>
      <name val="Calibri"/>
      <family val="2"/>
    </font>
    <font>
      <b/>
      <sz val="8"/>
      <color theme="5"/>
      <name val="Calibri"/>
      <family val="2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1" fillId="0" borderId="0"/>
    <xf numFmtId="164" fontId="11" fillId="0" borderId="0" applyFont="0" applyFill="0" applyBorder="0" applyAlignment="0" applyProtection="0"/>
    <xf numFmtId="0" fontId="5" fillId="0" borderId="0"/>
    <xf numFmtId="9" fontId="2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27" fillId="0" borderId="0" applyNumberFormat="0" applyFill="0" applyBorder="0" applyAlignment="0" applyProtection="0"/>
    <xf numFmtId="0" fontId="2" fillId="0" borderId="0"/>
    <xf numFmtId="0" fontId="28" fillId="0" borderId="0" applyNumberFormat="0" applyFill="0" applyBorder="0" applyAlignment="0" applyProtection="0"/>
  </cellStyleXfs>
  <cellXfs count="105">
    <xf numFmtId="0" fontId="0" fillId="0" borderId="0" xfId="0"/>
    <xf numFmtId="0" fontId="7" fillId="2" borderId="0" xfId="0" applyFont="1" applyFill="1" applyAlignment="1">
      <alignment vertical="center"/>
    </xf>
    <xf numFmtId="4" fontId="8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4" fontId="7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vertical="center"/>
    </xf>
    <xf numFmtId="0" fontId="1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 wrapText="1"/>
    </xf>
    <xf numFmtId="2" fontId="17" fillId="2" borderId="0" xfId="0" applyNumberFormat="1" applyFont="1" applyFill="1"/>
    <xf numFmtId="0" fontId="6" fillId="2" borderId="0" xfId="0" applyFont="1" applyFill="1" applyAlignment="1">
      <alignment vertical="center"/>
    </xf>
    <xf numFmtId="0" fontId="16" fillId="0" borderId="0" xfId="3" applyFont="1" applyAlignment="1">
      <alignment horizontal="center" vertical="center"/>
    </xf>
    <xf numFmtId="0" fontId="13" fillId="2" borderId="0" xfId="0" applyFont="1" applyFill="1" applyProtection="1">
      <protection locked="0"/>
    </xf>
    <xf numFmtId="0" fontId="18" fillId="0" borderId="0" xfId="0" applyFont="1"/>
    <xf numFmtId="0" fontId="16" fillId="0" borderId="0" xfId="0" applyFont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8" fillId="2" borderId="3" xfId="0" applyNumberFormat="1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4" fontId="8" fillId="2" borderId="6" xfId="0" applyNumberFormat="1" applyFont="1" applyFill="1" applyBorder="1" applyAlignment="1">
      <alignment horizontal="center" vertical="center"/>
    </xf>
    <xf numFmtId="4" fontId="8" fillId="2" borderId="8" xfId="0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/>
    </xf>
    <xf numFmtId="4" fontId="13" fillId="2" borderId="0" xfId="0" applyNumberFormat="1" applyFont="1" applyFill="1" applyAlignment="1">
      <alignment horizontal="center" vertical="center"/>
    </xf>
    <xf numFmtId="0" fontId="16" fillId="0" borderId="3" xfId="3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5" fillId="0" borderId="0" xfId="0" applyFont="1"/>
    <xf numFmtId="0" fontId="20" fillId="2" borderId="0" xfId="0" applyFont="1" applyFill="1" applyAlignment="1">
      <alignment vertical="center"/>
    </xf>
    <xf numFmtId="166" fontId="15" fillId="0" borderId="0" xfId="0" applyNumberFormat="1" applyFont="1"/>
    <xf numFmtId="167" fontId="0" fillId="0" borderId="0" xfId="4" applyNumberFormat="1" applyFont="1"/>
    <xf numFmtId="4" fontId="13" fillId="2" borderId="9" xfId="0" applyNumberFormat="1" applyFont="1" applyFill="1" applyBorder="1" applyAlignment="1">
      <alignment horizontal="center" vertical="center"/>
    </xf>
    <xf numFmtId="4" fontId="13" fillId="2" borderId="3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 wrapText="1"/>
    </xf>
    <xf numFmtId="4" fontId="7" fillId="2" borderId="4" xfId="0" applyNumberFormat="1" applyFont="1" applyFill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8" fillId="0" borderId="8" xfId="0" applyNumberFormat="1" applyFont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 wrapText="1"/>
    </xf>
    <xf numFmtId="4" fontId="6" fillId="2" borderId="4" xfId="0" applyNumberFormat="1" applyFont="1" applyFill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" fontId="7" fillId="0" borderId="4" xfId="0" applyNumberFormat="1" applyFont="1" applyBorder="1" applyAlignment="1">
      <alignment horizontal="center" vertical="center" wrapText="1"/>
    </xf>
    <xf numFmtId="2" fontId="7" fillId="2" borderId="0" xfId="0" applyNumberFormat="1" applyFont="1" applyFill="1" applyAlignment="1">
      <alignment horizontal="center" vertical="center" wrapText="1"/>
    </xf>
    <xf numFmtId="4" fontId="13" fillId="2" borderId="6" xfId="0" applyNumberFormat="1" applyFont="1" applyFill="1" applyBorder="1" applyAlignment="1">
      <alignment horizontal="center" vertical="center"/>
    </xf>
    <xf numFmtId="0" fontId="19" fillId="0" borderId="0" xfId="0" applyFont="1"/>
    <xf numFmtId="0" fontId="22" fillId="2" borderId="0" xfId="0" applyFont="1" applyFill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3" fillId="0" borderId="3" xfId="3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6" fillId="2" borderId="0" xfId="3" applyFont="1" applyFill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4" fillId="0" borderId="0" xfId="0" applyFont="1"/>
    <xf numFmtId="4" fontId="19" fillId="0" borderId="0" xfId="0" applyNumberFormat="1" applyFont="1"/>
    <xf numFmtId="4" fontId="23" fillId="0" borderId="0" xfId="0" applyNumberFormat="1" applyFont="1"/>
    <xf numFmtId="4" fontId="24" fillId="2" borderId="0" xfId="0" applyNumberFormat="1" applyFont="1" applyFill="1" applyAlignment="1">
      <alignment horizontal="center" vertical="center"/>
    </xf>
    <xf numFmtId="4" fontId="25" fillId="2" borderId="0" xfId="0" applyNumberFormat="1" applyFont="1" applyFill="1" applyAlignment="1">
      <alignment horizontal="center" vertical="center"/>
    </xf>
    <xf numFmtId="2" fontId="23" fillId="0" borderId="0" xfId="0" applyNumberFormat="1" applyFont="1"/>
    <xf numFmtId="0" fontId="2" fillId="0" borderId="0" xfId="9"/>
    <xf numFmtId="0" fontId="26" fillId="0" borderId="0" xfId="9" applyFont="1" applyAlignment="1">
      <alignment horizontal="center"/>
    </xf>
    <xf numFmtId="0" fontId="26" fillId="0" borderId="0" xfId="9" applyFont="1" applyAlignment="1">
      <alignment horizontal="centerContinuous" vertical="center" wrapText="1"/>
    </xf>
    <xf numFmtId="0" fontId="2" fillId="0" borderId="0" xfId="9" applyAlignment="1">
      <alignment horizontal="centerContinuous" vertical="center" wrapText="1"/>
    </xf>
    <xf numFmtId="0" fontId="28" fillId="0" borderId="5" xfId="10" applyBorder="1"/>
    <xf numFmtId="0" fontId="1" fillId="0" borderId="0" xfId="9" applyFont="1"/>
    <xf numFmtId="0" fontId="2" fillId="0" borderId="6" xfId="9" applyBorder="1"/>
    <xf numFmtId="0" fontId="27" fillId="0" borderId="5" xfId="8" applyBorder="1"/>
    <xf numFmtId="0" fontId="27" fillId="0" borderId="7" xfId="8" applyBorder="1"/>
    <xf numFmtId="0" fontId="1" fillId="0" borderId="1" xfId="9" applyFont="1" applyBorder="1"/>
    <xf numFmtId="0" fontId="2" fillId="0" borderId="1" xfId="9" applyBorder="1"/>
    <xf numFmtId="0" fontId="2" fillId="0" borderId="8" xfId="9" applyBorder="1"/>
    <xf numFmtId="166" fontId="7" fillId="2" borderId="3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/>
    </xf>
    <xf numFmtId="4" fontId="13" fillId="0" borderId="4" xfId="0" applyNumberFormat="1" applyFont="1" applyBorder="1" applyAlignment="1">
      <alignment horizontal="center" vertical="center"/>
    </xf>
    <xf numFmtId="0" fontId="26" fillId="0" borderId="2" xfId="9" applyFont="1" applyBorder="1" applyAlignment="1">
      <alignment horizontal="center"/>
    </xf>
    <xf numFmtId="0" fontId="26" fillId="0" borderId="3" xfId="9" applyFont="1" applyBorder="1" applyAlignment="1">
      <alignment horizontal="center"/>
    </xf>
    <xf numFmtId="0" fontId="26" fillId="0" borderId="4" xfId="9" applyFont="1" applyBorder="1" applyAlignment="1">
      <alignment horizontal="center"/>
    </xf>
    <xf numFmtId="0" fontId="16" fillId="0" borderId="2" xfId="3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</cellXfs>
  <cellStyles count="11">
    <cellStyle name="Hiperligação" xfId="8" builtinId="8"/>
    <cellStyle name="Hiperligação 2" xfId="10" xr:uid="{88CB34F6-C183-4AAF-90CD-982591BE4F1B}"/>
    <cellStyle name="Normal" xfId="0" builtinId="0"/>
    <cellStyle name="Normal 11 3 2" xfId="3" xr:uid="{F555EC5B-1E1B-42BD-A319-F44C8462EBBE}"/>
    <cellStyle name="Normal 14" xfId="6" xr:uid="{7DF8C4AE-783E-4B59-9310-AE7176EB5CB7}"/>
    <cellStyle name="Normal 14 2" xfId="7" xr:uid="{E1DD22D9-ADF3-4264-9765-96C6E3643B9F}"/>
    <cellStyle name="Normal 2" xfId="1" xr:uid="{00000000-0005-0000-0000-000001000000}"/>
    <cellStyle name="Normal 3" xfId="9" xr:uid="{D70B05A0-EEB4-4D45-A0CB-048A7F86BB95}"/>
    <cellStyle name="Percentagem" xfId="4" builtinId="5"/>
    <cellStyle name="Porcentagem 2" xfId="5" xr:uid="{6ED4D677-FE46-426C-B125-9FBCA0B914CF}"/>
    <cellStyle name="Vírgula 2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2</xdr:col>
      <xdr:colOff>19050</xdr:colOff>
      <xdr:row>9</xdr:row>
      <xdr:rowOff>161260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6539E0-3333-4665-B1DF-4C8A7A64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244600" cy="18186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36EC-0CEB-4F7E-9262-4438985C5F0D}">
  <sheetPr>
    <tabColor theme="8" tint="0.39997558519241921"/>
  </sheetPr>
  <dimension ref="B9:O28"/>
  <sheetViews>
    <sheetView showGridLines="0" tabSelected="1" workbookViewId="0">
      <selection activeCell="I31" sqref="I31"/>
    </sheetView>
  </sheetViews>
  <sheetFormatPr defaultColWidth="8.625" defaultRowHeight="15" x14ac:dyDescent="0.25"/>
  <cols>
    <col min="1" max="1" width="13" style="69" customWidth="1"/>
    <col min="2" max="2" width="4.625" style="69" customWidth="1"/>
    <col min="3" max="14" width="8.625" style="69"/>
    <col min="15" max="15" width="15.25" style="69" customWidth="1"/>
    <col min="16" max="16384" width="8.625" style="69"/>
  </cols>
  <sheetData>
    <row r="9" spans="2:15" x14ac:dyDescent="0.25">
      <c r="E9" s="70" t="s">
        <v>55</v>
      </c>
    </row>
    <row r="10" spans="2:15" x14ac:dyDescent="0.25">
      <c r="C10" s="71" t="s">
        <v>56</v>
      </c>
      <c r="D10" s="72"/>
      <c r="E10" s="72"/>
      <c r="F10" s="72"/>
      <c r="G10" s="72"/>
    </row>
    <row r="11" spans="2:15" x14ac:dyDescent="0.25">
      <c r="B11" s="71" t="s">
        <v>72</v>
      </c>
      <c r="C11" s="72"/>
      <c r="D11" s="72"/>
      <c r="E11" s="72"/>
      <c r="F11" s="72"/>
      <c r="G11" s="72"/>
      <c r="H11" s="72"/>
    </row>
    <row r="13" spans="2:15" ht="15.75" customHeight="1" x14ac:dyDescent="0.25">
      <c r="B13" s="89" t="s">
        <v>81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1"/>
    </row>
    <row r="14" spans="2:15" x14ac:dyDescent="0.25">
      <c r="B14" s="73" t="s">
        <v>57</v>
      </c>
      <c r="C14" s="74" t="s">
        <v>73</v>
      </c>
      <c r="O14" s="75"/>
    </row>
    <row r="15" spans="2:15" ht="15.75" x14ac:dyDescent="0.25">
      <c r="B15" s="76" t="s">
        <v>58</v>
      </c>
      <c r="C15" s="69" t="s">
        <v>33</v>
      </c>
      <c r="O15" s="75"/>
    </row>
    <row r="16" spans="2:15" ht="15.75" x14ac:dyDescent="0.25">
      <c r="B16" s="76" t="s">
        <v>59</v>
      </c>
      <c r="C16" s="69" t="s">
        <v>20</v>
      </c>
      <c r="O16" s="75"/>
    </row>
    <row r="17" spans="2:15" ht="15.75" x14ac:dyDescent="0.25">
      <c r="B17" s="76" t="s">
        <v>60</v>
      </c>
      <c r="C17" s="69" t="s">
        <v>21</v>
      </c>
      <c r="O17" s="75"/>
    </row>
    <row r="18" spans="2:15" ht="15.75" x14ac:dyDescent="0.25">
      <c r="B18" s="76" t="s">
        <v>61</v>
      </c>
      <c r="C18" s="74" t="s">
        <v>74</v>
      </c>
      <c r="O18" s="75"/>
    </row>
    <row r="19" spans="2:15" ht="15.75" x14ac:dyDescent="0.25">
      <c r="B19" s="76" t="s">
        <v>62</v>
      </c>
      <c r="C19" s="69" t="s">
        <v>34</v>
      </c>
      <c r="O19" s="75"/>
    </row>
    <row r="20" spans="2:15" ht="15.75" x14ac:dyDescent="0.25">
      <c r="B20" s="76" t="s">
        <v>63</v>
      </c>
      <c r="C20" s="74" t="s">
        <v>75</v>
      </c>
      <c r="O20" s="75"/>
    </row>
    <row r="21" spans="2:15" ht="15.75" x14ac:dyDescent="0.25">
      <c r="B21" s="76" t="s">
        <v>64</v>
      </c>
      <c r="C21" s="74" t="s">
        <v>76</v>
      </c>
      <c r="O21" s="75"/>
    </row>
    <row r="22" spans="2:15" ht="15.75" x14ac:dyDescent="0.25">
      <c r="B22" s="76" t="s">
        <v>65</v>
      </c>
      <c r="C22" s="69" t="s">
        <v>36</v>
      </c>
      <c r="O22" s="75"/>
    </row>
    <row r="23" spans="2:15" ht="15.75" x14ac:dyDescent="0.25">
      <c r="B23" s="76" t="s">
        <v>66</v>
      </c>
      <c r="C23" s="74" t="s">
        <v>77</v>
      </c>
      <c r="O23" s="75"/>
    </row>
    <row r="24" spans="2:15" ht="15.75" x14ac:dyDescent="0.25">
      <c r="B24" s="76" t="s">
        <v>67</v>
      </c>
      <c r="C24" s="74" t="s">
        <v>78</v>
      </c>
      <c r="O24" s="75"/>
    </row>
    <row r="25" spans="2:15" ht="15.75" x14ac:dyDescent="0.25">
      <c r="B25" s="76" t="s">
        <v>68</v>
      </c>
      <c r="C25" s="74" t="s">
        <v>18</v>
      </c>
      <c r="O25" s="75"/>
    </row>
    <row r="26" spans="2:15" ht="15.75" x14ac:dyDescent="0.25">
      <c r="B26" s="76" t="s">
        <v>69</v>
      </c>
      <c r="C26" s="74" t="s">
        <v>39</v>
      </c>
      <c r="O26" s="75"/>
    </row>
    <row r="27" spans="2:15" ht="15.75" x14ac:dyDescent="0.25">
      <c r="B27" s="76" t="s">
        <v>70</v>
      </c>
      <c r="C27" s="74" t="s">
        <v>79</v>
      </c>
      <c r="O27" s="75"/>
    </row>
    <row r="28" spans="2:15" ht="15.75" x14ac:dyDescent="0.25">
      <c r="B28" s="77" t="s">
        <v>71</v>
      </c>
      <c r="C28" s="78" t="s">
        <v>80</v>
      </c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</sheetData>
  <mergeCells count="1">
    <mergeCell ref="B13:O13"/>
  </mergeCells>
  <phoneticPr fontId="10" type="noConversion"/>
  <hyperlinks>
    <hyperlink ref="B14" location="'Q1'!A1" display="Q1" xr:uid="{985A8953-7453-4A77-99F1-70C76F51B296}"/>
    <hyperlink ref="B15:B21" location="'Q1'!A1" display="Q1" xr:uid="{C29F4BBC-12C2-4875-B09D-16347F582296}"/>
    <hyperlink ref="B15" location="'Q2'!A1" display="Q2" xr:uid="{F187A536-A2D9-4F92-A9CB-326D4BB5DE21}"/>
    <hyperlink ref="B16" location="'Q3'!A1" display="Q3" xr:uid="{D6FDAE69-8B31-43DC-BF3E-205214855DD8}"/>
    <hyperlink ref="B17" location="'Q4'!A1" display="Q4" xr:uid="{577A90A4-C462-47DC-8699-EB7693D2F17F}"/>
    <hyperlink ref="B18" location="'Q5'!A1" display="Q5" xr:uid="{C1E12D93-2CC5-4F6E-8D04-281D6F628883}"/>
    <hyperlink ref="B19" location="'Q6'!A1" display="Q6" xr:uid="{098AF6EB-6754-4250-B60F-35E444356455}"/>
    <hyperlink ref="B20" location="'Q7'!A1" display="Q7" xr:uid="{DB0729AF-EC70-4F06-9ACF-02051EF0A267}"/>
    <hyperlink ref="B21" location="'Q8'!A1" display="Q8" xr:uid="{B297A7BF-23DD-4E02-A522-1D9BA5C4FA75}"/>
    <hyperlink ref="B22:B25" location="'Q1'!A1" display="Q1" xr:uid="{F8C7B11F-1434-46FB-BAA7-C09FCCEBE589}"/>
    <hyperlink ref="B26:B27" location="'Q1'!A1" display="Q1" xr:uid="{910093CA-E17D-49AA-B6BF-1C833AFFB16B}"/>
    <hyperlink ref="B28" location="'Q15'!A1" display="Q15" xr:uid="{4E95BEDB-2393-480D-BFB5-DA0BCCA1A371}"/>
    <hyperlink ref="B22" location="'Q9'!A1" display="Q9" xr:uid="{C3C48D08-0F40-4AB6-950E-6EE64326D036}"/>
    <hyperlink ref="B23" location="'Q10'!A1" display="Q10" xr:uid="{E8E1729E-406D-467B-80C9-3DBAE860BBBB}"/>
    <hyperlink ref="B24" location="'Q11'!A1" display="Q11" xr:uid="{061EF72C-7433-4C14-BE6D-232FC021EAB9}"/>
    <hyperlink ref="B25" location="'Q12'!A1" display="Q12" xr:uid="{AD193BB4-B2DA-4F98-8F2E-585B6388D18B}"/>
    <hyperlink ref="B26" location="'Q13'!A1" display="Q13" xr:uid="{E21B30DD-3023-44CE-BC15-76E462CAF167}"/>
    <hyperlink ref="B27" location="'Q14'!A1" display="Q14" xr:uid="{1673F83B-3088-457A-B50E-503B58D09239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showGridLines="0" zoomScale="110" zoomScaleNormal="110" workbookViewId="0">
      <pane xSplit="3" ySplit="3" topLeftCell="D4" activePane="bottomRight" state="frozen"/>
      <selection pane="topRight" activeCell="B1" sqref="B1"/>
      <selection pane="bottomLeft" activeCell="A3" sqref="A3"/>
      <selection pane="bottomRight" activeCell="G22" sqref="G22"/>
    </sheetView>
  </sheetViews>
  <sheetFormatPr defaultRowHeight="15.75" x14ac:dyDescent="0.25"/>
  <cols>
    <col min="2" max="2" width="5.5" style="18" customWidth="1"/>
    <col min="3" max="3" width="6.375" style="18" customWidth="1"/>
    <col min="4" max="4" width="11.5" customWidth="1"/>
    <col min="5" max="5" width="10" customWidth="1"/>
    <col min="6" max="6" width="10.5" customWidth="1"/>
    <col min="7" max="7" width="10.375" customWidth="1"/>
    <col min="10" max="10" width="10.625" customWidth="1"/>
    <col min="12" max="12" width="13.625" bestFit="1" customWidth="1"/>
    <col min="13" max="13" width="10" customWidth="1"/>
    <col min="16" max="16" width="12.625" style="29" bestFit="1" customWidth="1"/>
  </cols>
  <sheetData>
    <row r="1" spans="1:17" ht="23.25" customHeight="1" x14ac:dyDescent="0.25">
      <c r="A1" s="95"/>
      <c r="C1" s="96" t="s">
        <v>49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7" x14ac:dyDescent="0.25">
      <c r="A2" s="95"/>
      <c r="C2" s="56"/>
      <c r="D2" s="98" t="s">
        <v>42</v>
      </c>
      <c r="E2" s="98"/>
      <c r="F2" s="98"/>
      <c r="G2" s="98" t="s">
        <v>48</v>
      </c>
      <c r="H2" s="98"/>
      <c r="I2" s="98"/>
      <c r="J2" s="98" t="s">
        <v>43</v>
      </c>
      <c r="K2" s="98"/>
      <c r="L2" s="98"/>
      <c r="M2" s="98" t="s">
        <v>44</v>
      </c>
      <c r="N2" s="98"/>
      <c r="O2" s="98"/>
    </row>
    <row r="3" spans="1:17" ht="45" x14ac:dyDescent="0.25">
      <c r="A3" s="95"/>
      <c r="B3" s="97" t="s">
        <v>53</v>
      </c>
      <c r="C3" s="97"/>
      <c r="D3" s="3" t="s">
        <v>40</v>
      </c>
      <c r="E3" s="3" t="s">
        <v>41</v>
      </c>
      <c r="F3" s="3" t="s">
        <v>17</v>
      </c>
      <c r="G3" s="3" t="s">
        <v>40</v>
      </c>
      <c r="H3" s="3" t="s">
        <v>41</v>
      </c>
      <c r="I3" s="3" t="s">
        <v>17</v>
      </c>
      <c r="J3" s="3" t="s">
        <v>40</v>
      </c>
      <c r="K3" s="3" t="s">
        <v>41</v>
      </c>
      <c r="L3" s="3" t="s">
        <v>17</v>
      </c>
      <c r="M3" s="3" t="s">
        <v>40</v>
      </c>
      <c r="N3" s="3" t="s">
        <v>41</v>
      </c>
      <c r="O3" s="3" t="s">
        <v>17</v>
      </c>
      <c r="Q3" s="1"/>
    </row>
    <row r="4" spans="1:17" x14ac:dyDescent="0.25">
      <c r="A4" s="95"/>
      <c r="B4" s="92">
        <v>2002</v>
      </c>
      <c r="C4" s="53" t="s">
        <v>51</v>
      </c>
      <c r="D4" s="35">
        <v>295071.18303783145</v>
      </c>
      <c r="E4" s="35">
        <v>458502.53662983247</v>
      </c>
      <c r="F4" s="35">
        <v>753573.71966766391</v>
      </c>
      <c r="G4" s="35">
        <v>39.156246474195221</v>
      </c>
      <c r="H4" s="35">
        <v>60.843753525804779</v>
      </c>
      <c r="I4" s="35">
        <f>+G4+H4</f>
        <v>100</v>
      </c>
      <c r="J4" s="35">
        <v>0</v>
      </c>
      <c r="K4" s="35"/>
      <c r="L4" s="35">
        <v>0</v>
      </c>
      <c r="M4" s="35"/>
      <c r="N4" s="35"/>
      <c r="O4" s="36"/>
      <c r="Q4" s="1"/>
    </row>
    <row r="5" spans="1:17" x14ac:dyDescent="0.25">
      <c r="A5" s="95"/>
      <c r="B5" s="93">
        <v>2002</v>
      </c>
      <c r="C5" s="16" t="s">
        <v>28</v>
      </c>
      <c r="D5" s="2">
        <v>50703.676988871055</v>
      </c>
      <c r="E5" s="2">
        <v>79602.784654289528</v>
      </c>
      <c r="F5" s="2">
        <v>130306.46164316058</v>
      </c>
      <c r="G5" s="2">
        <v>38.911099533744689</v>
      </c>
      <c r="H5" s="2">
        <v>61.088900466255311</v>
      </c>
      <c r="I5" s="2">
        <f t="shared" ref="I5:I68" si="0">+G5+H5</f>
        <v>100</v>
      </c>
      <c r="J5" s="2">
        <v>0</v>
      </c>
      <c r="K5" s="2"/>
      <c r="L5" s="2">
        <v>0</v>
      </c>
      <c r="M5" s="2"/>
      <c r="N5" s="2"/>
      <c r="O5" s="23"/>
    </row>
    <row r="6" spans="1:17" x14ac:dyDescent="0.25">
      <c r="A6" s="95"/>
      <c r="B6" s="93"/>
      <c r="C6" s="16" t="s">
        <v>29</v>
      </c>
      <c r="D6" s="2">
        <v>66093.90837545754</v>
      </c>
      <c r="E6" s="2">
        <v>100524.83077700334</v>
      </c>
      <c r="F6" s="2">
        <v>166618.73915246088</v>
      </c>
      <c r="G6" s="2">
        <v>39.667752085784144</v>
      </c>
      <c r="H6" s="2">
        <v>60.332247914215856</v>
      </c>
      <c r="I6" s="2">
        <f t="shared" si="0"/>
        <v>100</v>
      </c>
      <c r="J6" s="2">
        <v>0</v>
      </c>
      <c r="K6" s="2"/>
      <c r="L6" s="2">
        <v>0</v>
      </c>
      <c r="M6" s="2"/>
      <c r="N6" s="2"/>
      <c r="O6" s="23"/>
    </row>
    <row r="7" spans="1:17" x14ac:dyDescent="0.25">
      <c r="A7" s="95"/>
      <c r="B7" s="93"/>
      <c r="C7" s="16" t="s">
        <v>30</v>
      </c>
      <c r="D7" s="2">
        <v>83830.978100290027</v>
      </c>
      <c r="E7" s="2">
        <v>120347.53529643727</v>
      </c>
      <c r="F7" s="2">
        <v>204178.5133967273</v>
      </c>
      <c r="G7" s="2">
        <v>41.05768854208619</v>
      </c>
      <c r="H7" s="2">
        <v>58.94231145791381</v>
      </c>
      <c r="I7" s="2">
        <f t="shared" si="0"/>
        <v>100</v>
      </c>
      <c r="J7" s="2">
        <v>0</v>
      </c>
      <c r="K7" s="2"/>
      <c r="L7" s="2">
        <v>0</v>
      </c>
      <c r="M7" s="2"/>
      <c r="N7" s="2"/>
      <c r="O7" s="23"/>
    </row>
    <row r="8" spans="1:17" x14ac:dyDescent="0.25">
      <c r="A8" s="95"/>
      <c r="B8" s="94"/>
      <c r="C8" s="28" t="s">
        <v>31</v>
      </c>
      <c r="D8" s="20">
        <v>94442.619573212825</v>
      </c>
      <c r="E8" s="20">
        <v>158027.38590210216</v>
      </c>
      <c r="F8" s="20">
        <v>252470.005475315</v>
      </c>
      <c r="G8" s="20">
        <v>37.407461292445241</v>
      </c>
      <c r="H8" s="20">
        <v>62.592538707554759</v>
      </c>
      <c r="I8" s="20">
        <f t="shared" si="0"/>
        <v>100</v>
      </c>
      <c r="J8" s="20">
        <v>0</v>
      </c>
      <c r="K8" s="20"/>
      <c r="L8" s="20">
        <v>0</v>
      </c>
      <c r="M8" s="20"/>
      <c r="N8" s="20"/>
      <c r="O8" s="24"/>
    </row>
    <row r="9" spans="1:17" x14ac:dyDescent="0.25">
      <c r="A9" s="95"/>
      <c r="B9" s="92">
        <v>2003</v>
      </c>
      <c r="C9" s="53" t="s">
        <v>51</v>
      </c>
      <c r="D9" s="35">
        <v>541281.93296532438</v>
      </c>
      <c r="E9" s="35">
        <v>976368.99993726367</v>
      </c>
      <c r="F9" s="35">
        <v>1517650.932902588</v>
      </c>
      <c r="G9" s="35">
        <v>35.665772756459482</v>
      </c>
      <c r="H9" s="35">
        <v>64.334227243540511</v>
      </c>
      <c r="I9" s="35">
        <f t="shared" si="0"/>
        <v>100</v>
      </c>
      <c r="J9" s="35">
        <v>-3.8749524772044452</v>
      </c>
      <c r="K9" s="35">
        <v>8.225328080038242</v>
      </c>
      <c r="L9" s="35">
        <v>3.4873124009751706</v>
      </c>
      <c r="M9" s="35">
        <v>-1.5172859427321062</v>
      </c>
      <c r="N9" s="35">
        <v>5.0045983437072783</v>
      </c>
      <c r="O9" s="36">
        <v>3.4873124009751724</v>
      </c>
      <c r="P9" s="6"/>
      <c r="Q9" s="14"/>
    </row>
    <row r="10" spans="1:17" x14ac:dyDescent="0.25">
      <c r="A10" s="95"/>
      <c r="B10" s="93">
        <v>2003</v>
      </c>
      <c r="C10" s="16" t="s">
        <v>28</v>
      </c>
      <c r="D10" s="2">
        <v>129469.82328010838</v>
      </c>
      <c r="E10" s="2">
        <v>166831.59325722395</v>
      </c>
      <c r="F10" s="2">
        <v>296301.41653733235</v>
      </c>
      <c r="G10" s="2">
        <v>43.695310266529184</v>
      </c>
      <c r="H10" s="2">
        <v>56.304689733470816</v>
      </c>
      <c r="I10" s="2">
        <f t="shared" si="0"/>
        <v>100</v>
      </c>
      <c r="J10" s="2">
        <v>-4.0007567861190267</v>
      </c>
      <c r="K10" s="2">
        <v>3.921021919784685</v>
      </c>
      <c r="L10" s="2">
        <v>0.81915072456071414</v>
      </c>
      <c r="M10" s="2">
        <v>-1.5665461880058578</v>
      </c>
      <c r="N10" s="2">
        <v>2.3856969125665719</v>
      </c>
      <c r="O10" s="23">
        <v>0.81915072456071414</v>
      </c>
      <c r="P10" s="2"/>
      <c r="Q10" s="14"/>
    </row>
    <row r="11" spans="1:17" x14ac:dyDescent="0.25">
      <c r="A11" s="95"/>
      <c r="B11" s="93"/>
      <c r="C11" s="16" t="s">
        <v>29</v>
      </c>
      <c r="D11" s="2">
        <v>124948.97052911804</v>
      </c>
      <c r="E11" s="2">
        <v>232237.14943563234</v>
      </c>
      <c r="F11" s="2">
        <v>357186.11996475037</v>
      </c>
      <c r="G11" s="2">
        <v>34.981474235742667</v>
      </c>
      <c r="H11" s="2">
        <v>65.018525764257333</v>
      </c>
      <c r="I11" s="2">
        <f t="shared" si="0"/>
        <v>100</v>
      </c>
      <c r="J11" s="2">
        <v>-4.1256313678341883</v>
      </c>
      <c r="K11" s="2">
        <v>9.9743296711465916</v>
      </c>
      <c r="L11" s="2">
        <v>4.4533141739577786</v>
      </c>
      <c r="M11" s="2">
        <v>-1.615442387005867</v>
      </c>
      <c r="N11" s="2">
        <v>6.0687565609636467</v>
      </c>
      <c r="O11" s="23">
        <v>4.4533141739577795</v>
      </c>
      <c r="P11" s="2"/>
      <c r="Q11" s="14"/>
    </row>
    <row r="12" spans="1:17" x14ac:dyDescent="0.25">
      <c r="A12" s="95"/>
      <c r="B12" s="93"/>
      <c r="C12" s="16" t="s">
        <v>30</v>
      </c>
      <c r="D12" s="2">
        <v>149175.34313376425</v>
      </c>
      <c r="E12" s="2">
        <v>268783.49694268685</v>
      </c>
      <c r="F12" s="2">
        <v>417958.84007645113</v>
      </c>
      <c r="G12" s="2">
        <v>35.691395618400549</v>
      </c>
      <c r="H12" s="2">
        <v>64.308604381599451</v>
      </c>
      <c r="I12" s="2">
        <f t="shared" si="0"/>
        <v>100</v>
      </c>
      <c r="J12" s="2">
        <v>-4.0190518426124697</v>
      </c>
      <c r="K12" s="2">
        <v>11.158898866053471</v>
      </c>
      <c r="L12" s="2">
        <v>5.2157830768363738</v>
      </c>
      <c r="M12" s="2">
        <v>-1.5737098454190235</v>
      </c>
      <c r="N12" s="2">
        <v>6.7894929222553966</v>
      </c>
      <c r="O12" s="23">
        <v>5.2157830768363729</v>
      </c>
      <c r="P12" s="2"/>
      <c r="Q12" s="14"/>
    </row>
    <row r="13" spans="1:17" x14ac:dyDescent="0.25">
      <c r="A13" s="95"/>
      <c r="B13" s="94"/>
      <c r="C13" s="28" t="s">
        <v>31</v>
      </c>
      <c r="D13" s="20">
        <v>137687.7960223337</v>
      </c>
      <c r="E13" s="20">
        <v>308516.76030172047</v>
      </c>
      <c r="F13" s="20">
        <v>446204.55632405414</v>
      </c>
      <c r="G13" s="20">
        <v>30.857550437548319</v>
      </c>
      <c r="H13" s="20">
        <v>69.142449562451674</v>
      </c>
      <c r="I13" s="20">
        <f t="shared" si="0"/>
        <v>100</v>
      </c>
      <c r="J13" s="20">
        <v>-3.3574444010015014</v>
      </c>
      <c r="K13" s="20">
        <v>7.8078614180781614</v>
      </c>
      <c r="L13" s="20">
        <v>3.4359467519616658</v>
      </c>
      <c r="M13" s="20">
        <v>-1.3146492048902154</v>
      </c>
      <c r="N13" s="20">
        <v>4.7505959568518819</v>
      </c>
      <c r="O13" s="24">
        <v>3.4359467519616667</v>
      </c>
      <c r="P13" s="2"/>
      <c r="Q13" s="14"/>
    </row>
    <row r="14" spans="1:17" x14ac:dyDescent="0.25">
      <c r="A14" s="95"/>
      <c r="B14" s="92">
        <v>2004</v>
      </c>
      <c r="C14" s="53" t="s">
        <v>51</v>
      </c>
      <c r="D14" s="35">
        <v>821202.14279448835</v>
      </c>
      <c r="E14" s="35">
        <v>1434245.7289307131</v>
      </c>
      <c r="F14" s="35">
        <v>2255447.8717252016</v>
      </c>
      <c r="G14" s="35">
        <v>36.409715032178838</v>
      </c>
      <c r="H14" s="35">
        <v>63.590284967821162</v>
      </c>
      <c r="I14" s="35">
        <f t="shared" si="0"/>
        <v>100</v>
      </c>
      <c r="J14" s="35">
        <v>13.7555858740199</v>
      </c>
      <c r="K14" s="35">
        <v>10.124979611012478</v>
      </c>
      <c r="L14" s="35">
        <v>11.419863390458488</v>
      </c>
      <c r="M14" s="35">
        <v>4.9060359991475782</v>
      </c>
      <c r="N14" s="35">
        <v>6.5138273913109117</v>
      </c>
      <c r="O14" s="36">
        <v>11.41986339045849</v>
      </c>
      <c r="P14" s="6"/>
      <c r="Q14" s="14"/>
    </row>
    <row r="15" spans="1:17" x14ac:dyDescent="0.25">
      <c r="A15" s="95"/>
      <c r="B15" s="93">
        <v>2003</v>
      </c>
      <c r="C15" s="16" t="s">
        <v>28</v>
      </c>
      <c r="D15" s="2">
        <v>172541.71319906021</v>
      </c>
      <c r="E15" s="2">
        <v>244074.07820638313</v>
      </c>
      <c r="F15" s="2">
        <v>416615.79140544333</v>
      </c>
      <c r="G15" s="2">
        <v>41.415067973538619</v>
      </c>
      <c r="H15" s="2">
        <v>58.584932026461381</v>
      </c>
      <c r="I15" s="2">
        <f t="shared" si="0"/>
        <v>100</v>
      </c>
      <c r="J15" s="2">
        <v>12.669736802307568</v>
      </c>
      <c r="K15" s="2">
        <v>-6.1985196612211757</v>
      </c>
      <c r="L15" s="2">
        <v>0.53098981216696473</v>
      </c>
      <c r="M15" s="2">
        <v>4.5187595367525333</v>
      </c>
      <c r="N15" s="2">
        <v>-3.9877697245855686</v>
      </c>
      <c r="O15" s="23">
        <v>0.53098981216696473</v>
      </c>
      <c r="P15" s="2"/>
      <c r="Q15" s="14"/>
    </row>
    <row r="16" spans="1:17" x14ac:dyDescent="0.25">
      <c r="A16" s="95"/>
      <c r="B16" s="93"/>
      <c r="C16" s="16" t="s">
        <v>29</v>
      </c>
      <c r="D16" s="2">
        <v>179895.2673127545</v>
      </c>
      <c r="E16" s="2">
        <v>373933.96739846678</v>
      </c>
      <c r="F16" s="2">
        <v>553829.2347112213</v>
      </c>
      <c r="G16" s="2">
        <v>32.482082208346377</v>
      </c>
      <c r="H16" s="2">
        <v>67.517917791653616</v>
      </c>
      <c r="I16" s="2">
        <f t="shared" si="0"/>
        <v>100</v>
      </c>
      <c r="J16" s="2">
        <v>13.932514702325832</v>
      </c>
      <c r="K16" s="2">
        <v>19.603222083317267</v>
      </c>
      <c r="L16" s="2">
        <v>17.580720475129084</v>
      </c>
      <c r="M16" s="2">
        <v>4.9691390329918388</v>
      </c>
      <c r="N16" s="2">
        <v>12.611581442137245</v>
      </c>
      <c r="O16" s="23">
        <v>17.580720475129084</v>
      </c>
      <c r="P16" s="2"/>
      <c r="Q16" s="14"/>
    </row>
    <row r="17" spans="1:17" x14ac:dyDescent="0.25">
      <c r="A17" s="95"/>
      <c r="B17" s="93"/>
      <c r="C17" s="16" t="s">
        <v>30</v>
      </c>
      <c r="D17" s="2">
        <v>223187.5680829765</v>
      </c>
      <c r="E17" s="2">
        <v>384844.85646318377</v>
      </c>
      <c r="F17" s="2">
        <v>608032.42454616027</v>
      </c>
      <c r="G17" s="2">
        <v>36.706524039333146</v>
      </c>
      <c r="H17" s="2">
        <v>63.293475960666854</v>
      </c>
      <c r="I17" s="2">
        <f t="shared" si="0"/>
        <v>100</v>
      </c>
      <c r="J17" s="2">
        <v>14.301669534536444</v>
      </c>
      <c r="K17" s="2">
        <v>13.247867721364701</v>
      </c>
      <c r="L17" s="2">
        <v>13.623714281353983</v>
      </c>
      <c r="M17" s="2">
        <v>5.1008009565675643</v>
      </c>
      <c r="N17" s="2">
        <v>8.5229133247864191</v>
      </c>
      <c r="O17" s="23">
        <v>13.623714281353983</v>
      </c>
      <c r="P17" s="2"/>
      <c r="Q17" s="14"/>
    </row>
    <row r="18" spans="1:17" x14ac:dyDescent="0.25">
      <c r="A18" s="95"/>
      <c r="B18" s="94"/>
      <c r="C18" s="28" t="s">
        <v>31</v>
      </c>
      <c r="D18" s="20">
        <v>245577.59419969714</v>
      </c>
      <c r="E18" s="20">
        <v>431392.82686268014</v>
      </c>
      <c r="F18" s="20">
        <v>676970.42106237728</v>
      </c>
      <c r="G18" s="20">
        <v>36.275971085163434</v>
      </c>
      <c r="H18" s="20">
        <v>63.724028914836566</v>
      </c>
      <c r="I18" s="20">
        <f t="shared" si="0"/>
        <v>100</v>
      </c>
      <c r="J18" s="20">
        <v>14.143115876551462</v>
      </c>
      <c r="K18" s="20">
        <v>12.815443772914357</v>
      </c>
      <c r="L18" s="20">
        <v>13.288968288348471</v>
      </c>
      <c r="M18" s="20">
        <v>5.0442515692135874</v>
      </c>
      <c r="N18" s="20">
        <v>8.2447167191348836</v>
      </c>
      <c r="O18" s="24">
        <v>13.288968288348471</v>
      </c>
      <c r="P18" s="2"/>
      <c r="Q18" s="14"/>
    </row>
    <row r="19" spans="1:17" x14ac:dyDescent="0.25">
      <c r="A19" s="95"/>
      <c r="B19" s="92">
        <v>2005</v>
      </c>
      <c r="C19" s="53" t="s">
        <v>51</v>
      </c>
      <c r="D19" s="35">
        <v>1560680.6272785775</v>
      </c>
      <c r="E19" s="35">
        <v>2047414.6815821566</v>
      </c>
      <c r="F19" s="35">
        <v>3608095.3088607341</v>
      </c>
      <c r="G19" s="35">
        <v>43.254972324203003</v>
      </c>
      <c r="H19" s="35">
        <v>56.745027675796997</v>
      </c>
      <c r="I19" s="35">
        <f t="shared" si="0"/>
        <v>100</v>
      </c>
      <c r="J19" s="35">
        <v>25.256772285398867</v>
      </c>
      <c r="K19" s="35">
        <v>7.7981388532301921</v>
      </c>
      <c r="L19" s="35">
        <v>14.154777534395507</v>
      </c>
      <c r="M19" s="35">
        <v>9.1959188154400433</v>
      </c>
      <c r="N19" s="35">
        <v>4.9588587189554625</v>
      </c>
      <c r="O19" s="36">
        <v>14.154777534395507</v>
      </c>
      <c r="P19" s="6"/>
      <c r="Q19" s="14"/>
    </row>
    <row r="20" spans="1:17" x14ac:dyDescent="0.25">
      <c r="A20" s="95"/>
      <c r="B20" s="93">
        <v>2003</v>
      </c>
      <c r="C20" s="16" t="s">
        <v>28</v>
      </c>
      <c r="D20" s="2">
        <v>351197.92378393497</v>
      </c>
      <c r="E20" s="2">
        <v>461184.90071162878</v>
      </c>
      <c r="F20" s="2">
        <v>812382.82449556375</v>
      </c>
      <c r="G20" s="2">
        <v>43.230594393967621</v>
      </c>
      <c r="H20" s="2">
        <v>56.769405606032379</v>
      </c>
      <c r="I20" s="2">
        <f t="shared" si="0"/>
        <v>100</v>
      </c>
      <c r="J20" s="2">
        <v>26.642064522883274</v>
      </c>
      <c r="K20" s="2">
        <v>46.211285000842196</v>
      </c>
      <c r="L20" s="2">
        <v>39.086187590798573</v>
      </c>
      <c r="M20" s="2">
        <v>9.7002997714710109</v>
      </c>
      <c r="N20" s="2">
        <v>29.385887819327561</v>
      </c>
      <c r="O20" s="23">
        <v>39.086187590798573</v>
      </c>
      <c r="P20" s="2"/>
      <c r="Q20" s="14"/>
    </row>
    <row r="21" spans="1:17" x14ac:dyDescent="0.25">
      <c r="A21" s="95"/>
      <c r="B21" s="93"/>
      <c r="C21" s="16" t="s">
        <v>29</v>
      </c>
      <c r="D21" s="2">
        <v>357911.72815978405</v>
      </c>
      <c r="E21" s="2">
        <v>526306.93023345736</v>
      </c>
      <c r="F21" s="2">
        <v>884218.65839324135</v>
      </c>
      <c r="G21" s="2">
        <v>40.477739839845007</v>
      </c>
      <c r="H21" s="2">
        <v>59.522260160154993</v>
      </c>
      <c r="I21" s="2">
        <f t="shared" si="0"/>
        <v>100</v>
      </c>
      <c r="J21" s="2">
        <v>26.380336451901584</v>
      </c>
      <c r="K21" s="2">
        <v>8.2424794432290884</v>
      </c>
      <c r="L21" s="2">
        <v>14.846421493030817</v>
      </c>
      <c r="M21" s="2">
        <v>9.6050053266673601</v>
      </c>
      <c r="N21" s="2">
        <v>5.2414161663634582</v>
      </c>
      <c r="O21" s="23">
        <v>14.846421493030817</v>
      </c>
      <c r="P21" s="2"/>
      <c r="Q21" s="14"/>
    </row>
    <row r="22" spans="1:17" x14ac:dyDescent="0.25">
      <c r="A22" s="95"/>
      <c r="B22" s="93"/>
      <c r="C22" s="16" t="s">
        <v>30</v>
      </c>
      <c r="D22" s="2">
        <v>461027.64191585459</v>
      </c>
      <c r="E22" s="2">
        <v>538863.93162467866</v>
      </c>
      <c r="F22" s="2">
        <v>999891.57354053319</v>
      </c>
      <c r="G22" s="2">
        <v>46.107763493134954</v>
      </c>
      <c r="H22" s="2">
        <v>53.892236506865046</v>
      </c>
      <c r="I22" s="2">
        <f t="shared" si="0"/>
        <v>100</v>
      </c>
      <c r="J22" s="2">
        <v>25.062703447568296</v>
      </c>
      <c r="K22" s="2">
        <v>6.6662270232764849</v>
      </c>
      <c r="L22" s="2">
        <v>13.364331665323093</v>
      </c>
      <c r="M22" s="2">
        <v>9.1252589046196722</v>
      </c>
      <c r="N22" s="2">
        <v>4.2390727607034195</v>
      </c>
      <c r="O22" s="23">
        <v>13.364331665323093</v>
      </c>
      <c r="P22" s="2"/>
      <c r="Q22" s="14"/>
    </row>
    <row r="23" spans="1:17" x14ac:dyDescent="0.25">
      <c r="A23" s="95"/>
      <c r="B23" s="94"/>
      <c r="C23" s="28" t="s">
        <v>31</v>
      </c>
      <c r="D23" s="20">
        <v>390543.33341900393</v>
      </c>
      <c r="E23" s="20">
        <v>521058.91901239153</v>
      </c>
      <c r="F23" s="20">
        <v>911602.25243139546</v>
      </c>
      <c r="G23" s="20">
        <v>42.841418214726836</v>
      </c>
      <c r="H23" s="20">
        <v>57.158581785273164</v>
      </c>
      <c r="I23" s="20">
        <f t="shared" si="0"/>
        <v>100</v>
      </c>
      <c r="J23" s="20">
        <v>22.978414716524512</v>
      </c>
      <c r="K23" s="20">
        <v>-20.113812872480931</v>
      </c>
      <c r="L23" s="20">
        <v>-4.4240556063061121</v>
      </c>
      <c r="M23" s="20">
        <v>8.3663753171988144</v>
      </c>
      <c r="N23" s="20">
        <v>-12.790430923504925</v>
      </c>
      <c r="O23" s="24">
        <v>-4.4240556063061103</v>
      </c>
      <c r="P23" s="2"/>
      <c r="Q23" s="14"/>
    </row>
    <row r="24" spans="1:17" x14ac:dyDescent="0.25">
      <c r="A24" s="95"/>
      <c r="B24" s="92">
        <v>2006</v>
      </c>
      <c r="C24" s="53" t="s">
        <v>51</v>
      </c>
      <c r="D24" s="35">
        <v>1904860.19656251</v>
      </c>
      <c r="E24" s="35">
        <v>2809021.37175042</v>
      </c>
      <c r="F24" s="35">
        <v>4713881.5683129299</v>
      </c>
      <c r="G24" s="35">
        <v>40.409589612244929</v>
      </c>
      <c r="H24" s="35">
        <v>59.590410387755071</v>
      </c>
      <c r="I24" s="35">
        <f t="shared" si="0"/>
        <v>100</v>
      </c>
      <c r="J24" s="35">
        <v>12.969346715565578</v>
      </c>
      <c r="K24" s="35">
        <v>10.982337657603209</v>
      </c>
      <c r="L24" s="35">
        <v>11.841817875704237</v>
      </c>
      <c r="M24" s="35">
        <v>5.6098873324478209</v>
      </c>
      <c r="N24" s="35">
        <v>6.2319305432564169</v>
      </c>
      <c r="O24" s="36">
        <v>11.841817875704237</v>
      </c>
      <c r="P24" s="6"/>
      <c r="Q24" s="14"/>
    </row>
    <row r="25" spans="1:17" x14ac:dyDescent="0.25">
      <c r="A25" s="95"/>
      <c r="B25" s="93">
        <v>2003</v>
      </c>
      <c r="C25" s="16" t="s">
        <v>28</v>
      </c>
      <c r="D25" s="2">
        <v>476232.51001853566</v>
      </c>
      <c r="E25" s="2">
        <v>639079.86156645278</v>
      </c>
      <c r="F25" s="2">
        <v>1115312.3715849884</v>
      </c>
      <c r="G25" s="2">
        <v>42.699473452603591</v>
      </c>
      <c r="H25" s="2">
        <v>57.300526547396409</v>
      </c>
      <c r="I25" s="2">
        <f t="shared" si="0"/>
        <v>100</v>
      </c>
      <c r="J25" s="2">
        <v>12.401152721595523</v>
      </c>
      <c r="K25" s="2">
        <v>3.3304829314407778</v>
      </c>
      <c r="L25" s="2">
        <v>7.253998638792055</v>
      </c>
      <c r="M25" s="2">
        <v>5.3641151776082898</v>
      </c>
      <c r="N25" s="2">
        <v>1.8898834611837647</v>
      </c>
      <c r="O25" s="23">
        <v>7.253998638792055</v>
      </c>
      <c r="P25" s="2"/>
      <c r="Q25" s="14"/>
    </row>
    <row r="26" spans="1:17" x14ac:dyDescent="0.25">
      <c r="A26" s="95"/>
      <c r="B26" s="93"/>
      <c r="C26" s="16" t="s">
        <v>29</v>
      </c>
      <c r="D26" s="2">
        <v>500115.24502903182</v>
      </c>
      <c r="E26" s="2">
        <v>715220.87868790864</v>
      </c>
      <c r="F26" s="2">
        <v>1215336.1237169404</v>
      </c>
      <c r="G26" s="2">
        <v>41.150364518047674</v>
      </c>
      <c r="H26" s="2">
        <v>58.849635481952326</v>
      </c>
      <c r="I26" s="2">
        <f t="shared" si="0"/>
        <v>100</v>
      </c>
      <c r="J26" s="2">
        <v>11.557789138043901</v>
      </c>
      <c r="K26" s="2">
        <v>4.1147071935378001</v>
      </c>
      <c r="L26" s="2">
        <v>7.3342102287016644</v>
      </c>
      <c r="M26" s="2">
        <v>4.9993184929506294</v>
      </c>
      <c r="N26" s="2">
        <v>2.334891735751035</v>
      </c>
      <c r="O26" s="23">
        <v>7.3342102287016644</v>
      </c>
      <c r="P26" s="2"/>
      <c r="Q26" s="14"/>
    </row>
    <row r="27" spans="1:17" x14ac:dyDescent="0.25">
      <c r="A27" s="95"/>
      <c r="B27" s="93"/>
      <c r="C27" s="16" t="s">
        <v>30</v>
      </c>
      <c r="D27" s="2">
        <v>495177.76931055152</v>
      </c>
      <c r="E27" s="2">
        <v>694518.81827585469</v>
      </c>
      <c r="F27" s="2">
        <v>1189696.5875864062</v>
      </c>
      <c r="G27" s="2">
        <v>41.622189596688862</v>
      </c>
      <c r="H27" s="2">
        <v>58.377810403311138</v>
      </c>
      <c r="I27" s="2">
        <f t="shared" si="0"/>
        <v>100</v>
      </c>
      <c r="J27" s="2">
        <v>13.271640887873431</v>
      </c>
      <c r="K27" s="2">
        <v>4.6627599982491938</v>
      </c>
      <c r="L27" s="2">
        <v>8.386529044479758</v>
      </c>
      <c r="M27" s="2">
        <v>5.7406445930172616</v>
      </c>
      <c r="N27" s="2">
        <v>2.6458844514624973</v>
      </c>
      <c r="O27" s="23">
        <v>8.386529044479758</v>
      </c>
      <c r="P27" s="2"/>
      <c r="Q27" s="14"/>
    </row>
    <row r="28" spans="1:17" x14ac:dyDescent="0.25">
      <c r="A28" s="95"/>
      <c r="B28" s="94"/>
      <c r="C28" s="28" t="s">
        <v>31</v>
      </c>
      <c r="D28" s="20">
        <v>433334.67220439092</v>
      </c>
      <c r="E28" s="20">
        <v>760201.81322020316</v>
      </c>
      <c r="F28" s="20">
        <v>1193536.485424594</v>
      </c>
      <c r="G28" s="20">
        <v>36.306780521270326</v>
      </c>
      <c r="H28" s="20">
        <v>63.693219478729674</v>
      </c>
      <c r="I28" s="20">
        <f t="shared" si="0"/>
        <v>100</v>
      </c>
      <c r="J28" s="20">
        <v>14.646851792570061</v>
      </c>
      <c r="K28" s="20">
        <v>33.629058596962565</v>
      </c>
      <c r="L28" s="20">
        <v>25.418310297199611</v>
      </c>
      <c r="M28" s="20">
        <v>6.3354916892432094</v>
      </c>
      <c r="N28" s="20">
        <v>19.082818607956398</v>
      </c>
      <c r="O28" s="24">
        <v>25.418310297199607</v>
      </c>
      <c r="P28" s="2"/>
      <c r="Q28" s="14"/>
    </row>
    <row r="29" spans="1:17" x14ac:dyDescent="0.25">
      <c r="A29" s="95"/>
      <c r="B29" s="92">
        <v>2007</v>
      </c>
      <c r="C29" s="53" t="s">
        <v>51</v>
      </c>
      <c r="D29" s="35">
        <v>2436848.8374239327</v>
      </c>
      <c r="E29" s="35">
        <v>3165600.7756926147</v>
      </c>
      <c r="F29" s="35">
        <v>5602449.6131165475</v>
      </c>
      <c r="G29" s="35">
        <v>43.496131258704082</v>
      </c>
      <c r="H29" s="35">
        <v>56.503868741295918</v>
      </c>
      <c r="I29" s="35">
        <f t="shared" si="0"/>
        <v>100</v>
      </c>
      <c r="J29" s="35">
        <v>21.652374113726665</v>
      </c>
      <c r="K29" s="35">
        <v>7.1371440429054456</v>
      </c>
      <c r="L29" s="35">
        <v>13.002688945797473</v>
      </c>
      <c r="M29" s="35">
        <v>8.7496355206649046</v>
      </c>
      <c r="N29" s="35">
        <v>4.2530534251325678</v>
      </c>
      <c r="O29" s="36">
        <v>13.002688945797473</v>
      </c>
      <c r="P29" s="6"/>
      <c r="Q29" s="14"/>
    </row>
    <row r="30" spans="1:17" x14ac:dyDescent="0.25">
      <c r="A30" s="95"/>
      <c r="B30" s="93">
        <v>2003</v>
      </c>
      <c r="C30" s="16" t="s">
        <v>28</v>
      </c>
      <c r="D30" s="2">
        <v>541387.34947835328</v>
      </c>
      <c r="E30" s="2">
        <v>720031.72265251214</v>
      </c>
      <c r="F30" s="2">
        <v>1261419.0721308654</v>
      </c>
      <c r="G30" s="2">
        <v>42.918912630979094</v>
      </c>
      <c r="H30" s="2">
        <v>57.081087369020906</v>
      </c>
      <c r="I30" s="2">
        <f t="shared" si="0"/>
        <v>100</v>
      </c>
      <c r="J30" s="2">
        <v>21.880697334209145</v>
      </c>
      <c r="K30" s="2">
        <v>8.824291198412233</v>
      </c>
      <c r="L30" s="2">
        <v>14.100331335995733</v>
      </c>
      <c r="M30" s="2">
        <v>8.8418999970513354</v>
      </c>
      <c r="N30" s="2">
        <v>5.2584313389443986</v>
      </c>
      <c r="O30" s="23">
        <v>14.100331335995733</v>
      </c>
      <c r="P30" s="2"/>
      <c r="Q30" s="14"/>
    </row>
    <row r="31" spans="1:17" x14ac:dyDescent="0.25">
      <c r="A31" s="95"/>
      <c r="B31" s="93"/>
      <c r="C31" s="16" t="s">
        <v>29</v>
      </c>
      <c r="D31" s="2">
        <v>533719.65656034148</v>
      </c>
      <c r="E31" s="2">
        <v>794964.09881047194</v>
      </c>
      <c r="F31" s="2">
        <v>1328683.7553708134</v>
      </c>
      <c r="G31" s="2">
        <v>40.169051093078899</v>
      </c>
      <c r="H31" s="2">
        <v>59.830948906921101</v>
      </c>
      <c r="I31" s="2">
        <f t="shared" si="0"/>
        <v>100</v>
      </c>
      <c r="J31" s="2">
        <v>22.10555224638513</v>
      </c>
      <c r="K31" s="2">
        <v>8.0997151608110958</v>
      </c>
      <c r="L31" s="2">
        <v>13.759416448851169</v>
      </c>
      <c r="M31" s="2">
        <v>8.9327629442846241</v>
      </c>
      <c r="N31" s="2">
        <v>4.8266535045665462</v>
      </c>
      <c r="O31" s="23">
        <v>13.759416448851169</v>
      </c>
      <c r="P31" s="2"/>
      <c r="Q31" s="14"/>
    </row>
    <row r="32" spans="1:17" x14ac:dyDescent="0.25">
      <c r="A32" s="95"/>
      <c r="B32" s="93"/>
      <c r="C32" s="16" t="s">
        <v>30</v>
      </c>
      <c r="D32" s="2">
        <v>624830.23030116549</v>
      </c>
      <c r="E32" s="2">
        <v>846321.93164049578</v>
      </c>
      <c r="F32" s="2">
        <v>1471152.1619416613</v>
      </c>
      <c r="G32" s="2">
        <v>42.472168852778616</v>
      </c>
      <c r="H32" s="2">
        <v>57.527831147221384</v>
      </c>
      <c r="I32" s="2">
        <f t="shared" si="0"/>
        <v>100</v>
      </c>
      <c r="J32" s="2">
        <v>21.078130858799057</v>
      </c>
      <c r="K32" s="2">
        <v>11.424609946559833</v>
      </c>
      <c r="L32" s="2">
        <v>15.325558130327948</v>
      </c>
      <c r="M32" s="2">
        <v>8.5175861779726603</v>
      </c>
      <c r="N32" s="2">
        <v>6.8079719523552882</v>
      </c>
      <c r="O32" s="23">
        <v>15.325558130327948</v>
      </c>
      <c r="P32" s="2"/>
      <c r="Q32" s="14"/>
    </row>
    <row r="33" spans="1:17" x14ac:dyDescent="0.25">
      <c r="A33" s="95"/>
      <c r="B33" s="94"/>
      <c r="C33" s="28" t="s">
        <v>31</v>
      </c>
      <c r="D33" s="20">
        <v>736911.60108407296</v>
      </c>
      <c r="E33" s="20">
        <v>804283.02258913487</v>
      </c>
      <c r="F33" s="20">
        <v>1541194.6236732078</v>
      </c>
      <c r="G33" s="20">
        <v>47.814311688147079</v>
      </c>
      <c r="H33" s="20">
        <v>52.185688311852921</v>
      </c>
      <c r="I33" s="20">
        <f t="shared" si="0"/>
        <v>100</v>
      </c>
      <c r="J33" s="20">
        <v>21.561240379206907</v>
      </c>
      <c r="K33" s="20">
        <v>0.69135880125394966</v>
      </c>
      <c r="L33" s="20">
        <v>9.1247922994662503</v>
      </c>
      <c r="M33" s="20">
        <v>8.7128087525471578</v>
      </c>
      <c r="N33" s="20">
        <v>0.41198354691909245</v>
      </c>
      <c r="O33" s="24">
        <v>9.1247922994662503</v>
      </c>
      <c r="P33" s="2"/>
      <c r="Q33" s="14"/>
    </row>
    <row r="34" spans="1:17" x14ac:dyDescent="0.25">
      <c r="A34" s="95"/>
      <c r="B34" s="92">
        <v>2008</v>
      </c>
      <c r="C34" s="53" t="s">
        <v>51</v>
      </c>
      <c r="D34" s="35">
        <v>3231741.1254653744</v>
      </c>
      <c r="E34" s="35">
        <v>4180836.4048420601</v>
      </c>
      <c r="F34" s="35">
        <v>7412577.5303074345</v>
      </c>
      <c r="G34" s="35">
        <v>43.598075193843385</v>
      </c>
      <c r="H34" s="35">
        <v>56.401924806156615</v>
      </c>
      <c r="I34" s="35">
        <f t="shared" si="0"/>
        <v>100</v>
      </c>
      <c r="J34" s="35">
        <v>10.171586878772999</v>
      </c>
      <c r="K34" s="35">
        <v>11.260094948373178</v>
      </c>
      <c r="L34" s="35">
        <v>10.786636049658298</v>
      </c>
      <c r="M34" s="35">
        <v>4.4242467798842249</v>
      </c>
      <c r="N34" s="35">
        <v>6.3623892697740745</v>
      </c>
      <c r="O34" s="36">
        <v>10.786636049658298</v>
      </c>
      <c r="P34" s="6"/>
      <c r="Q34" s="14"/>
    </row>
    <row r="35" spans="1:17" x14ac:dyDescent="0.25">
      <c r="A35" s="95"/>
      <c r="B35" s="93">
        <v>2003</v>
      </c>
      <c r="C35" s="16" t="s">
        <v>28</v>
      </c>
      <c r="D35" s="2">
        <v>871927.81480746774</v>
      </c>
      <c r="E35" s="2">
        <v>915628.42279600876</v>
      </c>
      <c r="F35" s="2">
        <v>1787556.2376034765</v>
      </c>
      <c r="G35" s="2">
        <v>48.777643828226374</v>
      </c>
      <c r="H35" s="2">
        <v>51.222356171773626</v>
      </c>
      <c r="I35" s="2">
        <f t="shared" si="0"/>
        <v>100</v>
      </c>
      <c r="J35" s="2">
        <v>10.551783776270156</v>
      </c>
      <c r="K35" s="2">
        <v>9.0646644425481497</v>
      </c>
      <c r="L35" s="2">
        <v>9.7115038199174393</v>
      </c>
      <c r="M35" s="2">
        <v>4.5896177214611082</v>
      </c>
      <c r="N35" s="2">
        <v>5.1218860984563301</v>
      </c>
      <c r="O35" s="23">
        <v>9.7115038199174393</v>
      </c>
      <c r="P35" s="2"/>
      <c r="Q35" s="14"/>
    </row>
    <row r="36" spans="1:17" x14ac:dyDescent="0.25">
      <c r="A36" s="95"/>
      <c r="B36" s="93"/>
      <c r="C36" s="16" t="s">
        <v>29</v>
      </c>
      <c r="D36" s="2">
        <v>1050516.6609450984</v>
      </c>
      <c r="E36" s="2">
        <v>1004836.9290904053</v>
      </c>
      <c r="F36" s="2">
        <v>2055353.5900355037</v>
      </c>
      <c r="G36" s="2">
        <v>51.11123779568031</v>
      </c>
      <c r="H36" s="2">
        <v>48.88876220431969</v>
      </c>
      <c r="I36" s="2">
        <f t="shared" si="0"/>
        <v>100</v>
      </c>
      <c r="J36" s="2">
        <v>10.914059369526186</v>
      </c>
      <c r="K36" s="2">
        <v>2.608687124044291</v>
      </c>
      <c r="L36" s="2">
        <v>6.2212027374630736</v>
      </c>
      <c r="M36" s="2">
        <v>4.7471935890220003</v>
      </c>
      <c r="N36" s="2">
        <v>1.4740091484410738</v>
      </c>
      <c r="O36" s="23">
        <v>6.2212027374630736</v>
      </c>
      <c r="P36" s="2"/>
      <c r="Q36" s="14"/>
    </row>
    <row r="37" spans="1:17" x14ac:dyDescent="0.25">
      <c r="A37" s="95"/>
      <c r="B37" s="93"/>
      <c r="C37" s="16" t="s">
        <v>30</v>
      </c>
      <c r="D37" s="2">
        <v>906829.11243195774</v>
      </c>
      <c r="E37" s="2">
        <v>1059365.7931297342</v>
      </c>
      <c r="F37" s="2">
        <v>1966194.9055616918</v>
      </c>
      <c r="G37" s="2">
        <v>46.121018311401826</v>
      </c>
      <c r="H37" s="2">
        <v>53.878981688598174</v>
      </c>
      <c r="I37" s="2">
        <f t="shared" si="0"/>
        <v>100</v>
      </c>
      <c r="J37" s="2">
        <v>10.070842781229601</v>
      </c>
      <c r="K37" s="2">
        <v>4.7941023749228009</v>
      </c>
      <c r="L37" s="2">
        <v>7.089280308231082</v>
      </c>
      <c r="M37" s="2">
        <v>4.3804269949813515</v>
      </c>
      <c r="N37" s="2">
        <v>2.7088533132497301</v>
      </c>
      <c r="O37" s="23">
        <v>7.089280308231082</v>
      </c>
      <c r="P37" s="2"/>
      <c r="Q37" s="14"/>
    </row>
    <row r="38" spans="1:17" x14ac:dyDescent="0.25">
      <c r="A38" s="95"/>
      <c r="B38" s="94"/>
      <c r="C38" s="28" t="s">
        <v>31</v>
      </c>
      <c r="D38" s="20">
        <v>402467.53728085046</v>
      </c>
      <c r="E38" s="20">
        <v>1201005.2598259118</v>
      </c>
      <c r="F38" s="20">
        <v>1603472.7971067624</v>
      </c>
      <c r="G38" s="20">
        <v>25.09974213513604</v>
      </c>
      <c r="H38" s="20">
        <v>74.90025786486396</v>
      </c>
      <c r="I38" s="20">
        <f t="shared" si="0"/>
        <v>100</v>
      </c>
      <c r="J38" s="20">
        <v>9.1676382336375468</v>
      </c>
      <c r="K38" s="20">
        <v>28.085845908149587</v>
      </c>
      <c r="L38" s="20">
        <v>19.857157466249603</v>
      </c>
      <c r="M38" s="20">
        <v>3.9875679594261277</v>
      </c>
      <c r="N38" s="20">
        <v>15.869589506823475</v>
      </c>
      <c r="O38" s="24">
        <v>19.857157466249603</v>
      </c>
      <c r="P38" s="2"/>
      <c r="Q38" s="14"/>
    </row>
    <row r="39" spans="1:17" x14ac:dyDescent="0.25">
      <c r="A39" s="95"/>
      <c r="B39" s="92">
        <v>2009</v>
      </c>
      <c r="C39" s="53" t="s">
        <v>51</v>
      </c>
      <c r="D39" s="35">
        <v>1536797.0591260802</v>
      </c>
      <c r="E39" s="35">
        <v>4944724.7404349223</v>
      </c>
      <c r="F39" s="35">
        <v>6481521.7995610023</v>
      </c>
      <c r="G39" s="35">
        <v>23.710435707092252</v>
      </c>
      <c r="H39" s="35">
        <v>76.289564292907755</v>
      </c>
      <c r="I39" s="35">
        <f t="shared" si="0"/>
        <v>100</v>
      </c>
      <c r="J39" s="35">
        <v>-6.2164048813682626</v>
      </c>
      <c r="K39" s="35">
        <v>8.343371238827725</v>
      </c>
      <c r="L39" s="35">
        <v>1.9955890978894217</v>
      </c>
      <c r="M39" s="35">
        <v>-2.7102328745326876</v>
      </c>
      <c r="N39" s="81">
        <v>4.7058219724221084</v>
      </c>
      <c r="O39" s="36">
        <v>1.9955890978894208</v>
      </c>
      <c r="P39" s="6"/>
      <c r="Q39" s="14"/>
    </row>
    <row r="40" spans="1:17" x14ac:dyDescent="0.25">
      <c r="A40" s="95"/>
      <c r="B40" s="93">
        <v>2003</v>
      </c>
      <c r="C40" s="16" t="s">
        <v>28</v>
      </c>
      <c r="D40" s="2">
        <v>281768.19639977149</v>
      </c>
      <c r="E40" s="2">
        <v>1149418.189684975</v>
      </c>
      <c r="F40" s="2">
        <v>1431186.3860847466</v>
      </c>
      <c r="G40" s="2">
        <v>19.68773593288546</v>
      </c>
      <c r="H40" s="2">
        <v>80.31226406711454</v>
      </c>
      <c r="I40" s="2">
        <f t="shared" si="0"/>
        <v>100</v>
      </c>
      <c r="J40" s="2">
        <v>-7.3165216718675907</v>
      </c>
      <c r="K40" s="2">
        <v>8.199405217785424</v>
      </c>
      <c r="L40" s="2">
        <v>1.4347597454127339</v>
      </c>
      <c r="M40" s="2">
        <v>-3.1898626200746816</v>
      </c>
      <c r="N40" s="2">
        <v>4.624622365487415</v>
      </c>
      <c r="O40" s="23">
        <v>1.4347597454127334</v>
      </c>
      <c r="P40" s="2"/>
      <c r="Q40" s="14"/>
    </row>
    <row r="41" spans="1:17" x14ac:dyDescent="0.25">
      <c r="A41" s="95"/>
      <c r="B41" s="93"/>
      <c r="C41" s="16" t="s">
        <v>29</v>
      </c>
      <c r="D41" s="2">
        <v>349232.22712549067</v>
      </c>
      <c r="E41" s="2">
        <v>1247936.3997719828</v>
      </c>
      <c r="F41" s="2">
        <v>1597168.6268974734</v>
      </c>
      <c r="G41" s="2">
        <v>21.865707931158155</v>
      </c>
      <c r="H41" s="2">
        <v>78.134292068841845</v>
      </c>
      <c r="I41" s="2">
        <f t="shared" si="0"/>
        <v>100</v>
      </c>
      <c r="J41" s="2">
        <v>-6.4040176353700105</v>
      </c>
      <c r="K41" s="2">
        <v>16.673600742466981</v>
      </c>
      <c r="L41" s="2">
        <v>6.6122033291493807</v>
      </c>
      <c r="M41" s="2">
        <v>-2.7920284240956099</v>
      </c>
      <c r="N41" s="2">
        <v>9.4042317532449928</v>
      </c>
      <c r="O41" s="23">
        <v>6.6122033291493825</v>
      </c>
      <c r="P41" s="2"/>
      <c r="Q41" s="14"/>
    </row>
    <row r="42" spans="1:17" x14ac:dyDescent="0.25">
      <c r="A42" s="95"/>
      <c r="B42" s="93"/>
      <c r="C42" s="16" t="s">
        <v>30</v>
      </c>
      <c r="D42" s="2">
        <v>394424.64315174951</v>
      </c>
      <c r="E42" s="2">
        <v>1246621.7233912498</v>
      </c>
      <c r="F42" s="2">
        <v>1641046.3665429994</v>
      </c>
      <c r="G42" s="2">
        <v>24.034948139986916</v>
      </c>
      <c r="H42" s="2">
        <v>75.965051860013091</v>
      </c>
      <c r="I42" s="2">
        <f t="shared" si="0"/>
        <v>100</v>
      </c>
      <c r="J42" s="2">
        <v>-5.780657116716938</v>
      </c>
      <c r="K42" s="2">
        <v>12.987732040051082</v>
      </c>
      <c r="L42" s="2">
        <v>4.8050756228102074</v>
      </c>
      <c r="M42" s="2">
        <v>-2.5202552364445112</v>
      </c>
      <c r="N42" s="2">
        <v>7.3253308592547164</v>
      </c>
      <c r="O42" s="23">
        <v>4.8050756228102056</v>
      </c>
      <c r="P42" s="2"/>
      <c r="Q42" s="14"/>
    </row>
    <row r="43" spans="1:17" x14ac:dyDescent="0.25">
      <c r="A43" s="95"/>
      <c r="B43" s="94"/>
      <c r="C43" s="28" t="s">
        <v>31</v>
      </c>
      <c r="D43" s="20">
        <v>511371.99244906852</v>
      </c>
      <c r="E43" s="20">
        <v>1300748.4275867133</v>
      </c>
      <c r="F43" s="20">
        <v>1812120.4200357818</v>
      </c>
      <c r="G43" s="20">
        <v>28.219537001794343</v>
      </c>
      <c r="H43" s="20">
        <v>71.78046299820565</v>
      </c>
      <c r="I43" s="20">
        <f t="shared" si="0"/>
        <v>100</v>
      </c>
      <c r="J43" s="20">
        <v>-5.3401742420082456</v>
      </c>
      <c r="K43" s="20">
        <v>-2.7973165315651611</v>
      </c>
      <c r="L43" s="20">
        <v>-3.9059535482365817</v>
      </c>
      <c r="M43" s="20">
        <v>-2.3282131815130125</v>
      </c>
      <c r="N43" s="20">
        <v>-1.5777403667235697</v>
      </c>
      <c r="O43" s="24">
        <v>-3.9059535482365821</v>
      </c>
      <c r="P43" s="2"/>
      <c r="Q43" s="14"/>
    </row>
    <row r="44" spans="1:17" x14ac:dyDescent="0.25">
      <c r="A44" s="95"/>
      <c r="B44" s="92">
        <v>2010</v>
      </c>
      <c r="C44" s="53" t="s">
        <v>51</v>
      </c>
      <c r="D44" s="35">
        <v>2885020.7805345398</v>
      </c>
      <c r="E44" s="35">
        <v>5896287.6733091958</v>
      </c>
      <c r="F44" s="35">
        <v>8781308.4538437352</v>
      </c>
      <c r="G44" s="35">
        <v>32.854110474524042</v>
      </c>
      <c r="H44" s="35">
        <v>67.145889525475951</v>
      </c>
      <c r="I44" s="35">
        <f t="shared" si="0"/>
        <v>100</v>
      </c>
      <c r="J44" s="35">
        <v>-2.3148495892156404</v>
      </c>
      <c r="K44" s="35">
        <v>7.6583562980317597</v>
      </c>
      <c r="L44" s="35">
        <v>5.2936657282000255</v>
      </c>
      <c r="M44" s="35">
        <v>-0.54886092356686367</v>
      </c>
      <c r="N44" s="35">
        <v>5.8425266517668888</v>
      </c>
      <c r="O44" s="36">
        <v>5.2936657282000255</v>
      </c>
      <c r="P44" s="6"/>
      <c r="Q44" s="14"/>
    </row>
    <row r="45" spans="1:17" x14ac:dyDescent="0.25">
      <c r="A45" s="95"/>
      <c r="B45" s="93">
        <v>2003</v>
      </c>
      <c r="C45" s="16" t="s">
        <v>28</v>
      </c>
      <c r="D45" s="2">
        <v>659961.72823157534</v>
      </c>
      <c r="E45" s="2">
        <v>1371846.0250648246</v>
      </c>
      <c r="F45" s="2">
        <v>2031807.7532964</v>
      </c>
      <c r="G45" s="2">
        <v>32.481504569556598</v>
      </c>
      <c r="H45" s="2">
        <v>67.518495430443409</v>
      </c>
      <c r="I45" s="2">
        <f t="shared" si="0"/>
        <v>100</v>
      </c>
      <c r="J45" s="2">
        <v>1.3722483287355089</v>
      </c>
      <c r="K45" s="2">
        <v>10.014891239429939</v>
      </c>
      <c r="L45" s="2">
        <v>7.9656829486961698</v>
      </c>
      <c r="M45" s="2">
        <v>0.32536605772648086</v>
      </c>
      <c r="N45" s="2">
        <v>7.6403168909696877</v>
      </c>
      <c r="O45" s="23">
        <v>7.9656829486961689</v>
      </c>
      <c r="P45" s="2"/>
      <c r="Q45" s="14"/>
    </row>
    <row r="46" spans="1:17" x14ac:dyDescent="0.25">
      <c r="A46" s="95"/>
      <c r="B46" s="93"/>
      <c r="C46" s="16" t="s">
        <v>29</v>
      </c>
      <c r="D46" s="2">
        <v>717777.63760475756</v>
      </c>
      <c r="E46" s="2">
        <v>1524720.5109421364</v>
      </c>
      <c r="F46" s="2">
        <v>2242498.1485468941</v>
      </c>
      <c r="G46" s="2">
        <v>32.007947835759282</v>
      </c>
      <c r="H46" s="2">
        <v>67.992052164240718</v>
      </c>
      <c r="I46" s="2">
        <f t="shared" si="0"/>
        <v>100</v>
      </c>
      <c r="J46" s="2">
        <v>1.8251556847025654</v>
      </c>
      <c r="K46" s="2">
        <v>13.032393074131374</v>
      </c>
      <c r="L46" s="2">
        <v>10.37510825836965</v>
      </c>
      <c r="M46" s="2">
        <v>0.43275236517574128</v>
      </c>
      <c r="N46" s="2">
        <v>9.9423558931939091</v>
      </c>
      <c r="O46" s="23">
        <v>10.37510825836965</v>
      </c>
      <c r="P46" s="2"/>
      <c r="Q46" s="14"/>
    </row>
    <row r="47" spans="1:17" x14ac:dyDescent="0.25">
      <c r="A47" s="95"/>
      <c r="B47" s="93"/>
      <c r="C47" s="16" t="s">
        <v>30</v>
      </c>
      <c r="D47" s="2">
        <v>731403.24297576433</v>
      </c>
      <c r="E47" s="2">
        <v>1534165.4985130755</v>
      </c>
      <c r="F47" s="2">
        <v>2265568.74148884</v>
      </c>
      <c r="G47" s="2">
        <v>32.283427537719106</v>
      </c>
      <c r="H47" s="2">
        <v>67.716572462280894</v>
      </c>
      <c r="I47" s="2">
        <f t="shared" si="0"/>
        <v>100</v>
      </c>
      <c r="J47" s="2">
        <v>-2.3252722862410593</v>
      </c>
      <c r="K47" s="2">
        <v>11.763443753204271</v>
      </c>
      <c r="L47" s="2">
        <v>8.4229477947167908</v>
      </c>
      <c r="M47" s="2">
        <v>-0.55133219044402071</v>
      </c>
      <c r="N47" s="2">
        <v>8.9742799851608126</v>
      </c>
      <c r="O47" s="23">
        <v>8.4229477947167926</v>
      </c>
      <c r="P47" s="2"/>
      <c r="Q47" s="14"/>
    </row>
    <row r="48" spans="1:17" x14ac:dyDescent="0.25">
      <c r="A48" s="95"/>
      <c r="B48" s="94"/>
      <c r="C48" s="28" t="s">
        <v>31</v>
      </c>
      <c r="D48" s="20">
        <v>775878.17172244296</v>
      </c>
      <c r="E48" s="20">
        <v>1465555.6387891602</v>
      </c>
      <c r="F48" s="20">
        <v>2241433.810511603</v>
      </c>
      <c r="G48" s="20">
        <v>34.615261360109059</v>
      </c>
      <c r="H48" s="20">
        <v>65.384738639890941</v>
      </c>
      <c r="I48" s="20">
        <f t="shared" si="0"/>
        <v>100</v>
      </c>
      <c r="J48" s="20">
        <v>-10.042396451423983</v>
      </c>
      <c r="K48" s="20">
        <v>-3.4650320343420757</v>
      </c>
      <c r="L48" s="20">
        <v>-5.0245537956754447</v>
      </c>
      <c r="M48" s="20">
        <v>-2.3810959540661978</v>
      </c>
      <c r="N48" s="20">
        <v>-2.6434578416092469</v>
      </c>
      <c r="O48" s="24">
        <v>-5.0245537956754447</v>
      </c>
      <c r="P48" s="2"/>
      <c r="Q48" s="14"/>
    </row>
    <row r="49" spans="1:17" x14ac:dyDescent="0.25">
      <c r="A49" s="95"/>
      <c r="B49" s="92">
        <v>2011</v>
      </c>
      <c r="C49" s="53" t="s">
        <v>51</v>
      </c>
      <c r="D49" s="35">
        <v>4477821.7597486377</v>
      </c>
      <c r="E49" s="35">
        <v>7315839.658307381</v>
      </c>
      <c r="F49" s="35">
        <v>11793661.418056019</v>
      </c>
      <c r="G49" s="35">
        <v>37.968037244931601</v>
      </c>
      <c r="H49" s="35">
        <v>62.031962755068399</v>
      </c>
      <c r="I49" s="35">
        <f t="shared" si="0"/>
        <v>100</v>
      </c>
      <c r="J49" s="35">
        <v>-5.0944430817166477</v>
      </c>
      <c r="K49" s="35">
        <v>7.8450126995963432</v>
      </c>
      <c r="L49" s="35">
        <v>3.5938696024015826</v>
      </c>
      <c r="M49" s="35">
        <v>-1.6737339581289357</v>
      </c>
      <c r="N49" s="35">
        <v>5.2676035605305183</v>
      </c>
      <c r="O49" s="36">
        <v>3.5938696024015826</v>
      </c>
      <c r="P49" s="6"/>
      <c r="Q49" s="14"/>
    </row>
    <row r="50" spans="1:17" x14ac:dyDescent="0.25">
      <c r="A50" s="95"/>
      <c r="B50" s="93">
        <v>2003</v>
      </c>
      <c r="C50" s="16" t="s">
        <v>28</v>
      </c>
      <c r="D50" s="2">
        <v>1015023.7538127415</v>
      </c>
      <c r="E50" s="2">
        <v>1703650.3623332931</v>
      </c>
      <c r="F50" s="2">
        <v>2718674.1161460346</v>
      </c>
      <c r="G50" s="2">
        <v>37.335249112226407</v>
      </c>
      <c r="H50" s="2">
        <v>62.664750887773593</v>
      </c>
      <c r="I50" s="2">
        <f t="shared" si="0"/>
        <v>100</v>
      </c>
      <c r="J50" s="2">
        <v>-9.4867249795479154</v>
      </c>
      <c r="K50" s="2">
        <v>7.4602042671832267</v>
      </c>
      <c r="L50" s="2">
        <v>1.892441410422748</v>
      </c>
      <c r="M50" s="2">
        <v>-3.1167791051949427</v>
      </c>
      <c r="N50" s="2">
        <v>5.0092205156176908</v>
      </c>
      <c r="O50" s="23">
        <v>1.892441410422748</v>
      </c>
      <c r="P50" s="2"/>
      <c r="Q50" s="14"/>
    </row>
    <row r="51" spans="1:17" x14ac:dyDescent="0.25">
      <c r="A51" s="95"/>
      <c r="B51" s="93"/>
      <c r="C51" s="16" t="s">
        <v>29</v>
      </c>
      <c r="D51" s="2">
        <v>1054665.1012056279</v>
      </c>
      <c r="E51" s="2">
        <v>1880914.3825505394</v>
      </c>
      <c r="F51" s="2">
        <v>2935579.4837561673</v>
      </c>
      <c r="G51" s="2">
        <v>35.926981607602407</v>
      </c>
      <c r="H51" s="2">
        <v>64.073018392397586</v>
      </c>
      <c r="I51" s="2">
        <f t="shared" si="0"/>
        <v>100</v>
      </c>
      <c r="J51" s="2">
        <v>-15.556185423228754</v>
      </c>
      <c r="K51" s="2">
        <v>4.1638117229842297</v>
      </c>
      <c r="L51" s="2">
        <v>-2.3150179250055771</v>
      </c>
      <c r="M51" s="2">
        <v>-5.1108463445693841</v>
      </c>
      <c r="N51" s="2">
        <v>2.7958284195638075</v>
      </c>
      <c r="O51" s="23">
        <v>-2.3150179250055767</v>
      </c>
      <c r="P51" s="2"/>
      <c r="Q51" s="14"/>
    </row>
    <row r="52" spans="1:17" x14ac:dyDescent="0.25">
      <c r="A52" s="95"/>
      <c r="B52" s="93"/>
      <c r="C52" s="16" t="s">
        <v>30</v>
      </c>
      <c r="D52" s="2">
        <v>1177578.0988159785</v>
      </c>
      <c r="E52" s="2">
        <v>1902463.7538886769</v>
      </c>
      <c r="F52" s="2">
        <v>3080041.8527046554</v>
      </c>
      <c r="G52" s="2">
        <v>38.232535632005138</v>
      </c>
      <c r="H52" s="2">
        <v>61.767464367994862</v>
      </c>
      <c r="I52" s="2">
        <f t="shared" si="0"/>
        <v>100</v>
      </c>
      <c r="J52" s="2">
        <v>-4.103098182853131</v>
      </c>
      <c r="K52" s="2">
        <v>7.0762979185717292</v>
      </c>
      <c r="L52" s="2">
        <v>3.4034067730249689</v>
      </c>
      <c r="M52" s="2">
        <v>-1.3480364098727569</v>
      </c>
      <c r="N52" s="2">
        <v>4.7514431828977264</v>
      </c>
      <c r="O52" s="23">
        <v>3.4034067730249697</v>
      </c>
      <c r="P52" s="2"/>
      <c r="Q52" s="14"/>
    </row>
    <row r="53" spans="1:17" x14ac:dyDescent="0.25">
      <c r="A53" s="95"/>
      <c r="B53" s="94"/>
      <c r="C53" s="28" t="s">
        <v>31</v>
      </c>
      <c r="D53" s="20">
        <v>1230554.8059142902</v>
      </c>
      <c r="E53" s="20">
        <v>1828811.1595348711</v>
      </c>
      <c r="F53" s="20">
        <v>3059365.9654491614</v>
      </c>
      <c r="G53" s="20">
        <v>40.222543488144808</v>
      </c>
      <c r="H53" s="20">
        <v>59.777456511855192</v>
      </c>
      <c r="I53" s="20">
        <f t="shared" si="0"/>
        <v>100</v>
      </c>
      <c r="J53" s="20">
        <v>10.323077215543066</v>
      </c>
      <c r="K53" s="20">
        <v>13.006349580350804</v>
      </c>
      <c r="L53" s="20">
        <v>12.124784313284493</v>
      </c>
      <c r="M53" s="20">
        <v>3.3915551927649412</v>
      </c>
      <c r="N53" s="20">
        <v>8.7332291205195531</v>
      </c>
      <c r="O53" s="24">
        <v>12.124784313284493</v>
      </c>
      <c r="P53" s="2"/>
      <c r="Q53" s="14"/>
    </row>
    <row r="54" spans="1:17" x14ac:dyDescent="0.25">
      <c r="A54" s="95"/>
      <c r="B54" s="92">
        <v>2012</v>
      </c>
      <c r="C54" s="53" t="s">
        <v>51</v>
      </c>
      <c r="D54" s="35">
        <v>5000143.5858316189</v>
      </c>
      <c r="E54" s="35">
        <v>8706468.289268367</v>
      </c>
      <c r="F54" s="35">
        <v>13706611.875099985</v>
      </c>
      <c r="G54" s="35">
        <v>36.479792609544106</v>
      </c>
      <c r="H54" s="35">
        <v>63.520207390455894</v>
      </c>
      <c r="I54" s="35">
        <f t="shared" si="0"/>
        <v>100</v>
      </c>
      <c r="J54" s="35">
        <v>8.4989387091339239</v>
      </c>
      <c r="K54" s="35">
        <v>8.5056838278548224</v>
      </c>
      <c r="L54" s="35">
        <v>8.5031228386666555</v>
      </c>
      <c r="M54" s="35">
        <v>3.2268802145078781</v>
      </c>
      <c r="N54" s="35">
        <v>5.2762426241587788</v>
      </c>
      <c r="O54" s="36">
        <v>8.5031228386666573</v>
      </c>
      <c r="P54" s="6"/>
      <c r="Q54" s="14"/>
    </row>
    <row r="55" spans="1:17" x14ac:dyDescent="0.25">
      <c r="A55" s="95"/>
      <c r="B55" s="93">
        <v>2003</v>
      </c>
      <c r="C55" s="16" t="s">
        <v>28</v>
      </c>
      <c r="D55" s="2">
        <v>1366438.8403016126</v>
      </c>
      <c r="E55" s="2">
        <v>2046496.3183733642</v>
      </c>
      <c r="F55" s="2">
        <v>3412935.1586749768</v>
      </c>
      <c r="G55" s="2">
        <v>40.03705833169456</v>
      </c>
      <c r="H55" s="2">
        <v>59.96294166830544</v>
      </c>
      <c r="I55" s="2">
        <f t="shared" si="0"/>
        <v>100</v>
      </c>
      <c r="J55" s="2">
        <v>10.108350553039486</v>
      </c>
      <c r="K55" s="2">
        <v>6.3847217916289001</v>
      </c>
      <c r="L55" s="2">
        <v>7.7985105466242572</v>
      </c>
      <c r="M55" s="2">
        <v>3.8379423028262827</v>
      </c>
      <c r="N55" s="2">
        <v>3.9605682437979746</v>
      </c>
      <c r="O55" s="23">
        <v>7.7985105466242572</v>
      </c>
      <c r="P55" s="2"/>
      <c r="Q55" s="14"/>
    </row>
    <row r="56" spans="1:17" x14ac:dyDescent="0.25">
      <c r="A56" s="95"/>
      <c r="B56" s="93"/>
      <c r="C56" s="16" t="s">
        <v>29</v>
      </c>
      <c r="D56" s="2">
        <v>1189299.1806885221</v>
      </c>
      <c r="E56" s="2">
        <v>2255359.7575779669</v>
      </c>
      <c r="F56" s="2">
        <v>3444658.9382664892</v>
      </c>
      <c r="G56" s="2">
        <v>34.525890719591303</v>
      </c>
      <c r="H56" s="2">
        <v>65.474109280408697</v>
      </c>
      <c r="I56" s="2">
        <f t="shared" si="0"/>
        <v>100</v>
      </c>
      <c r="J56" s="2">
        <v>16.684910073537324</v>
      </c>
      <c r="K56" s="2">
        <v>11.301386011668896</v>
      </c>
      <c r="L56" s="2">
        <v>13.345404432568955</v>
      </c>
      <c r="M56" s="2">
        <v>6.3349328710039972</v>
      </c>
      <c r="N56" s="2">
        <v>7.0104715615649589</v>
      </c>
      <c r="O56" s="23">
        <v>13.345404432568955</v>
      </c>
      <c r="P56" s="2"/>
      <c r="Q56" s="14"/>
    </row>
    <row r="57" spans="1:17" x14ac:dyDescent="0.25">
      <c r="A57" s="95"/>
      <c r="B57" s="93"/>
      <c r="C57" s="16" t="s">
        <v>30</v>
      </c>
      <c r="D57" s="2">
        <v>1191974.4785534539</v>
      </c>
      <c r="E57" s="2">
        <v>2340266.6191320159</v>
      </c>
      <c r="F57" s="2">
        <v>3532241.0976854698</v>
      </c>
      <c r="G57" s="2">
        <v>33.745558289735797</v>
      </c>
      <c r="H57" s="2">
        <v>66.254441710264203</v>
      </c>
      <c r="I57" s="2">
        <f t="shared" si="0"/>
        <v>100</v>
      </c>
      <c r="J57" s="2">
        <v>4.163078469286603</v>
      </c>
      <c r="K57" s="2">
        <v>7.0548571643908904</v>
      </c>
      <c r="L57" s="2">
        <v>5.9569055523926977</v>
      </c>
      <c r="M57" s="2">
        <v>1.5806391837544662</v>
      </c>
      <c r="N57" s="2">
        <v>4.3762663686382313</v>
      </c>
      <c r="O57" s="23">
        <v>5.9569055523926977</v>
      </c>
      <c r="P57" s="2"/>
      <c r="Q57" s="14"/>
    </row>
    <row r="58" spans="1:17" x14ac:dyDescent="0.25">
      <c r="A58" s="95"/>
      <c r="B58" s="94"/>
      <c r="C58" s="28" t="s">
        <v>31</v>
      </c>
      <c r="D58" s="20">
        <v>1252431.08628803</v>
      </c>
      <c r="E58" s="20">
        <v>2064345.5941850233</v>
      </c>
      <c r="F58" s="20">
        <v>3316776.6804730534</v>
      </c>
      <c r="G58" s="20">
        <v>37.760488780010434</v>
      </c>
      <c r="H58" s="20">
        <v>62.239511219989566</v>
      </c>
      <c r="I58" s="20">
        <f t="shared" si="0"/>
        <v>100</v>
      </c>
      <c r="J58" s="20">
        <v>4.2131797520707579</v>
      </c>
      <c r="K58" s="20">
        <v>8.8808822985066129</v>
      </c>
      <c r="L58" s="20">
        <v>7.1086472571932262</v>
      </c>
      <c r="M58" s="20">
        <v>1.5996616574621425</v>
      </c>
      <c r="N58" s="20">
        <v>5.5089855997310844</v>
      </c>
      <c r="O58" s="24">
        <v>7.1086472571932271</v>
      </c>
      <c r="P58" s="2"/>
      <c r="Q58" s="14"/>
    </row>
    <row r="59" spans="1:17" x14ac:dyDescent="0.25">
      <c r="A59" s="95"/>
      <c r="B59" s="92">
        <v>2013</v>
      </c>
      <c r="C59" s="53" t="s">
        <v>51</v>
      </c>
      <c r="D59" s="35">
        <v>4701738.6178649506</v>
      </c>
      <c r="E59" s="35">
        <v>10139021.855880514</v>
      </c>
      <c r="F59" s="35">
        <v>14840760.473745463</v>
      </c>
      <c r="G59" s="35">
        <v>31.681251282120726</v>
      </c>
      <c r="H59" s="35">
        <v>68.318748717879274</v>
      </c>
      <c r="I59" s="35">
        <f t="shared" si="0"/>
        <v>100</v>
      </c>
      <c r="J59" s="35">
        <v>-0.83284022305288374</v>
      </c>
      <c r="K59" s="35">
        <v>8.1657159132666752</v>
      </c>
      <c r="L59" s="35">
        <v>4.8830612968838949</v>
      </c>
      <c r="M59" s="35">
        <v>-0.30381838613855655</v>
      </c>
      <c r="N59" s="35">
        <v>5.1868796830224513</v>
      </c>
      <c r="O59" s="36">
        <v>4.8830612968838949</v>
      </c>
      <c r="P59" s="6"/>
      <c r="Q59" s="14"/>
    </row>
    <row r="60" spans="1:17" x14ac:dyDescent="0.25">
      <c r="A60" s="95"/>
      <c r="B60" s="93">
        <v>2003</v>
      </c>
      <c r="C60" s="16" t="s">
        <v>28</v>
      </c>
      <c r="D60" s="2">
        <v>1217447.8061058638</v>
      </c>
      <c r="E60" s="2">
        <v>2495143.4960217513</v>
      </c>
      <c r="F60" s="2">
        <v>3712591.3021276151</v>
      </c>
      <c r="G60" s="2">
        <v>32.792400429537388</v>
      </c>
      <c r="H60" s="2">
        <v>67.207599570462605</v>
      </c>
      <c r="I60" s="2">
        <f t="shared" si="0"/>
        <v>100</v>
      </c>
      <c r="J60" s="2">
        <v>-2.1825080509602515</v>
      </c>
      <c r="K60" s="2">
        <v>20.608006688738474</v>
      </c>
      <c r="L60" s="2">
        <v>12.294074177048799</v>
      </c>
      <c r="M60" s="2">
        <v>-0.79617441067690287</v>
      </c>
      <c r="N60" s="2">
        <v>13.0902485877257</v>
      </c>
      <c r="O60" s="23">
        <v>12.294074177048797</v>
      </c>
      <c r="P60" s="2"/>
      <c r="Q60" s="14"/>
    </row>
    <row r="61" spans="1:17" x14ac:dyDescent="0.25">
      <c r="A61" s="95"/>
      <c r="B61" s="93"/>
      <c r="C61" s="16" t="s">
        <v>29</v>
      </c>
      <c r="D61" s="2">
        <v>1125508.990094915</v>
      </c>
      <c r="E61" s="2">
        <v>2712306.5662278421</v>
      </c>
      <c r="F61" s="2">
        <v>3837815.5563227572</v>
      </c>
      <c r="G61" s="2">
        <v>29.326812963709315</v>
      </c>
      <c r="H61" s="2">
        <v>70.673187036290685</v>
      </c>
      <c r="I61" s="2">
        <f t="shared" si="0"/>
        <v>100</v>
      </c>
      <c r="J61" s="2">
        <v>3.0236773772066385</v>
      </c>
      <c r="K61" s="2">
        <v>10.495406970743742</v>
      </c>
      <c r="L61" s="2">
        <v>7.7697355106754742</v>
      </c>
      <c r="M61" s="2">
        <v>1.1030312363866843</v>
      </c>
      <c r="N61" s="2">
        <v>6.6667042742887901</v>
      </c>
      <c r="O61" s="23">
        <v>7.7697355106754742</v>
      </c>
      <c r="P61" s="2"/>
      <c r="Q61" s="14"/>
    </row>
    <row r="62" spans="1:17" x14ac:dyDescent="0.25">
      <c r="A62" s="95"/>
      <c r="B62" s="93"/>
      <c r="C62" s="16" t="s">
        <v>30</v>
      </c>
      <c r="D62" s="2">
        <v>1213727.852383716</v>
      </c>
      <c r="E62" s="2">
        <v>2262919.8465082799</v>
      </c>
      <c r="F62" s="2">
        <v>3476647.6988919959</v>
      </c>
      <c r="G62" s="2">
        <v>34.91086694721843</v>
      </c>
      <c r="H62" s="2">
        <v>65.089133052781563</v>
      </c>
      <c r="I62" s="2">
        <f t="shared" si="0"/>
        <v>100</v>
      </c>
      <c r="J62" s="2">
        <v>3.1865006534131055</v>
      </c>
      <c r="K62" s="2">
        <v>-15.527658929576027</v>
      </c>
      <c r="L62" s="2">
        <v>-8.7007723250824682</v>
      </c>
      <c r="M62" s="2">
        <v>1.1624288298668686</v>
      </c>
      <c r="N62" s="2">
        <v>-9.8632011549493352</v>
      </c>
      <c r="O62" s="23">
        <v>-8.7007723250824665</v>
      </c>
      <c r="P62" s="2"/>
      <c r="Q62" s="14"/>
    </row>
    <row r="63" spans="1:17" x14ac:dyDescent="0.25">
      <c r="A63" s="95"/>
      <c r="B63" s="94"/>
      <c r="C63" s="28" t="s">
        <v>31</v>
      </c>
      <c r="D63" s="20">
        <v>1145053.9692804557</v>
      </c>
      <c r="E63" s="20">
        <v>2668651.9471226325</v>
      </c>
      <c r="F63" s="20">
        <v>3813705.9164030883</v>
      </c>
      <c r="G63" s="20">
        <v>30.024705480185997</v>
      </c>
      <c r="H63" s="20">
        <v>69.975294519814</v>
      </c>
      <c r="I63" s="20">
        <f t="shared" si="0"/>
        <v>100</v>
      </c>
      <c r="J63" s="20">
        <v>-6.9501691382879613</v>
      </c>
      <c r="K63" s="20">
        <v>16.932644828468323</v>
      </c>
      <c r="L63" s="20">
        <v>8.2202438240723978</v>
      </c>
      <c r="M63" s="20">
        <v>-2.5354072876599867</v>
      </c>
      <c r="N63" s="20">
        <v>10.755651111732384</v>
      </c>
      <c r="O63" s="24">
        <v>8.2202438240723978</v>
      </c>
      <c r="P63" s="2"/>
      <c r="Q63" s="14"/>
    </row>
    <row r="64" spans="1:17" ht="16.7" customHeight="1" x14ac:dyDescent="0.25">
      <c r="A64" s="95"/>
      <c r="B64" s="92">
        <v>2014</v>
      </c>
      <c r="C64" s="53" t="s">
        <v>51</v>
      </c>
      <c r="D64" s="35">
        <v>3995140.9541703956</v>
      </c>
      <c r="E64" s="35">
        <v>12170526.866975497</v>
      </c>
      <c r="F64" s="35">
        <v>16165667.821145894</v>
      </c>
      <c r="G64" s="35">
        <v>24.713739007704056</v>
      </c>
      <c r="H64" s="35">
        <v>75.286260992295951</v>
      </c>
      <c r="I64" s="35">
        <f t="shared" si="0"/>
        <v>100</v>
      </c>
      <c r="J64" s="35">
        <v>-2.4757429900539023</v>
      </c>
      <c r="K64" s="35">
        <v>7.9627774557152264</v>
      </c>
      <c r="L64" s="35">
        <v>4.6557235631555614</v>
      </c>
      <c r="M64" s="35">
        <v>-0.78434635777846573</v>
      </c>
      <c r="N64" s="35">
        <v>5.4400699209340271</v>
      </c>
      <c r="O64" s="36">
        <v>4.6557235631555614</v>
      </c>
      <c r="P64" s="6"/>
      <c r="Q64" s="14"/>
    </row>
    <row r="65" spans="1:17" x14ac:dyDescent="0.25">
      <c r="A65" s="95"/>
      <c r="B65" s="93">
        <v>2003</v>
      </c>
      <c r="C65" s="16" t="s">
        <v>28</v>
      </c>
      <c r="D65" s="2">
        <v>1040766.1833140965</v>
      </c>
      <c r="E65" s="2">
        <v>2879056.3890688587</v>
      </c>
      <c r="F65" s="2">
        <v>3919822.5723829553</v>
      </c>
      <c r="G65" s="2">
        <v>26.551359509147105</v>
      </c>
      <c r="H65" s="2">
        <v>73.448640490852895</v>
      </c>
      <c r="I65" s="2">
        <f t="shared" si="0"/>
        <v>100</v>
      </c>
      <c r="J65" s="2">
        <v>-9.7482307044213314</v>
      </c>
      <c r="K65" s="2">
        <v>-7.7576119665929522</v>
      </c>
      <c r="L65" s="2">
        <v>-8.3882648909933408</v>
      </c>
      <c r="M65" s="2">
        <v>-3.0883614650285689</v>
      </c>
      <c r="N65" s="2">
        <v>-5.2999034259647724</v>
      </c>
      <c r="O65" s="23">
        <v>-8.3882648909933408</v>
      </c>
      <c r="P65" s="2"/>
      <c r="Q65" s="14"/>
    </row>
    <row r="66" spans="1:17" x14ac:dyDescent="0.25">
      <c r="A66" s="95"/>
      <c r="B66" s="93"/>
      <c r="C66" s="16" t="s">
        <v>29</v>
      </c>
      <c r="D66" s="2">
        <v>1093889.3287867892</v>
      </c>
      <c r="E66" s="2">
        <v>2964924.6113819284</v>
      </c>
      <c r="F66" s="2">
        <v>4058813.9401687179</v>
      </c>
      <c r="G66" s="2">
        <v>26.950960179793761</v>
      </c>
      <c r="H66" s="2">
        <v>73.049039820206247</v>
      </c>
      <c r="I66" s="2">
        <f t="shared" si="0"/>
        <v>100</v>
      </c>
      <c r="J66" s="2">
        <v>-6.7603032519553636</v>
      </c>
      <c r="K66" s="2">
        <v>-4.0790110643056927</v>
      </c>
      <c r="L66" s="2">
        <v>-4.9284779798828566</v>
      </c>
      <c r="M66" s="2">
        <v>-2.1417486606853573</v>
      </c>
      <c r="N66" s="2">
        <v>-2.7867293191974998</v>
      </c>
      <c r="O66" s="23">
        <v>-4.9284779798828566</v>
      </c>
      <c r="P66" s="2"/>
      <c r="Q66" s="14"/>
    </row>
    <row r="67" spans="1:17" x14ac:dyDescent="0.25">
      <c r="A67" s="95"/>
      <c r="B67" s="93"/>
      <c r="C67" s="16" t="s">
        <v>30</v>
      </c>
      <c r="D67" s="2">
        <v>1058842.8606094364</v>
      </c>
      <c r="E67" s="2">
        <v>3040813.9519415875</v>
      </c>
      <c r="F67" s="2">
        <v>4099656.8125510239</v>
      </c>
      <c r="G67" s="2">
        <v>25.827597504449844</v>
      </c>
      <c r="H67" s="2">
        <v>74.172402495550159</v>
      </c>
      <c r="I67" s="2">
        <f t="shared" si="0"/>
        <v>100</v>
      </c>
      <c r="J67" s="2">
        <v>0.30719073708891642</v>
      </c>
      <c r="K67" s="2">
        <v>32.883183592661425</v>
      </c>
      <c r="L67" s="2">
        <v>22.562701438441806</v>
      </c>
      <c r="M67" s="2">
        <v>9.7321869332538419E-2</v>
      </c>
      <c r="N67" s="2">
        <v>22.46537956910927</v>
      </c>
      <c r="O67" s="23">
        <v>22.56270143844181</v>
      </c>
      <c r="P67" s="2"/>
      <c r="Q67" s="14"/>
    </row>
    <row r="68" spans="1:17" x14ac:dyDescent="0.25">
      <c r="A68" s="95"/>
      <c r="B68" s="94"/>
      <c r="C68" s="28" t="s">
        <v>31</v>
      </c>
      <c r="D68" s="20">
        <v>801642.58146007324</v>
      </c>
      <c r="E68" s="20">
        <v>3285731.9145831312</v>
      </c>
      <c r="F68" s="20">
        <v>4087374.4960432043</v>
      </c>
      <c r="G68" s="20">
        <v>19.612653115982052</v>
      </c>
      <c r="H68" s="20">
        <v>80.387346884017944</v>
      </c>
      <c r="I68" s="20">
        <f t="shared" si="0"/>
        <v>100</v>
      </c>
      <c r="J68" s="20">
        <v>6.5952701845714046</v>
      </c>
      <c r="K68" s="20">
        <v>15.314066042718247</v>
      </c>
      <c r="L68" s="20">
        <v>12.551842418123613</v>
      </c>
      <c r="M68" s="20">
        <v>2.0894641199088535</v>
      </c>
      <c r="N68" s="20">
        <v>10.462378298214759</v>
      </c>
      <c r="O68" s="24">
        <v>12.551842418123613</v>
      </c>
      <c r="P68" s="2"/>
      <c r="Q68" s="14"/>
    </row>
    <row r="69" spans="1:17" x14ac:dyDescent="0.25">
      <c r="A69" s="95"/>
      <c r="B69" s="92">
        <v>2015</v>
      </c>
      <c r="C69" s="53" t="s">
        <v>51</v>
      </c>
      <c r="D69" s="35">
        <v>2607992.9277057014</v>
      </c>
      <c r="E69" s="35">
        <v>13199324.40488092</v>
      </c>
      <c r="F69" s="35">
        <v>15807317.332586622</v>
      </c>
      <c r="G69" s="35">
        <v>16.498643462602924</v>
      </c>
      <c r="H69" s="35">
        <v>83.501356537397072</v>
      </c>
      <c r="I69" s="35">
        <f t="shared" ref="I69:I125" si="1">+G69+H69</f>
        <v>100</v>
      </c>
      <c r="J69" s="35">
        <v>10.986597721602706</v>
      </c>
      <c r="K69" s="35">
        <v>-2.5927989384782952</v>
      </c>
      <c r="L69" s="35">
        <v>0.76317771091500219</v>
      </c>
      <c r="M69" s="35">
        <v>2.7151990867432509</v>
      </c>
      <c r="N69" s="35">
        <v>-1.9520213758282488</v>
      </c>
      <c r="O69" s="36">
        <v>0.76317771091500219</v>
      </c>
      <c r="P69" s="6"/>
      <c r="Q69" s="14"/>
    </row>
    <row r="70" spans="1:17" x14ac:dyDescent="0.25">
      <c r="A70" s="95"/>
      <c r="B70" s="93">
        <v>2003</v>
      </c>
      <c r="C70" s="16" t="s">
        <v>28</v>
      </c>
      <c r="D70" s="2">
        <v>588341.23369959905</v>
      </c>
      <c r="E70" s="2">
        <v>3085758.3256253423</v>
      </c>
      <c r="F70" s="2">
        <v>3674099.5593249416</v>
      </c>
      <c r="G70" s="2">
        <v>16.013208793059967</v>
      </c>
      <c r="H70" s="2">
        <v>83.98679120694004</v>
      </c>
      <c r="I70" s="2">
        <f t="shared" si="1"/>
        <v>100</v>
      </c>
      <c r="J70" s="2">
        <v>16.096338542846752</v>
      </c>
      <c r="K70" s="2">
        <v>4.3969498750440739</v>
      </c>
      <c r="L70" s="2">
        <v>7.2883062559017304</v>
      </c>
      <c r="M70" s="2">
        <v>3.9780070972756176</v>
      </c>
      <c r="N70" s="2">
        <v>3.3102991586261128</v>
      </c>
      <c r="O70" s="23">
        <v>7.2883062559017304</v>
      </c>
      <c r="P70" s="2"/>
      <c r="Q70" s="14"/>
    </row>
    <row r="71" spans="1:17" x14ac:dyDescent="0.25">
      <c r="A71" s="95"/>
      <c r="B71" s="93"/>
      <c r="C71" s="16" t="s">
        <v>29</v>
      </c>
      <c r="D71" s="2">
        <v>741503.96770410729</v>
      </c>
      <c r="E71" s="2">
        <v>3393474.9544425225</v>
      </c>
      <c r="F71" s="2">
        <v>4134978.9221466295</v>
      </c>
      <c r="G71" s="2">
        <v>17.932472732392153</v>
      </c>
      <c r="H71" s="2">
        <v>82.067527267607844</v>
      </c>
      <c r="I71" s="2">
        <f t="shared" si="1"/>
        <v>100</v>
      </c>
      <c r="J71" s="2">
        <v>14.946312115392899</v>
      </c>
      <c r="K71" s="2">
        <v>7.31931395913446</v>
      </c>
      <c r="L71" s="2">
        <v>9.2042303775945697</v>
      </c>
      <c r="M71" s="2">
        <v>3.6937925674750494</v>
      </c>
      <c r="N71" s="2">
        <v>5.5104378101195204</v>
      </c>
      <c r="O71" s="23">
        <v>9.2042303775945697</v>
      </c>
      <c r="P71" s="2"/>
      <c r="Q71" s="14"/>
    </row>
    <row r="72" spans="1:17" x14ac:dyDescent="0.25">
      <c r="A72" s="95"/>
      <c r="B72" s="93"/>
      <c r="C72" s="16" t="s">
        <v>30</v>
      </c>
      <c r="D72" s="2">
        <v>677175.4528140747</v>
      </c>
      <c r="E72" s="2">
        <v>3359769.2143539949</v>
      </c>
      <c r="F72" s="2">
        <v>4036944.6671680696</v>
      </c>
      <c r="G72" s="2">
        <v>16.774454659273683</v>
      </c>
      <c r="H72" s="2">
        <v>83.225545340726313</v>
      </c>
      <c r="I72" s="2">
        <f t="shared" si="1"/>
        <v>100</v>
      </c>
      <c r="J72" s="2">
        <v>8.1230222743361935</v>
      </c>
      <c r="K72" s="2">
        <v>-3.754343613177622</v>
      </c>
      <c r="L72" s="2">
        <v>-0.81900240674738711</v>
      </c>
      <c r="M72" s="2">
        <v>2.0075025244171116</v>
      </c>
      <c r="N72" s="2">
        <v>-2.8265049311644992</v>
      </c>
      <c r="O72" s="23">
        <v>-0.81900240674738756</v>
      </c>
      <c r="P72" s="2"/>
      <c r="Q72" s="14"/>
    </row>
    <row r="73" spans="1:17" x14ac:dyDescent="0.25">
      <c r="A73" s="95"/>
      <c r="B73" s="94"/>
      <c r="C73" s="28" t="s">
        <v>31</v>
      </c>
      <c r="D73" s="20">
        <v>600972.27348792052</v>
      </c>
      <c r="E73" s="20">
        <v>3360321.9104590593</v>
      </c>
      <c r="F73" s="20">
        <v>3961294.1839469797</v>
      </c>
      <c r="G73" s="20">
        <v>15.17110937943821</v>
      </c>
      <c r="H73" s="20">
        <v>84.828890620561793</v>
      </c>
      <c r="I73" s="20">
        <f t="shared" si="1"/>
        <v>100</v>
      </c>
      <c r="J73" s="20">
        <v>5.7264542769139126</v>
      </c>
      <c r="K73" s="20">
        <v>-15.678612870109475</v>
      </c>
      <c r="L73" s="20">
        <v>-10.388620440970314</v>
      </c>
      <c r="M73" s="20">
        <v>1.41522096439201</v>
      </c>
      <c r="N73" s="20">
        <v>-11.803841405362325</v>
      </c>
      <c r="O73" s="24">
        <v>-10.388620440970316</v>
      </c>
      <c r="P73" s="2"/>
      <c r="Q73" s="14"/>
    </row>
    <row r="74" spans="1:17" x14ac:dyDescent="0.25">
      <c r="A74" s="95"/>
      <c r="B74" s="92">
        <v>2016</v>
      </c>
      <c r="C74" s="53" t="s">
        <v>51</v>
      </c>
      <c r="D74" s="35">
        <v>2903001.5268959412</v>
      </c>
      <c r="E74" s="35">
        <v>16158542.474663816</v>
      </c>
      <c r="F74" s="35">
        <v>19061544.001559757</v>
      </c>
      <c r="G74" s="35">
        <v>15.229624245855405</v>
      </c>
      <c r="H74" s="35">
        <v>84.770375754144595</v>
      </c>
      <c r="I74" s="35">
        <f t="shared" si="1"/>
        <v>100</v>
      </c>
      <c r="J74" s="35">
        <v>-2.5457987053749207</v>
      </c>
      <c r="K74" s="35">
        <v>0.22388294588525079</v>
      </c>
      <c r="L74" s="35">
        <v>-0.23307695480529844</v>
      </c>
      <c r="M74" s="35">
        <v>-0.42002225167536944</v>
      </c>
      <c r="N74" s="35">
        <v>0.18694529687007103</v>
      </c>
      <c r="O74" s="36">
        <v>-0.23307695480529841</v>
      </c>
      <c r="P74" s="6"/>
      <c r="Q74" s="14"/>
    </row>
    <row r="75" spans="1:17" x14ac:dyDescent="0.25">
      <c r="A75" s="95"/>
      <c r="B75" s="93"/>
      <c r="C75" s="16" t="s">
        <v>28</v>
      </c>
      <c r="D75" s="2">
        <v>542984.07956372062</v>
      </c>
      <c r="E75" s="2">
        <v>3783280.5698314137</v>
      </c>
      <c r="F75" s="2">
        <v>4326264.6493951343</v>
      </c>
      <c r="G75" s="2">
        <v>12.550875260015278</v>
      </c>
      <c r="H75" s="2">
        <v>87.449124739984725</v>
      </c>
      <c r="I75" s="2">
        <f t="shared" si="1"/>
        <v>100</v>
      </c>
      <c r="J75" s="2">
        <v>4.5739869031220337</v>
      </c>
      <c r="K75" s="2">
        <v>5.3579931302588761</v>
      </c>
      <c r="L75" s="2">
        <v>5.228642738118964</v>
      </c>
      <c r="M75" s="2">
        <v>0.75464579117225761</v>
      </c>
      <c r="N75" s="2">
        <v>4.4739969469467065</v>
      </c>
      <c r="O75" s="23">
        <v>5.228642738118964</v>
      </c>
      <c r="P75" s="2"/>
      <c r="Q75" s="14"/>
    </row>
    <row r="76" spans="1:17" x14ac:dyDescent="0.25">
      <c r="A76" s="95"/>
      <c r="B76" s="93"/>
      <c r="C76" s="16" t="s">
        <v>29</v>
      </c>
      <c r="D76" s="2">
        <v>768394.11037647701</v>
      </c>
      <c r="E76" s="2">
        <v>4062825.7226083698</v>
      </c>
      <c r="F76" s="2">
        <v>4831219.832984847</v>
      </c>
      <c r="G76" s="2">
        <v>15.904763950717268</v>
      </c>
      <c r="H76" s="2">
        <v>84.095236049282732</v>
      </c>
      <c r="I76" s="2">
        <f t="shared" si="1"/>
        <v>100</v>
      </c>
      <c r="J76" s="2">
        <v>-1.2458234292376034</v>
      </c>
      <c r="K76" s="2">
        <v>-0.12321953752510821</v>
      </c>
      <c r="L76" s="2">
        <v>-0.30843395111605787</v>
      </c>
      <c r="M76" s="2">
        <v>-0.20554396576348549</v>
      </c>
      <c r="N76" s="2">
        <v>-0.10288998535257238</v>
      </c>
      <c r="O76" s="23">
        <v>-0.30843395111605787</v>
      </c>
      <c r="P76" s="2"/>
      <c r="Q76" s="14"/>
    </row>
    <row r="77" spans="1:17" x14ac:dyDescent="0.25">
      <c r="A77" s="95"/>
      <c r="B77" s="93"/>
      <c r="C77" s="16" t="s">
        <v>30</v>
      </c>
      <c r="D77" s="2">
        <v>785701.12211448571</v>
      </c>
      <c r="E77" s="2">
        <v>4083634.4665860594</v>
      </c>
      <c r="F77" s="2">
        <v>4869335.588700545</v>
      </c>
      <c r="G77" s="2">
        <v>16.135694650780103</v>
      </c>
      <c r="H77" s="2">
        <v>83.864305349219904</v>
      </c>
      <c r="I77" s="2">
        <f t="shared" si="1"/>
        <v>100</v>
      </c>
      <c r="J77" s="2">
        <v>-3.4541397273342085</v>
      </c>
      <c r="K77" s="2">
        <v>-2.9003098872398474</v>
      </c>
      <c r="L77" s="2">
        <v>-2.9916842979465201</v>
      </c>
      <c r="M77" s="2">
        <v>-0.56988619831299614</v>
      </c>
      <c r="N77" s="2">
        <v>-2.421798099633524</v>
      </c>
      <c r="O77" s="23">
        <v>-2.9916842979465201</v>
      </c>
      <c r="P77" s="2"/>
      <c r="Q77" s="14"/>
    </row>
    <row r="78" spans="1:17" x14ac:dyDescent="0.25">
      <c r="A78" s="95"/>
      <c r="B78" s="94"/>
      <c r="C78" s="28" t="s">
        <v>31</v>
      </c>
      <c r="D78" s="20">
        <v>805922.21484125755</v>
      </c>
      <c r="E78" s="20">
        <v>4228801.7156379754</v>
      </c>
      <c r="F78" s="20">
        <v>5034723.9304792332</v>
      </c>
      <c r="G78" s="20">
        <v>16.00727718082738</v>
      </c>
      <c r="H78" s="20">
        <v>83.992722819172627</v>
      </c>
      <c r="I78" s="20">
        <f t="shared" si="1"/>
        <v>100</v>
      </c>
      <c r="J78" s="20">
        <v>-9.7628723972696321</v>
      </c>
      <c r="K78" s="20">
        <v>-1.3881739597208569</v>
      </c>
      <c r="L78" s="20">
        <v>-2.7698855960002078</v>
      </c>
      <c r="M78" s="20">
        <v>-1.6107415085343924</v>
      </c>
      <c r="N78" s="20">
        <v>-1.1591440874658157</v>
      </c>
      <c r="O78" s="24">
        <v>-2.7698855960002078</v>
      </c>
      <c r="P78" s="2"/>
      <c r="Q78" s="14"/>
    </row>
    <row r="79" spans="1:17" x14ac:dyDescent="0.25">
      <c r="A79" s="95"/>
      <c r="B79" s="92">
        <v>2017</v>
      </c>
      <c r="C79" s="53" t="s">
        <v>51</v>
      </c>
      <c r="D79" s="35">
        <v>3665503.6871050028</v>
      </c>
      <c r="E79" s="35">
        <v>19879734.811971646</v>
      </c>
      <c r="F79" s="35">
        <v>23545238.49907665</v>
      </c>
      <c r="G79" s="35">
        <v>15.56791912406727</v>
      </c>
      <c r="H79" s="35">
        <v>84.432080875932726</v>
      </c>
      <c r="I79" s="35">
        <f t="shared" si="1"/>
        <v>100</v>
      </c>
      <c r="J79" s="35">
        <v>-8.5947161274466168</v>
      </c>
      <c r="K79" s="35">
        <v>1.3498280549860859</v>
      </c>
      <c r="L79" s="35">
        <v>-0.16468865696148782</v>
      </c>
      <c r="M79" s="35">
        <v>-1.3089429712080545</v>
      </c>
      <c r="N79" s="35">
        <v>1.1442543142465667</v>
      </c>
      <c r="O79" s="36">
        <v>-0.16468865696148782</v>
      </c>
      <c r="P79" s="6"/>
      <c r="Q79" s="14"/>
    </row>
    <row r="80" spans="1:17" x14ac:dyDescent="0.25">
      <c r="A80" s="95"/>
      <c r="B80" s="93">
        <v>2003</v>
      </c>
      <c r="C80" s="16" t="s">
        <v>28</v>
      </c>
      <c r="D80" s="2">
        <v>881665.53090272832</v>
      </c>
      <c r="E80" s="2">
        <v>4706091.1361780576</v>
      </c>
      <c r="F80" s="2">
        <v>5587756.6670807861</v>
      </c>
      <c r="G80" s="2">
        <v>15.778524073836186</v>
      </c>
      <c r="H80" s="2">
        <v>84.221475926163819</v>
      </c>
      <c r="I80" s="2">
        <f t="shared" si="1"/>
        <v>100</v>
      </c>
      <c r="J80" s="2">
        <v>-12.125784302635978</v>
      </c>
      <c r="K80" s="2">
        <v>-3.6785827844547598</v>
      </c>
      <c r="L80" s="2">
        <v>-4.9650598349639523</v>
      </c>
      <c r="M80" s="2">
        <v>-1.8467113861543774</v>
      </c>
      <c r="N80" s="2">
        <v>-3.118348448809575</v>
      </c>
      <c r="O80" s="23">
        <v>-4.9650598349639523</v>
      </c>
      <c r="P80" s="2"/>
      <c r="Q80" s="14"/>
    </row>
    <row r="81" spans="1:17" x14ac:dyDescent="0.25">
      <c r="A81" s="95"/>
      <c r="B81" s="93"/>
      <c r="C81" s="16" t="s">
        <v>29</v>
      </c>
      <c r="D81" s="2">
        <v>830962.47159935615</v>
      </c>
      <c r="E81" s="2">
        <v>4841147.8793781139</v>
      </c>
      <c r="F81" s="2">
        <v>5672110.3509774702</v>
      </c>
      <c r="G81" s="2">
        <v>14.649970120136274</v>
      </c>
      <c r="H81" s="2">
        <v>85.350029879863726</v>
      </c>
      <c r="I81" s="2">
        <f t="shared" si="1"/>
        <v>100</v>
      </c>
      <c r="J81" s="2">
        <v>-10.211897252827924</v>
      </c>
      <c r="K81" s="2">
        <v>0.81425835032436533</v>
      </c>
      <c r="L81" s="2">
        <v>-0.86498371679905972</v>
      </c>
      <c r="M81" s="2">
        <v>-1.5552335799785233</v>
      </c>
      <c r="N81" s="2">
        <v>0.69024986317946357</v>
      </c>
      <c r="O81" s="23">
        <v>-0.86498371679905972</v>
      </c>
      <c r="P81" s="2"/>
      <c r="Q81" s="14"/>
    </row>
    <row r="82" spans="1:17" x14ac:dyDescent="0.25">
      <c r="A82" s="95"/>
      <c r="B82" s="93"/>
      <c r="C82" s="16" t="s">
        <v>30</v>
      </c>
      <c r="D82" s="2">
        <v>915939.98198282474</v>
      </c>
      <c r="E82" s="2">
        <v>5180752.4125292171</v>
      </c>
      <c r="F82" s="2">
        <v>6096692.3945120415</v>
      </c>
      <c r="G82" s="2">
        <v>15.023555769474465</v>
      </c>
      <c r="H82" s="2">
        <v>84.97644423052553</v>
      </c>
      <c r="I82" s="2">
        <f t="shared" si="1"/>
        <v>100</v>
      </c>
      <c r="J82" s="2">
        <v>-7.1223089228072496</v>
      </c>
      <c r="K82" s="2">
        <v>6.3043821156879636</v>
      </c>
      <c r="L82" s="2">
        <v>4.259547521873202</v>
      </c>
      <c r="M82" s="2">
        <v>-1.0847008865725756</v>
      </c>
      <c r="N82" s="2">
        <v>5.3442484084457771</v>
      </c>
      <c r="O82" s="23">
        <v>4.259547521873202</v>
      </c>
      <c r="P82" s="2"/>
      <c r="Q82" s="14"/>
    </row>
    <row r="83" spans="1:17" x14ac:dyDescent="0.25">
      <c r="A83" s="95"/>
      <c r="B83" s="94"/>
      <c r="C83" s="28" t="s">
        <v>31</v>
      </c>
      <c r="D83" s="20">
        <v>1036935.7026200937</v>
      </c>
      <c r="E83" s="20">
        <v>5151743.38388626</v>
      </c>
      <c r="F83" s="20">
        <v>6188679.0865063537</v>
      </c>
      <c r="G83" s="20">
        <v>16.755363917334208</v>
      </c>
      <c r="H83" s="20">
        <v>83.244636082665792</v>
      </c>
      <c r="I83" s="20">
        <f t="shared" si="1"/>
        <v>100</v>
      </c>
      <c r="J83" s="20">
        <v>-4.4956624763729565</v>
      </c>
      <c r="K83" s="20">
        <v>2.2914380859318313</v>
      </c>
      <c r="L83" s="20">
        <v>1.2577881731044727</v>
      </c>
      <c r="M83" s="20">
        <v>-0.68467250251351919</v>
      </c>
      <c r="N83" s="20">
        <v>1.9424606756179921</v>
      </c>
      <c r="O83" s="24">
        <v>1.2577881731044729</v>
      </c>
      <c r="P83" s="2"/>
      <c r="Q83" s="14"/>
    </row>
    <row r="84" spans="1:17" x14ac:dyDescent="0.25">
      <c r="A84" s="95"/>
      <c r="B84" s="92">
        <v>2018</v>
      </c>
      <c r="C84" s="53" t="s">
        <v>51</v>
      </c>
      <c r="D84" s="35">
        <v>6575536.7480544597</v>
      </c>
      <c r="E84" s="35">
        <v>22618244.376339167</v>
      </c>
      <c r="F84" s="35">
        <v>29193781.124393627</v>
      </c>
      <c r="G84" s="35">
        <v>22.523758467724132</v>
      </c>
      <c r="H84" s="35">
        <v>77.476241532275864</v>
      </c>
      <c r="I84" s="35">
        <f t="shared" si="1"/>
        <v>100</v>
      </c>
      <c r="J84" s="35">
        <v>-9.1895044919489521</v>
      </c>
      <c r="K84" s="35">
        <v>1.0942725490215597</v>
      </c>
      <c r="L84" s="35">
        <v>-0.50669754361612718</v>
      </c>
      <c r="M84" s="35">
        <v>-1.4306146272091413</v>
      </c>
      <c r="N84" s="35">
        <v>0.92391708359301405</v>
      </c>
      <c r="O84" s="36">
        <v>-0.50669754361612729</v>
      </c>
      <c r="P84" s="6"/>
      <c r="Q84" s="14"/>
    </row>
    <row r="85" spans="1:17" x14ac:dyDescent="0.25">
      <c r="A85" s="95"/>
      <c r="B85" s="93">
        <v>2003</v>
      </c>
      <c r="C85" s="16" t="s">
        <v>28</v>
      </c>
      <c r="D85" s="2">
        <v>1301407.5831209659</v>
      </c>
      <c r="E85" s="2">
        <v>5259434.9954792801</v>
      </c>
      <c r="F85" s="2">
        <v>6560842.5786002455</v>
      </c>
      <c r="G85" s="2">
        <v>19.835982460024532</v>
      </c>
      <c r="H85" s="2">
        <v>80.164017539975475</v>
      </c>
      <c r="I85" s="2">
        <f t="shared" si="1"/>
        <v>100</v>
      </c>
      <c r="J85" s="2">
        <v>-6.7934788228590293</v>
      </c>
      <c r="K85" s="2">
        <v>-0.46162382446761857</v>
      </c>
      <c r="L85" s="2">
        <v>-1.4473618896704039</v>
      </c>
      <c r="M85" s="2">
        <v>-1.0576032888533307</v>
      </c>
      <c r="N85" s="2">
        <v>-0.38975860081707348</v>
      </c>
      <c r="O85" s="23">
        <v>-1.4473618896704041</v>
      </c>
      <c r="P85" s="2"/>
      <c r="Q85" s="14"/>
    </row>
    <row r="86" spans="1:17" x14ac:dyDescent="0.25">
      <c r="A86" s="95"/>
      <c r="B86" s="93"/>
      <c r="C86" s="16" t="s">
        <v>29</v>
      </c>
      <c r="D86" s="2">
        <v>1607251.8300936017</v>
      </c>
      <c r="E86" s="2">
        <v>5666312.8731630547</v>
      </c>
      <c r="F86" s="2">
        <v>7273564.7032566564</v>
      </c>
      <c r="G86" s="2">
        <v>22.097168247832773</v>
      </c>
      <c r="H86" s="2">
        <v>77.902831752167231</v>
      </c>
      <c r="I86" s="2">
        <f t="shared" si="1"/>
        <v>100</v>
      </c>
      <c r="J86" s="2">
        <v>-7.5670416470682227</v>
      </c>
      <c r="K86" s="2">
        <v>-1.6404563328359791</v>
      </c>
      <c r="L86" s="2">
        <v>-2.5631023413745027</v>
      </c>
      <c r="M86" s="2">
        <v>-1.1780309237000686</v>
      </c>
      <c r="N86" s="2">
        <v>-1.3850714176744343</v>
      </c>
      <c r="O86" s="23">
        <v>-2.5631023413745027</v>
      </c>
      <c r="P86" s="2"/>
      <c r="Q86" s="14"/>
    </row>
    <row r="87" spans="1:17" x14ac:dyDescent="0.25">
      <c r="A87" s="95"/>
      <c r="B87" s="93"/>
      <c r="C87" s="16" t="s">
        <v>30</v>
      </c>
      <c r="D87" s="2">
        <v>1833028.4066404267</v>
      </c>
      <c r="E87" s="2">
        <v>5699828.4519384969</v>
      </c>
      <c r="F87" s="2">
        <v>7532856.8585789232</v>
      </c>
      <c r="G87" s="2">
        <v>24.33377456990771</v>
      </c>
      <c r="H87" s="2">
        <v>75.666225430092283</v>
      </c>
      <c r="I87" s="2">
        <f t="shared" si="1"/>
        <v>100</v>
      </c>
      <c r="J87" s="2">
        <v>-12.200961696900947</v>
      </c>
      <c r="K87" s="2">
        <v>-6.0713422754605922E-2</v>
      </c>
      <c r="L87" s="2">
        <v>-1.9506974555346801</v>
      </c>
      <c r="M87" s="2">
        <v>-1.8994358493319641</v>
      </c>
      <c r="N87" s="2">
        <v>-5.1261606202715831E-2</v>
      </c>
      <c r="O87" s="23">
        <v>-1.9506974555346799</v>
      </c>
      <c r="P87" s="2"/>
      <c r="Q87" s="14"/>
    </row>
    <row r="88" spans="1:17" x14ac:dyDescent="0.25">
      <c r="A88" s="95"/>
      <c r="B88" s="94"/>
      <c r="C88" s="28" t="s">
        <v>31</v>
      </c>
      <c r="D88" s="20">
        <v>1833848.9281994656</v>
      </c>
      <c r="E88" s="20">
        <v>5992668.0557583375</v>
      </c>
      <c r="F88" s="20">
        <v>7826516.9839578029</v>
      </c>
      <c r="G88" s="20">
        <v>23.431226584678079</v>
      </c>
      <c r="H88" s="20">
        <v>76.568773415321914</v>
      </c>
      <c r="I88" s="20">
        <f t="shared" si="1"/>
        <v>100</v>
      </c>
      <c r="J88" s="20">
        <v>-10.136194970987049</v>
      </c>
      <c r="K88" s="20">
        <v>6.7098322825120151</v>
      </c>
      <c r="L88" s="20">
        <v>4.0872563840689509</v>
      </c>
      <c r="M88" s="20">
        <v>-1.577994635341037</v>
      </c>
      <c r="N88" s="20">
        <v>5.6652510194099888</v>
      </c>
      <c r="O88" s="24">
        <v>4.0872563840689518</v>
      </c>
      <c r="P88" s="2"/>
      <c r="Q88" s="14"/>
    </row>
    <row r="89" spans="1:17" x14ac:dyDescent="0.25">
      <c r="A89" s="95"/>
      <c r="B89" s="92">
        <v>2019</v>
      </c>
      <c r="C89" s="53" t="s">
        <v>51</v>
      </c>
      <c r="D89" s="35">
        <v>8158227.8928800412</v>
      </c>
      <c r="E89" s="35">
        <v>26576806.938094515</v>
      </c>
      <c r="F89" s="35">
        <v>34735034.830974557</v>
      </c>
      <c r="G89" s="35">
        <v>23.487029544029816</v>
      </c>
      <c r="H89" s="35">
        <v>76.512970455970191</v>
      </c>
      <c r="I89" s="35">
        <f t="shared" si="1"/>
        <v>100</v>
      </c>
      <c r="J89" s="35">
        <v>-7.1960940609897506</v>
      </c>
      <c r="K89" s="35">
        <v>0.7300259915537467</v>
      </c>
      <c r="L89" s="35">
        <v>-1.0552341449430003</v>
      </c>
      <c r="M89" s="35">
        <v>-1.6208308454075731</v>
      </c>
      <c r="N89" s="35">
        <v>0.56559670046457255</v>
      </c>
      <c r="O89" s="36">
        <v>-1.0552341449430005</v>
      </c>
      <c r="P89" s="6"/>
      <c r="Q89" s="14"/>
    </row>
    <row r="90" spans="1:17" x14ac:dyDescent="0.25">
      <c r="A90" s="95"/>
      <c r="B90" s="93">
        <v>2003</v>
      </c>
      <c r="C90" s="16" t="s">
        <v>28</v>
      </c>
      <c r="D90" s="2">
        <v>1743561.9765954348</v>
      </c>
      <c r="E90" s="2">
        <v>6186495.0068926904</v>
      </c>
      <c r="F90" s="2">
        <v>7930056.9834881248</v>
      </c>
      <c r="G90" s="2">
        <v>21.986752178778286</v>
      </c>
      <c r="H90" s="2">
        <v>78.013247821221711</v>
      </c>
      <c r="I90" s="2">
        <f t="shared" si="1"/>
        <v>100</v>
      </c>
      <c r="J90" s="2">
        <v>-7.5270111156971922</v>
      </c>
      <c r="K90" s="2">
        <v>4.77262072714898</v>
      </c>
      <c r="L90" s="2">
        <v>2.0022813584470214</v>
      </c>
      <c r="M90" s="2">
        <v>-1.6953658035383834</v>
      </c>
      <c r="N90" s="2">
        <v>3.6976471619854046</v>
      </c>
      <c r="O90" s="23">
        <v>2.0022813584470214</v>
      </c>
      <c r="P90" s="2"/>
      <c r="Q90" s="14"/>
    </row>
    <row r="91" spans="1:17" x14ac:dyDescent="0.25">
      <c r="A91" s="95"/>
      <c r="B91" s="93"/>
      <c r="C91" s="16" t="s">
        <v>29</v>
      </c>
      <c r="D91" s="2">
        <v>2007673.2867844265</v>
      </c>
      <c r="E91" s="2">
        <v>6336815.404672157</v>
      </c>
      <c r="F91" s="2">
        <v>8344488.6914565833</v>
      </c>
      <c r="G91" s="2">
        <v>24.059871862969405</v>
      </c>
      <c r="H91" s="2">
        <v>75.940128137030598</v>
      </c>
      <c r="I91" s="2">
        <f t="shared" si="1"/>
        <v>100</v>
      </c>
      <c r="J91" s="2">
        <v>-6.5406912371658166</v>
      </c>
      <c r="K91" s="2">
        <v>-1.1148940412827735</v>
      </c>
      <c r="L91" s="2">
        <v>-2.3369874966320197</v>
      </c>
      <c r="M91" s="2">
        <v>-1.4732094963788263</v>
      </c>
      <c r="N91" s="2">
        <v>-0.86377800025319285</v>
      </c>
      <c r="O91" s="23">
        <v>-2.3369874966320192</v>
      </c>
      <c r="P91" s="2"/>
      <c r="Q91" s="14"/>
    </row>
    <row r="92" spans="1:17" x14ac:dyDescent="0.25">
      <c r="A92" s="95"/>
      <c r="B92" s="93"/>
      <c r="C92" s="16" t="s">
        <v>30</v>
      </c>
      <c r="D92" s="2">
        <v>1910575.960417599</v>
      </c>
      <c r="E92" s="2">
        <v>6694429.9675631952</v>
      </c>
      <c r="F92" s="2">
        <v>8605005.9279807936</v>
      </c>
      <c r="G92" s="2">
        <v>22.203075470349209</v>
      </c>
      <c r="H92" s="2">
        <v>77.796924529650795</v>
      </c>
      <c r="I92" s="2">
        <f t="shared" si="1"/>
        <v>100</v>
      </c>
      <c r="J92" s="2">
        <v>-7.8812751379026196</v>
      </c>
      <c r="K92" s="2">
        <v>-1.0719350449905272</v>
      </c>
      <c r="L92" s="2">
        <v>-2.6056543607639497</v>
      </c>
      <c r="M92" s="2">
        <v>-1.7751593762379787</v>
      </c>
      <c r="N92" s="2">
        <v>-0.83049498452597081</v>
      </c>
      <c r="O92" s="23">
        <v>-2.6056543607639497</v>
      </c>
      <c r="P92" s="2"/>
      <c r="Q92" s="14"/>
    </row>
    <row r="93" spans="1:17" x14ac:dyDescent="0.25">
      <c r="A93" s="95"/>
      <c r="B93" s="94"/>
      <c r="C93" s="28" t="s">
        <v>31</v>
      </c>
      <c r="D93" s="20">
        <v>2496416.6690825801</v>
      </c>
      <c r="E93" s="20">
        <v>7359066.5589664727</v>
      </c>
      <c r="F93" s="20">
        <v>9855483.2280490529</v>
      </c>
      <c r="G93" s="20">
        <v>25.330231012698494</v>
      </c>
      <c r="H93" s="20">
        <v>74.669768987301509</v>
      </c>
      <c r="I93" s="20">
        <f t="shared" si="1"/>
        <v>100</v>
      </c>
      <c r="J93" s="20">
        <v>-6.8291183547427607</v>
      </c>
      <c r="K93" s="20">
        <v>0.44243493583682814</v>
      </c>
      <c r="L93" s="20">
        <v>-1.195392164185165</v>
      </c>
      <c r="M93" s="20">
        <v>-1.5381741236972761</v>
      </c>
      <c r="N93" s="20">
        <v>0.34278195951211071</v>
      </c>
      <c r="O93" s="24">
        <v>-1.1953921641851655</v>
      </c>
      <c r="P93" s="2"/>
      <c r="Q93" s="14"/>
    </row>
    <row r="94" spans="1:17" x14ac:dyDescent="0.25">
      <c r="A94" s="95"/>
      <c r="B94" s="92">
        <v>2020</v>
      </c>
      <c r="C94" s="53" t="s">
        <v>51</v>
      </c>
      <c r="D94" s="35">
        <v>7589421.6800267939</v>
      </c>
      <c r="E94" s="35">
        <v>30654225.295358762</v>
      </c>
      <c r="F94" s="35">
        <v>38243646.975385554</v>
      </c>
      <c r="G94" s="35">
        <v>19.844921392856467</v>
      </c>
      <c r="H94" s="35">
        <v>80.155078607143537</v>
      </c>
      <c r="I94" s="35">
        <f t="shared" si="1"/>
        <v>100</v>
      </c>
      <c r="J94" s="35">
        <v>-6.7299263045652538</v>
      </c>
      <c r="K94" s="35">
        <v>-4.8264124128870929</v>
      </c>
      <c r="L94" s="35">
        <v>-5.2734912830002543</v>
      </c>
      <c r="M94" s="35">
        <v>-1.5806597794446759</v>
      </c>
      <c r="N94" s="35">
        <v>-3.6928315035555785</v>
      </c>
      <c r="O94" s="36">
        <v>-5.2734912830002543</v>
      </c>
      <c r="P94" s="6"/>
      <c r="Q94" s="14"/>
    </row>
    <row r="95" spans="1:17" x14ac:dyDescent="0.25">
      <c r="A95" s="95"/>
      <c r="B95" s="93">
        <v>2003</v>
      </c>
      <c r="C95" s="16" t="s">
        <v>28</v>
      </c>
      <c r="D95" s="2">
        <v>2121868.4754200047</v>
      </c>
      <c r="E95" s="2">
        <v>7461777.8057422535</v>
      </c>
      <c r="F95" s="2">
        <v>9583646.2811622582</v>
      </c>
      <c r="G95" s="2">
        <v>22.140513257368205</v>
      </c>
      <c r="H95" s="2">
        <v>77.859486742631788</v>
      </c>
      <c r="I95" s="2">
        <f t="shared" si="1"/>
        <v>100</v>
      </c>
      <c r="J95" s="2">
        <v>-1.2255482850667931</v>
      </c>
      <c r="K95" s="2">
        <v>1.8052611811805488</v>
      </c>
      <c r="L95" s="2">
        <v>1.0934140664197827</v>
      </c>
      <c r="M95" s="2">
        <v>-0.28784488778998862</v>
      </c>
      <c r="N95" s="2">
        <v>1.3812589542097715</v>
      </c>
      <c r="O95" s="23">
        <v>1.0934140664197829</v>
      </c>
      <c r="P95" s="2"/>
      <c r="Q95" s="14"/>
    </row>
    <row r="96" spans="1:17" x14ac:dyDescent="0.25">
      <c r="A96" s="95"/>
      <c r="B96" s="93"/>
      <c r="C96" s="16" t="s">
        <v>29</v>
      </c>
      <c r="D96" s="2">
        <v>1247945.0727901971</v>
      </c>
      <c r="E96" s="2">
        <v>7033683.4474169407</v>
      </c>
      <c r="F96" s="2">
        <v>8281628.5202071378</v>
      </c>
      <c r="G96" s="2">
        <v>15.068836639378553</v>
      </c>
      <c r="H96" s="2">
        <v>84.93116336062144</v>
      </c>
      <c r="I96" s="2">
        <f t="shared" si="1"/>
        <v>100</v>
      </c>
      <c r="J96" s="2">
        <v>-9.0476930885860156</v>
      </c>
      <c r="K96" s="2">
        <v>-10.934580337263522</v>
      </c>
      <c r="L96" s="2">
        <v>-10.491406571704104</v>
      </c>
      <c r="M96" s="2">
        <v>-2.1250343487693422</v>
      </c>
      <c r="N96" s="2">
        <v>-8.3663722229347623</v>
      </c>
      <c r="O96" s="23">
        <v>-10.491406571704104</v>
      </c>
      <c r="P96" s="2"/>
      <c r="Q96" s="14"/>
    </row>
    <row r="97" spans="1:17" x14ac:dyDescent="0.25">
      <c r="A97" s="95"/>
      <c r="B97" s="93"/>
      <c r="C97" s="16" t="s">
        <v>30</v>
      </c>
      <c r="D97" s="2">
        <v>2044051.0466034806</v>
      </c>
      <c r="E97" s="2">
        <v>7596908.4242047817</v>
      </c>
      <c r="F97" s="2">
        <v>9640959.470808262</v>
      </c>
      <c r="G97" s="2">
        <v>21.201738818554695</v>
      </c>
      <c r="H97" s="2">
        <v>78.798261181445298</v>
      </c>
      <c r="I97" s="2">
        <f t="shared" si="1"/>
        <v>100</v>
      </c>
      <c r="J97" s="2">
        <v>-5.7217239661361958</v>
      </c>
      <c r="K97" s="2">
        <v>-7.2756348430140365</v>
      </c>
      <c r="L97" s="2">
        <v>-6.9106673362738462</v>
      </c>
      <c r="M97" s="2">
        <v>-1.3438629983542436</v>
      </c>
      <c r="N97" s="2">
        <v>-5.5668043379196019</v>
      </c>
      <c r="O97" s="23">
        <v>-6.9106673362738453</v>
      </c>
      <c r="P97" s="2"/>
      <c r="Q97" s="14"/>
    </row>
    <row r="98" spans="1:17" x14ac:dyDescent="0.25">
      <c r="A98" s="95"/>
      <c r="B98" s="94"/>
      <c r="C98" s="28" t="s">
        <v>31</v>
      </c>
      <c r="D98" s="20">
        <v>2175557.0852131112</v>
      </c>
      <c r="E98" s="20">
        <v>8561855.6179947834</v>
      </c>
      <c r="F98" s="20">
        <v>10737412.703207895</v>
      </c>
      <c r="G98" s="20">
        <v>20.261464706140472</v>
      </c>
      <c r="H98" s="20">
        <v>79.738535293859528</v>
      </c>
      <c r="I98" s="20">
        <f t="shared" si="1"/>
        <v>100</v>
      </c>
      <c r="J98" s="20">
        <v>-11.118502666085973</v>
      </c>
      <c r="K98" s="20">
        <v>-3.0059157317008789</v>
      </c>
      <c r="L98" s="20">
        <v>-4.9113214217650096</v>
      </c>
      <c r="M98" s="20">
        <v>-2.6114060060373565</v>
      </c>
      <c r="N98" s="20">
        <v>-2.2999154157276531</v>
      </c>
      <c r="O98" s="24">
        <v>-4.9113214217650096</v>
      </c>
      <c r="P98" s="2"/>
      <c r="Q98" s="14"/>
    </row>
    <row r="99" spans="1:17" x14ac:dyDescent="0.25">
      <c r="A99" s="95"/>
      <c r="B99" s="92">
        <v>2021</v>
      </c>
      <c r="C99" s="53" t="s">
        <v>51</v>
      </c>
      <c r="D99" s="35">
        <v>12493797.045050323</v>
      </c>
      <c r="E99" s="35">
        <v>39929951.331050456</v>
      </c>
      <c r="F99" s="35">
        <v>52423748.376100779</v>
      </c>
      <c r="G99" s="35">
        <v>23.832323006391629</v>
      </c>
      <c r="H99" s="35">
        <v>76.167676993608367</v>
      </c>
      <c r="I99" s="35">
        <f t="shared" si="1"/>
        <v>100</v>
      </c>
      <c r="J99" s="35">
        <v>-11.450626634609534</v>
      </c>
      <c r="K99" s="35">
        <v>4.1955564295038377</v>
      </c>
      <c r="L99" s="35">
        <v>1.0905836994481177</v>
      </c>
      <c r="M99" s="35">
        <v>-2.2723678546277477</v>
      </c>
      <c r="N99" s="35">
        <v>3.3629515540758659</v>
      </c>
      <c r="O99" s="36">
        <v>1.0905836994481182</v>
      </c>
      <c r="P99" s="6"/>
      <c r="Q99" s="14"/>
    </row>
    <row r="100" spans="1:17" x14ac:dyDescent="0.25">
      <c r="A100" s="95"/>
      <c r="B100" s="93">
        <v>2003</v>
      </c>
      <c r="C100" s="16" t="s">
        <v>28</v>
      </c>
      <c r="D100" s="2">
        <v>2778783.6683826325</v>
      </c>
      <c r="E100" s="2">
        <v>8851453.0301155001</v>
      </c>
      <c r="F100" s="2">
        <v>11630236.698498134</v>
      </c>
      <c r="G100" s="2">
        <v>23.892752490080188</v>
      </c>
      <c r="H100" s="2">
        <v>76.107247509919816</v>
      </c>
      <c r="I100" s="2">
        <f t="shared" si="1"/>
        <v>100</v>
      </c>
      <c r="J100" s="2">
        <v>-19.181821729756066</v>
      </c>
      <c r="K100" s="2">
        <v>-5.521723630316588</v>
      </c>
      <c r="L100" s="2">
        <v>-8.232559360337433</v>
      </c>
      <c r="M100" s="2">
        <v>-3.806617443987951</v>
      </c>
      <c r="N100" s="2">
        <v>-4.4259419163494806</v>
      </c>
      <c r="O100" s="23">
        <v>-8.2325593603374312</v>
      </c>
      <c r="P100" s="2"/>
      <c r="Q100" s="14"/>
    </row>
    <row r="101" spans="1:17" x14ac:dyDescent="0.25">
      <c r="A101" s="95"/>
      <c r="B101" s="93"/>
      <c r="C101" s="16" t="s">
        <v>29</v>
      </c>
      <c r="D101" s="2">
        <v>3108936.2700000745</v>
      </c>
      <c r="E101" s="2">
        <v>9408708.3250165097</v>
      </c>
      <c r="F101" s="2">
        <v>12517644.595016584</v>
      </c>
      <c r="G101" s="2">
        <v>24.836431857458049</v>
      </c>
      <c r="H101" s="2">
        <v>75.163568142541948</v>
      </c>
      <c r="I101" s="2">
        <f t="shared" si="1"/>
        <v>100</v>
      </c>
      <c r="J101" s="2">
        <v>-12.278370548608635</v>
      </c>
      <c r="K101" s="2">
        <v>6.0727623406642914</v>
      </c>
      <c r="L101" s="2">
        <v>2.4309944440894498</v>
      </c>
      <c r="M101" s="2">
        <v>-2.4366329836950222</v>
      </c>
      <c r="N101" s="2">
        <v>4.8676274277844724</v>
      </c>
      <c r="O101" s="23">
        <v>2.4309944440894502</v>
      </c>
      <c r="P101" s="2"/>
      <c r="Q101" s="14"/>
    </row>
    <row r="102" spans="1:17" x14ac:dyDescent="0.25">
      <c r="A102" s="95"/>
      <c r="B102" s="93"/>
      <c r="C102" s="16" t="s">
        <v>30</v>
      </c>
      <c r="D102" s="2">
        <v>3295680.9228925356</v>
      </c>
      <c r="E102" s="2">
        <v>9811203.2402688619</v>
      </c>
      <c r="F102" s="2">
        <v>13106884.163161397</v>
      </c>
      <c r="G102" s="2">
        <v>25.144655906515716</v>
      </c>
      <c r="H102" s="2">
        <v>74.855344093484291</v>
      </c>
      <c r="I102" s="2">
        <f t="shared" si="1"/>
        <v>100</v>
      </c>
      <c r="J102" s="2">
        <v>-10.752779336175649</v>
      </c>
      <c r="K102" s="2">
        <v>5.8189752622994551</v>
      </c>
      <c r="L102" s="2">
        <v>2.5303235888149942</v>
      </c>
      <c r="M102" s="2">
        <v>-2.1338806068113705</v>
      </c>
      <c r="N102" s="2">
        <v>4.6642041956263647</v>
      </c>
      <c r="O102" s="23">
        <v>2.5303235888149942</v>
      </c>
      <c r="P102" s="2"/>
      <c r="Q102" s="14"/>
    </row>
    <row r="103" spans="1:17" x14ac:dyDescent="0.25">
      <c r="A103" s="95"/>
      <c r="B103" s="94"/>
      <c r="C103" s="28" t="s">
        <v>31</v>
      </c>
      <c r="D103" s="20">
        <v>3310396.1837750813</v>
      </c>
      <c r="E103" s="20">
        <v>11858586.735649589</v>
      </c>
      <c r="F103" s="20">
        <v>15168982.91942467</v>
      </c>
      <c r="G103" s="20">
        <v>21.823455147648346</v>
      </c>
      <c r="H103" s="20">
        <v>78.176544852351654</v>
      </c>
      <c r="I103" s="20">
        <f t="shared" si="1"/>
        <v>100</v>
      </c>
      <c r="J103" s="20">
        <v>-2.2438832803818372</v>
      </c>
      <c r="K103" s="20">
        <v>10.85312450723581</v>
      </c>
      <c r="L103" s="20">
        <v>8.2540336069668001</v>
      </c>
      <c r="M103" s="20">
        <v>-0.4452968731392245</v>
      </c>
      <c r="N103" s="20">
        <v>8.6993304801060241</v>
      </c>
      <c r="O103" s="24">
        <v>8.2540336069668001</v>
      </c>
      <c r="P103" s="2"/>
      <c r="Q103" s="14"/>
    </row>
    <row r="104" spans="1:17" x14ac:dyDescent="0.25">
      <c r="A104" s="95"/>
      <c r="B104" s="92">
        <v>2022</v>
      </c>
      <c r="C104" s="53" t="s">
        <v>51</v>
      </c>
      <c r="D104" s="35">
        <v>13225461.790088076</v>
      </c>
      <c r="E104" s="35">
        <v>50872015.671348155</v>
      </c>
      <c r="F104" s="35">
        <v>64097477.461436227</v>
      </c>
      <c r="G104" s="35">
        <v>20.633357682515786</v>
      </c>
      <c r="H104" s="35">
        <v>79.366642317484207</v>
      </c>
      <c r="I104" s="35">
        <f t="shared" si="1"/>
        <v>100</v>
      </c>
      <c r="J104" s="35">
        <v>5.012030744576677</v>
      </c>
      <c r="K104" s="35">
        <v>3.1023772862701766</v>
      </c>
      <c r="L104" s="35">
        <v>3.5574920667565095</v>
      </c>
      <c r="M104" s="35">
        <v>1.1944833562271682</v>
      </c>
      <c r="N104" s="35">
        <v>2.3630087105293414</v>
      </c>
      <c r="O104" s="36">
        <v>3.5574920667565095</v>
      </c>
      <c r="P104" s="6"/>
      <c r="Q104" s="14"/>
    </row>
    <row r="105" spans="1:17" x14ac:dyDescent="0.25">
      <c r="A105" s="95"/>
      <c r="B105" s="93">
        <v>2003</v>
      </c>
      <c r="C105" s="16" t="s">
        <v>28</v>
      </c>
      <c r="D105" s="2">
        <v>3724618.4349571015</v>
      </c>
      <c r="E105" s="2">
        <v>11218198.445085455</v>
      </c>
      <c r="F105" s="2">
        <v>14942816.880042557</v>
      </c>
      <c r="G105" s="2">
        <v>24.92581194601706</v>
      </c>
      <c r="H105" s="2">
        <v>75.074188053982937</v>
      </c>
      <c r="I105" s="2">
        <f t="shared" si="1"/>
        <v>100</v>
      </c>
      <c r="J105" s="2">
        <v>7.0174695345828582</v>
      </c>
      <c r="K105" s="2">
        <v>2.4397813607999121</v>
      </c>
      <c r="L105" s="2">
        <v>3.5307507926012534</v>
      </c>
      <c r="M105" s="2">
        <v>1.672426006356913</v>
      </c>
      <c r="N105" s="2">
        <v>1.8583247862443402</v>
      </c>
      <c r="O105" s="23">
        <v>3.5307507926012534</v>
      </c>
      <c r="P105" s="2"/>
      <c r="Q105" s="14"/>
    </row>
    <row r="106" spans="1:17" x14ac:dyDescent="0.25">
      <c r="A106" s="95"/>
      <c r="B106" s="93"/>
      <c r="C106" s="16" t="s">
        <v>29</v>
      </c>
      <c r="D106" s="2">
        <v>3447127.3928064937</v>
      </c>
      <c r="E106" s="2">
        <v>13632687.686506037</v>
      </c>
      <c r="F106" s="2">
        <v>17079815.079312529</v>
      </c>
      <c r="G106" s="2">
        <v>20.18246319880673</v>
      </c>
      <c r="H106" s="2">
        <v>79.81753680119327</v>
      </c>
      <c r="I106" s="2">
        <f t="shared" si="1"/>
        <v>100</v>
      </c>
      <c r="J106" s="2">
        <v>7.3763352194698797</v>
      </c>
      <c r="K106" s="2">
        <v>15.880551339905619</v>
      </c>
      <c r="L106" s="2">
        <v>13.853799084921746</v>
      </c>
      <c r="M106" s="2">
        <v>1.7579520355382878</v>
      </c>
      <c r="N106" s="2">
        <v>12.09584704938346</v>
      </c>
      <c r="O106" s="23">
        <v>13.853799084921748</v>
      </c>
      <c r="P106" s="2"/>
      <c r="Q106" s="14"/>
    </row>
    <row r="107" spans="1:17" x14ac:dyDescent="0.25">
      <c r="A107" s="95"/>
      <c r="B107" s="93"/>
      <c r="C107" s="16" t="s">
        <v>30</v>
      </c>
      <c r="D107" s="2">
        <v>3206525.6872932203</v>
      </c>
      <c r="E107" s="2">
        <v>11669635.819966972</v>
      </c>
      <c r="F107" s="2">
        <v>14876161.507260192</v>
      </c>
      <c r="G107" s="2">
        <v>21.554792113061566</v>
      </c>
      <c r="H107" s="2">
        <v>78.445207886938434</v>
      </c>
      <c r="I107" s="2">
        <f t="shared" si="1"/>
        <v>100</v>
      </c>
      <c r="J107" s="2">
        <v>7.8953976143526319</v>
      </c>
      <c r="K107" s="2">
        <v>-5.3931006388672467</v>
      </c>
      <c r="L107" s="2">
        <v>-2.2261428124611768</v>
      </c>
      <c r="M107" s="2">
        <v>1.8816566620914572</v>
      </c>
      <c r="N107" s="2">
        <v>-4.1077994745526345</v>
      </c>
      <c r="O107" s="23">
        <v>-2.2261428124611773</v>
      </c>
      <c r="P107" s="2"/>
      <c r="Q107" s="14"/>
    </row>
    <row r="108" spans="1:17" x14ac:dyDescent="0.25">
      <c r="A108" s="95"/>
      <c r="B108" s="94"/>
      <c r="C108" s="28" t="s">
        <v>31</v>
      </c>
      <c r="D108" s="20">
        <v>2847190.2750312602</v>
      </c>
      <c r="E108" s="20">
        <v>14351493.719789695</v>
      </c>
      <c r="F108" s="20">
        <v>17198683.994820956</v>
      </c>
      <c r="G108" s="20">
        <v>16.554698463490784</v>
      </c>
      <c r="H108" s="20">
        <v>83.44530153650922</v>
      </c>
      <c r="I108" s="20">
        <f t="shared" si="1"/>
        <v>100</v>
      </c>
      <c r="J108" s="20">
        <v>-2.057947656313786</v>
      </c>
      <c r="K108" s="20">
        <v>0.5133650537744614</v>
      </c>
      <c r="L108" s="20">
        <v>-9.9438496798171627E-2</v>
      </c>
      <c r="M108" s="20">
        <v>-0.49045673275516743</v>
      </c>
      <c r="N108" s="20">
        <v>0.3910182359569957</v>
      </c>
      <c r="O108" s="24">
        <v>-9.9438496798171738E-2</v>
      </c>
      <c r="P108" s="2"/>
      <c r="Q108" s="14"/>
    </row>
    <row r="109" spans="1:17" x14ac:dyDescent="0.25">
      <c r="A109" s="95"/>
      <c r="B109" s="92">
        <v>2023</v>
      </c>
      <c r="C109" s="53" t="s">
        <v>51</v>
      </c>
      <c r="D109" s="35">
        <v>15745969.727080967</v>
      </c>
      <c r="E109" s="35">
        <v>61753897.915563673</v>
      </c>
      <c r="F109" s="35">
        <v>77499867.642644644</v>
      </c>
      <c r="G109" s="35">
        <v>20.317414991837584</v>
      </c>
      <c r="H109" s="35">
        <v>79.68258500816242</v>
      </c>
      <c r="I109" s="35">
        <f t="shared" si="1"/>
        <v>100</v>
      </c>
      <c r="J109" s="35">
        <v>-2.4164025678173289</v>
      </c>
      <c r="K109" s="35">
        <v>2.2915809495912032</v>
      </c>
      <c r="L109" s="35">
        <v>1.3201658708104134</v>
      </c>
      <c r="M109" s="35">
        <v>-0.49858498486724551</v>
      </c>
      <c r="N109" s="35">
        <v>1.8187508556776584</v>
      </c>
      <c r="O109" s="36">
        <v>1.3201658708104129</v>
      </c>
      <c r="P109" s="6"/>
      <c r="Q109" s="14"/>
    </row>
    <row r="110" spans="1:17" x14ac:dyDescent="0.25">
      <c r="A110" s="95"/>
      <c r="B110" s="93">
        <v>2003</v>
      </c>
      <c r="C110" s="16" t="s">
        <v>28</v>
      </c>
      <c r="D110" s="2">
        <v>2677417.152857319</v>
      </c>
      <c r="E110" s="2">
        <v>13420441.239425624</v>
      </c>
      <c r="F110" s="2">
        <v>16097858.392282942</v>
      </c>
      <c r="G110" s="2">
        <v>16.632132595605576</v>
      </c>
      <c r="H110" s="2">
        <v>83.367867404394417</v>
      </c>
      <c r="I110" s="2">
        <f t="shared" si="1"/>
        <v>100</v>
      </c>
      <c r="J110" s="2">
        <v>-6.237195297415596</v>
      </c>
      <c r="K110" s="2">
        <v>1.4573167879915714</v>
      </c>
      <c r="L110" s="2">
        <v>-0.13031941251489343</v>
      </c>
      <c r="M110" s="2">
        <v>-1.2869428150728139</v>
      </c>
      <c r="N110" s="2">
        <v>1.1566234025579203</v>
      </c>
      <c r="O110" s="23">
        <v>-0.13031941251489365</v>
      </c>
      <c r="P110" s="2"/>
      <c r="Q110" s="14"/>
    </row>
    <row r="111" spans="1:17" x14ac:dyDescent="0.25">
      <c r="A111" s="95"/>
      <c r="B111" s="93"/>
      <c r="C111" s="16" t="s">
        <v>29</v>
      </c>
      <c r="D111" s="2">
        <v>3149390.1891115257</v>
      </c>
      <c r="E111" s="2">
        <v>17492266.239061553</v>
      </c>
      <c r="F111" s="2">
        <v>20641656.42817308</v>
      </c>
      <c r="G111" s="2">
        <v>15.257448936186305</v>
      </c>
      <c r="H111" s="2">
        <v>84.742551063813693</v>
      </c>
      <c r="I111" s="2">
        <f t="shared" si="1"/>
        <v>100</v>
      </c>
      <c r="J111" s="2">
        <v>-2.0338249721794028</v>
      </c>
      <c r="K111" s="2">
        <v>10.016508537984015</v>
      </c>
      <c r="L111" s="2">
        <v>7.5301201228959371</v>
      </c>
      <c r="M111" s="2">
        <v>-0.41964638114610331</v>
      </c>
      <c r="N111" s="2">
        <v>7.9497665040420413</v>
      </c>
      <c r="O111" s="23">
        <v>7.530120122895938</v>
      </c>
      <c r="P111" s="2"/>
      <c r="Q111" s="14"/>
    </row>
    <row r="112" spans="1:17" x14ac:dyDescent="0.25">
      <c r="A112" s="95"/>
      <c r="B112" s="93"/>
      <c r="C112" s="16" t="s">
        <v>30</v>
      </c>
      <c r="D112" s="2">
        <v>5117525.7043596432</v>
      </c>
      <c r="E112" s="2">
        <v>14570847.197530344</v>
      </c>
      <c r="F112" s="2">
        <v>19688372.901889987</v>
      </c>
      <c r="G112" s="2">
        <v>25.992628897578356</v>
      </c>
      <c r="H112" s="2">
        <v>74.007371102421644</v>
      </c>
      <c r="I112" s="2">
        <f t="shared" si="1"/>
        <v>100</v>
      </c>
      <c r="J112" s="2">
        <v>-2.7845565801474805</v>
      </c>
      <c r="K112" s="2">
        <v>4.4241622827419231</v>
      </c>
      <c r="L112" s="2">
        <v>2.9367615354349681</v>
      </c>
      <c r="M112" s="2">
        <v>-0.57454751905385892</v>
      </c>
      <c r="N112" s="2">
        <v>3.5113090544888275</v>
      </c>
      <c r="O112" s="23">
        <v>2.9367615354349685</v>
      </c>
      <c r="P112" s="2"/>
      <c r="Q112" s="14"/>
    </row>
    <row r="113" spans="1:17" x14ac:dyDescent="0.25">
      <c r="A113" s="95"/>
      <c r="B113" s="94"/>
      <c r="C113" s="28" t="s">
        <v>31</v>
      </c>
      <c r="D113" s="20">
        <v>4801636.6807524785</v>
      </c>
      <c r="E113" s="20">
        <v>16270343.239546165</v>
      </c>
      <c r="F113" s="20">
        <v>21071979.920298643</v>
      </c>
      <c r="G113" s="20">
        <v>22.786832081816197</v>
      </c>
      <c r="H113" s="20">
        <v>77.2131679181838</v>
      </c>
      <c r="I113" s="20">
        <f t="shared" si="1"/>
        <v>100</v>
      </c>
      <c r="J113" s="20">
        <v>1.6237707110299908</v>
      </c>
      <c r="K113" s="20">
        <v>-6.5369889071283227</v>
      </c>
      <c r="L113" s="20">
        <v>-4.8531501855034094</v>
      </c>
      <c r="M113" s="20">
        <v>0.33503841875074775</v>
      </c>
      <c r="N113" s="20">
        <v>-5.1881886042541572</v>
      </c>
      <c r="O113" s="24">
        <v>-4.8531501855034094</v>
      </c>
      <c r="P113" s="2"/>
      <c r="Q113" s="14"/>
    </row>
    <row r="114" spans="1:17" x14ac:dyDescent="0.25">
      <c r="A114" s="95"/>
      <c r="B114" s="92">
        <v>2024</v>
      </c>
      <c r="C114" s="53" t="s">
        <v>51</v>
      </c>
      <c r="D114" s="35">
        <v>19858399.499339547</v>
      </c>
      <c r="E114" s="35">
        <v>84152688.309241563</v>
      </c>
      <c r="F114" s="35">
        <v>104011087.80858111</v>
      </c>
      <c r="G114" s="35">
        <v>19.092579375658826</v>
      </c>
      <c r="H114" s="35">
        <v>80.907420624341171</v>
      </c>
      <c r="I114" s="35">
        <f t="shared" si="1"/>
        <v>100</v>
      </c>
      <c r="J114" s="35">
        <v>3.3419817438081765</v>
      </c>
      <c r="K114" s="35">
        <v>5.3633730682571255</v>
      </c>
      <c r="L114" s="35">
        <v>4.9526786042598303</v>
      </c>
      <c r="M114" s="35">
        <v>0.67900429984095745</v>
      </c>
      <c r="N114" s="35">
        <v>4.273674304418873</v>
      </c>
      <c r="O114" s="36">
        <v>4.9526786042598303</v>
      </c>
      <c r="P114" s="6"/>
      <c r="Q114" s="14"/>
    </row>
    <row r="115" spans="1:17" x14ac:dyDescent="0.25">
      <c r="A115" s="95"/>
      <c r="B115" s="93">
        <v>2003</v>
      </c>
      <c r="C115" s="16" t="s">
        <v>28</v>
      </c>
      <c r="D115" s="2">
        <v>4826445.1734681698</v>
      </c>
      <c r="E115" s="2">
        <v>17678255.345445976</v>
      </c>
      <c r="F115" s="2">
        <v>22504700.518914144</v>
      </c>
      <c r="G115" s="2">
        <v>21.446387031063885</v>
      </c>
      <c r="H115" s="2">
        <v>78.553612968936108</v>
      </c>
      <c r="I115" s="2">
        <f t="shared" si="1"/>
        <v>100</v>
      </c>
      <c r="J115" s="2">
        <v>5.9557472513614584</v>
      </c>
      <c r="K115" s="2">
        <v>4.240754477507644</v>
      </c>
      <c r="L115" s="2">
        <v>4.5891966764515502</v>
      </c>
      <c r="M115" s="2">
        <v>1.2100538849240676</v>
      </c>
      <c r="N115" s="2">
        <v>3.3791427915274825</v>
      </c>
      <c r="O115" s="23">
        <v>4.5891966764515502</v>
      </c>
      <c r="P115" s="2"/>
      <c r="Q115" s="14"/>
    </row>
    <row r="116" spans="1:17" x14ac:dyDescent="0.25">
      <c r="A116" s="95"/>
      <c r="B116" s="93"/>
      <c r="C116" s="16" t="s">
        <v>29</v>
      </c>
      <c r="D116" s="2">
        <v>5077626.4642123599</v>
      </c>
      <c r="E116" s="2">
        <v>24217204.88039282</v>
      </c>
      <c r="F116" s="2">
        <v>29294831.344605181</v>
      </c>
      <c r="G116" s="2">
        <v>17.332840747511028</v>
      </c>
      <c r="H116" s="2">
        <v>82.667159252488972</v>
      </c>
      <c r="I116" s="2">
        <f t="shared" si="1"/>
        <v>100</v>
      </c>
      <c r="J116" s="2">
        <v>3.039850019513608</v>
      </c>
      <c r="K116" s="2">
        <v>8.080997450301334</v>
      </c>
      <c r="L116" s="2">
        <v>7.0567666064378329</v>
      </c>
      <c r="M116" s="2">
        <v>0.61761894359403535</v>
      </c>
      <c r="N116" s="2">
        <v>6.4391476628437987</v>
      </c>
      <c r="O116" s="23">
        <v>7.0567666064378338</v>
      </c>
      <c r="P116" s="2"/>
      <c r="Q116" s="14"/>
    </row>
    <row r="117" spans="1:17" x14ac:dyDescent="0.25">
      <c r="A117" s="95"/>
      <c r="B117" s="93"/>
      <c r="C117" s="16" t="s">
        <v>30</v>
      </c>
      <c r="D117" s="2">
        <v>5244284.6417268068</v>
      </c>
      <c r="E117" s="2">
        <v>19754480.296247561</v>
      </c>
      <c r="F117" s="2">
        <v>24998764.937974367</v>
      </c>
      <c r="G117" s="2">
        <v>20.978174940796684</v>
      </c>
      <c r="H117" s="2">
        <v>79.021825059203309</v>
      </c>
      <c r="I117" s="2">
        <f t="shared" si="1"/>
        <v>100</v>
      </c>
      <c r="J117" s="2">
        <v>4.1480086048928797</v>
      </c>
      <c r="K117" s="2">
        <v>4.7324969325570247</v>
      </c>
      <c r="L117" s="2">
        <v>4.6137440134466488</v>
      </c>
      <c r="M117" s="2">
        <v>0.84276812215321883</v>
      </c>
      <c r="N117" s="2">
        <v>3.7709758912934301</v>
      </c>
      <c r="O117" s="23">
        <v>4.6137440134466488</v>
      </c>
      <c r="P117" s="2"/>
      <c r="Q117" s="14"/>
    </row>
    <row r="118" spans="1:17" x14ac:dyDescent="0.25">
      <c r="A118" s="95"/>
      <c r="B118" s="94"/>
      <c r="C118" s="28" t="s">
        <v>31</v>
      </c>
      <c r="D118" s="20">
        <v>4710043.2199322097</v>
      </c>
      <c r="E118" s="20">
        <v>22502747.787155218</v>
      </c>
      <c r="F118" s="20">
        <v>27212791.007087428</v>
      </c>
      <c r="G118" s="20">
        <v>17.308196056426201</v>
      </c>
      <c r="H118" s="20">
        <v>82.691803943573802</v>
      </c>
      <c r="I118" s="20">
        <f t="shared" si="1"/>
        <v>100</v>
      </c>
      <c r="J118" s="20">
        <v>0.26092765715661415</v>
      </c>
      <c r="K118" s="20">
        <v>4.0657670060181639</v>
      </c>
      <c r="L118" s="20">
        <v>3.2927220057372324</v>
      </c>
      <c r="M118" s="20">
        <v>5.3013754932988495E-2</v>
      </c>
      <c r="N118" s="20">
        <v>3.2397082508042434</v>
      </c>
      <c r="O118" s="24">
        <v>3.2927220057372319</v>
      </c>
      <c r="P118" s="2"/>
      <c r="Q118" s="14"/>
    </row>
    <row r="119" spans="1:17" x14ac:dyDescent="0.25">
      <c r="A119" s="95"/>
      <c r="B119" s="92">
        <v>2025</v>
      </c>
      <c r="C119" s="53" t="s">
        <v>51</v>
      </c>
      <c r="D119" s="35">
        <v>17896511.281918678</v>
      </c>
      <c r="E119" s="35">
        <v>110405510.56126279</v>
      </c>
      <c r="F119" s="35">
        <v>128302021.84318146</v>
      </c>
      <c r="G119" s="35">
        <v>13.948736757860983</v>
      </c>
      <c r="H119" s="35">
        <v>86.051263242139015</v>
      </c>
      <c r="I119" s="35">
        <f t="shared" si="1"/>
        <v>100</v>
      </c>
      <c r="J119" s="35">
        <v>-5.229451241916891</v>
      </c>
      <c r="K119" s="35">
        <v>5.1070377993625122</v>
      </c>
      <c r="L119" s="35">
        <v>3.1335354244999678</v>
      </c>
      <c r="M119" s="35">
        <v>-0.99843712927435813</v>
      </c>
      <c r="N119" s="35">
        <v>4.1319725537743253</v>
      </c>
      <c r="O119" s="36">
        <v>3.1335354244999669</v>
      </c>
      <c r="P119" s="6"/>
      <c r="Q119" s="14"/>
    </row>
    <row r="120" spans="1:17" x14ac:dyDescent="0.25">
      <c r="A120" s="95"/>
      <c r="B120" s="93">
        <v>2003</v>
      </c>
      <c r="C120" s="16" t="s">
        <v>28</v>
      </c>
      <c r="D120" s="2">
        <v>4815738.545518484</v>
      </c>
      <c r="E120" s="2">
        <v>24289392.498414669</v>
      </c>
      <c r="F120" s="2">
        <v>29105131.043933153</v>
      </c>
      <c r="G120" s="2">
        <v>16.546012241790972</v>
      </c>
      <c r="H120" s="2">
        <v>83.453987758209024</v>
      </c>
      <c r="I120" s="2">
        <f t="shared" si="1"/>
        <v>100</v>
      </c>
      <c r="J120" s="2">
        <v>-4.0506781669105436</v>
      </c>
      <c r="K120" s="2">
        <v>6.3310896181734186</v>
      </c>
      <c r="L120" s="2">
        <v>4.3489423632096873</v>
      </c>
      <c r="M120" s="2">
        <v>-0.77337894426987697</v>
      </c>
      <c r="N120" s="2">
        <v>5.1223213074795639</v>
      </c>
      <c r="O120" s="23">
        <v>4.3489423632096873</v>
      </c>
      <c r="P120" s="2"/>
      <c r="Q120" s="14"/>
    </row>
    <row r="121" spans="1:17" x14ac:dyDescent="0.25">
      <c r="A121" s="95"/>
      <c r="B121" s="93"/>
      <c r="C121" s="16" t="s">
        <v>29</v>
      </c>
      <c r="D121" s="2">
        <v>4325858.4784314269</v>
      </c>
      <c r="E121" s="2">
        <v>33063152.826845787</v>
      </c>
      <c r="F121" s="2">
        <v>37389011.305277213</v>
      </c>
      <c r="G121" s="2">
        <v>11.569865924271875</v>
      </c>
      <c r="H121" s="2">
        <v>88.43013407572812</v>
      </c>
      <c r="I121" s="2">
        <f t="shared" si="1"/>
        <v>100</v>
      </c>
      <c r="J121" s="2">
        <v>-8.4421107839748828</v>
      </c>
      <c r="K121" s="2">
        <v>3.9039323455243942</v>
      </c>
      <c r="L121" s="2">
        <v>1.5467542612716727</v>
      </c>
      <c r="M121" s="2">
        <v>-1.6118167024114571</v>
      </c>
      <c r="N121" s="2">
        <v>3.1585709636831298</v>
      </c>
      <c r="O121" s="23">
        <v>1.5467542612716727</v>
      </c>
      <c r="P121" s="2"/>
      <c r="Q121" s="14"/>
    </row>
    <row r="122" spans="1:17" x14ac:dyDescent="0.25">
      <c r="A122" s="95"/>
      <c r="B122" s="93"/>
      <c r="C122" s="16" t="s">
        <v>30</v>
      </c>
      <c r="D122" s="2">
        <v>4615043.9950043047</v>
      </c>
      <c r="E122" s="2">
        <v>25233737.730075862</v>
      </c>
      <c r="F122" s="2">
        <v>29848781.725080166</v>
      </c>
      <c r="G122" s="2">
        <v>15.46141493314803</v>
      </c>
      <c r="H122" s="2">
        <v>84.538585066851965</v>
      </c>
      <c r="I122" s="2">
        <f t="shared" si="1"/>
        <v>100</v>
      </c>
      <c r="J122" s="2">
        <v>-6.9438571846437469</v>
      </c>
      <c r="K122" s="2">
        <v>3.7580449364115656</v>
      </c>
      <c r="L122" s="2">
        <v>1.7147757792437659</v>
      </c>
      <c r="M122" s="2">
        <v>-1.3257614447104948</v>
      </c>
      <c r="N122" s="2">
        <v>3.0405372239542605</v>
      </c>
      <c r="O122" s="23">
        <v>1.7147757792437657</v>
      </c>
      <c r="P122" s="2"/>
      <c r="Q122" s="14"/>
    </row>
    <row r="123" spans="1:17" x14ac:dyDescent="0.25">
      <c r="A123" s="95"/>
      <c r="B123" s="94"/>
      <c r="C123" s="28" t="s">
        <v>31</v>
      </c>
      <c r="D123" s="20">
        <v>4139870.2629644633</v>
      </c>
      <c r="E123" s="20">
        <v>27819227.505926464</v>
      </c>
      <c r="F123" s="20">
        <v>31959097.768890928</v>
      </c>
      <c r="G123" s="20">
        <v>12.95365186120562</v>
      </c>
      <c r="H123" s="20">
        <v>87.046348138794386</v>
      </c>
      <c r="I123" s="20">
        <f t="shared" si="1"/>
        <v>100</v>
      </c>
      <c r="J123" s="20">
        <v>-1.2221104740726076</v>
      </c>
      <c r="K123" s="20">
        <v>6.6313514119672829</v>
      </c>
      <c r="L123" s="20">
        <v>5.1319229676380047</v>
      </c>
      <c r="M123" s="20">
        <v>-0.23333241232055285</v>
      </c>
      <c r="N123" s="20">
        <v>5.3652553799585583</v>
      </c>
      <c r="O123" s="24">
        <v>5.1319229676380056</v>
      </c>
      <c r="P123" s="2"/>
      <c r="Q123" s="14"/>
    </row>
    <row r="124" spans="1:17" x14ac:dyDescent="0.25">
      <c r="A124" s="95"/>
      <c r="B124" s="92">
        <v>2026</v>
      </c>
      <c r="C124" s="53" t="s">
        <v>51</v>
      </c>
      <c r="D124" s="35">
        <v>5366999.1825002721</v>
      </c>
      <c r="E124" s="35">
        <v>28650131.490140364</v>
      </c>
      <c r="F124" s="35">
        <v>34017130.672640637</v>
      </c>
      <c r="G124" s="35">
        <v>15.777342404769174</v>
      </c>
      <c r="H124" s="35">
        <v>84.222657595230828</v>
      </c>
      <c r="I124" s="35">
        <f t="shared" si="1"/>
        <v>100</v>
      </c>
      <c r="J124" s="35"/>
      <c r="K124" s="35"/>
      <c r="L124" s="35"/>
      <c r="M124" s="35"/>
      <c r="N124" s="35"/>
      <c r="O124" s="36"/>
      <c r="P124" s="6"/>
      <c r="Q124" s="14"/>
    </row>
    <row r="125" spans="1:17" x14ac:dyDescent="0.25">
      <c r="A125" s="95"/>
      <c r="B125" s="93">
        <v>2003</v>
      </c>
      <c r="C125" s="16" t="s">
        <v>28</v>
      </c>
      <c r="D125" s="2">
        <v>5366999.1825002721</v>
      </c>
      <c r="E125" s="2">
        <v>28650131.490140364</v>
      </c>
      <c r="F125" s="2">
        <v>34017130.672640637</v>
      </c>
      <c r="G125" s="2">
        <v>15.777342404769174</v>
      </c>
      <c r="H125" s="2">
        <v>84.222657595230828</v>
      </c>
      <c r="I125" s="2">
        <f t="shared" si="1"/>
        <v>100</v>
      </c>
      <c r="J125" s="2">
        <v>-0.20723143780520559</v>
      </c>
      <c r="K125" s="2">
        <v>6.2212487212962895</v>
      </c>
      <c r="L125" s="2">
        <v>5.3245569463718994</v>
      </c>
      <c r="M125" s="2">
        <v>-2.8906167738978538E-2</v>
      </c>
      <c r="N125" s="2">
        <v>5.3534631141108777</v>
      </c>
      <c r="O125" s="23">
        <v>5.3245569463718994</v>
      </c>
      <c r="P125" s="2"/>
      <c r="Q125" s="14"/>
    </row>
    <row r="126" spans="1:17" x14ac:dyDescent="0.25">
      <c r="A126" s="95"/>
      <c r="B126" s="93"/>
      <c r="C126" s="16" t="s">
        <v>29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3"/>
      <c r="P126" s="2"/>
      <c r="Q126" s="14"/>
    </row>
    <row r="127" spans="1:17" x14ac:dyDescent="0.25">
      <c r="A127" s="95"/>
      <c r="B127" s="93"/>
      <c r="C127" s="16" t="s">
        <v>30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3"/>
      <c r="P127" s="2"/>
      <c r="Q127" s="14"/>
    </row>
    <row r="128" spans="1:17" x14ac:dyDescent="0.25">
      <c r="A128" s="95"/>
      <c r="B128" s="94"/>
      <c r="C128" s="28" t="s">
        <v>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4"/>
      <c r="P128" s="2"/>
      <c r="Q128" s="14"/>
    </row>
    <row r="129" spans="1:16" x14ac:dyDescent="0.25">
      <c r="A129" s="95"/>
      <c r="C129" s="17" t="s">
        <v>52</v>
      </c>
      <c r="L129" s="5"/>
      <c r="P129" s="29">
        <v>0</v>
      </c>
    </row>
  </sheetData>
  <mergeCells count="32">
    <mergeCell ref="B124:B128"/>
    <mergeCell ref="A1:A129"/>
    <mergeCell ref="B39:B43"/>
    <mergeCell ref="C1:O1"/>
    <mergeCell ref="B3:C3"/>
    <mergeCell ref="M2:O2"/>
    <mergeCell ref="B4:B8"/>
    <mergeCell ref="B9:B13"/>
    <mergeCell ref="D2:F2"/>
    <mergeCell ref="G2:I2"/>
    <mergeCell ref="J2:L2"/>
    <mergeCell ref="B14:B18"/>
    <mergeCell ref="B19:B23"/>
    <mergeCell ref="B24:B28"/>
    <mergeCell ref="B29:B33"/>
    <mergeCell ref="B34:B38"/>
    <mergeCell ref="B104:B108"/>
    <mergeCell ref="B109:B113"/>
    <mergeCell ref="B114:B118"/>
    <mergeCell ref="B119:B123"/>
    <mergeCell ref="B44:B48"/>
    <mergeCell ref="B49:B53"/>
    <mergeCell ref="B54:B58"/>
    <mergeCell ref="B59:B63"/>
    <mergeCell ref="B69:B73"/>
    <mergeCell ref="B79:B83"/>
    <mergeCell ref="B84:B88"/>
    <mergeCell ref="B89:B93"/>
    <mergeCell ref="B94:B98"/>
    <mergeCell ref="B99:B103"/>
    <mergeCell ref="B64:B68"/>
    <mergeCell ref="B74:B78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3"/>
  <sheetViews>
    <sheetView showGridLines="0" zoomScale="118" zoomScaleNormal="118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C1" sqref="C1:U1"/>
    </sheetView>
  </sheetViews>
  <sheetFormatPr defaultRowHeight="15.75" x14ac:dyDescent="0.25"/>
  <cols>
    <col min="2" max="2" width="4.625" style="18" customWidth="1"/>
    <col min="3" max="3" width="7.125" style="18" customWidth="1"/>
    <col min="4" max="4" width="12.875" customWidth="1"/>
    <col min="5" max="5" width="7.375" customWidth="1"/>
    <col min="6" max="6" width="14.125" customWidth="1"/>
    <col min="7" max="7" width="15.125" customWidth="1"/>
    <col min="8" max="8" width="12.625" customWidth="1"/>
    <col min="9" max="9" width="8.5" customWidth="1"/>
    <col min="10" max="10" width="8.375" customWidth="1"/>
    <col min="11" max="11" width="10.875" bestFit="1" customWidth="1"/>
    <col min="12" max="12" width="8.625" customWidth="1"/>
    <col min="13" max="13" width="10.875" customWidth="1"/>
    <col min="14" max="14" width="11.625" customWidth="1"/>
    <col min="15" max="15" width="10.5" customWidth="1"/>
    <col min="16" max="16" width="13" customWidth="1"/>
    <col min="17" max="17" width="9.625" customWidth="1"/>
    <col min="18" max="18" width="9.125" customWidth="1"/>
    <col min="19" max="20" width="9.875" customWidth="1"/>
    <col min="21" max="21" width="10" customWidth="1"/>
  </cols>
  <sheetData>
    <row r="1" spans="1:23" x14ac:dyDescent="0.25">
      <c r="A1" s="95"/>
      <c r="C1" s="102" t="s">
        <v>33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45.75" customHeight="1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27" t="s">
        <v>28</v>
      </c>
      <c r="D3" s="21">
        <v>198659.45774653959</v>
      </c>
      <c r="E3" s="21">
        <v>19249.050265657079</v>
      </c>
      <c r="F3" s="21">
        <v>317550.05644587678</v>
      </c>
      <c r="G3" s="21">
        <v>12771.317764192567</v>
      </c>
      <c r="H3" s="21">
        <v>86070.547766738324</v>
      </c>
      <c r="I3" s="21">
        <v>11169.378273297867</v>
      </c>
      <c r="J3" s="21">
        <v>132954.36399999019</v>
      </c>
      <c r="K3" s="21">
        <v>164848.97778595609</v>
      </c>
      <c r="L3" s="21">
        <v>37220.871134294866</v>
      </c>
      <c r="M3" s="21">
        <v>73600.343807476107</v>
      </c>
      <c r="N3" s="21">
        <v>21183.762075170307</v>
      </c>
      <c r="O3" s="21">
        <v>28349.375776312067</v>
      </c>
      <c r="P3" s="21">
        <v>183197.47048345828</v>
      </c>
      <c r="Q3" s="21">
        <v>68452.273417370263</v>
      </c>
      <c r="R3" s="21">
        <v>84785.151806142851</v>
      </c>
      <c r="S3" s="21">
        <v>45536.407642745275</v>
      </c>
      <c r="T3" s="21">
        <v>-16118.798088195108</v>
      </c>
      <c r="U3" s="22">
        <v>1521100.1940744657</v>
      </c>
    </row>
    <row r="4" spans="1:23" x14ac:dyDescent="0.25">
      <c r="A4" s="95"/>
      <c r="B4" s="100"/>
      <c r="C4" s="16" t="s">
        <v>29</v>
      </c>
      <c r="D4" s="2">
        <v>199296.22596896323</v>
      </c>
      <c r="E4" s="2">
        <v>19712.953388605652</v>
      </c>
      <c r="F4" s="2">
        <v>302058.30384130881</v>
      </c>
      <c r="G4" s="2">
        <v>11663.618863711878</v>
      </c>
      <c r="H4" s="2">
        <v>85196.517901564381</v>
      </c>
      <c r="I4" s="2">
        <v>11910.0103056672</v>
      </c>
      <c r="J4" s="2">
        <v>134623.21618049269</v>
      </c>
      <c r="K4" s="2">
        <v>182167.950893475</v>
      </c>
      <c r="L4" s="2">
        <v>33349.832569107435</v>
      </c>
      <c r="M4" s="2">
        <v>73496.351343778311</v>
      </c>
      <c r="N4" s="2">
        <v>21362.351704763219</v>
      </c>
      <c r="O4" s="2">
        <v>30889.771775085766</v>
      </c>
      <c r="P4" s="2">
        <v>194161.37689102357</v>
      </c>
      <c r="Q4" s="2">
        <v>72003.426758676753</v>
      </c>
      <c r="R4" s="2">
        <v>89482.096023262726</v>
      </c>
      <c r="S4" s="2">
        <v>49890.561176435105</v>
      </c>
      <c r="T4" s="2">
        <v>-18218.301476204007</v>
      </c>
      <c r="U4" s="23">
        <v>1552830.3706742944</v>
      </c>
    </row>
    <row r="5" spans="1:23" x14ac:dyDescent="0.25">
      <c r="A5" s="95"/>
      <c r="B5" s="100"/>
      <c r="C5" s="16" t="s">
        <v>30</v>
      </c>
      <c r="D5" s="2">
        <v>201708.94011229425</v>
      </c>
      <c r="E5" s="2">
        <v>19989.561387288963</v>
      </c>
      <c r="F5" s="2">
        <v>312003.28345196199</v>
      </c>
      <c r="G5" s="2">
        <v>14470.688717537378</v>
      </c>
      <c r="H5" s="2">
        <v>85445.262833740344</v>
      </c>
      <c r="I5" s="2">
        <v>13035.149553636162</v>
      </c>
      <c r="J5" s="2">
        <v>137655.41413940798</v>
      </c>
      <c r="K5" s="2">
        <v>203860.47181773791</v>
      </c>
      <c r="L5" s="2">
        <v>31658.494955992646</v>
      </c>
      <c r="M5" s="2">
        <v>72981.114187503277</v>
      </c>
      <c r="N5" s="2">
        <v>21479.211098474672</v>
      </c>
      <c r="O5" s="2">
        <v>40614.693481657756</v>
      </c>
      <c r="P5" s="2">
        <v>200323.9944685855</v>
      </c>
      <c r="Q5" s="2">
        <v>74893.457884592528</v>
      </c>
      <c r="R5" s="2">
        <v>98415.164316952316</v>
      </c>
      <c r="S5" s="2">
        <v>55341.371622371138</v>
      </c>
      <c r="T5" s="2">
        <v>-20810.120456954319</v>
      </c>
      <c r="U5" s="23">
        <v>1623993.0243598814</v>
      </c>
    </row>
    <row r="6" spans="1:23" x14ac:dyDescent="0.25">
      <c r="A6" s="95"/>
      <c r="B6" s="101"/>
      <c r="C6" s="28" t="s">
        <v>31</v>
      </c>
      <c r="D6" s="20">
        <v>204558.42630332641</v>
      </c>
      <c r="E6" s="20">
        <v>18931.125086430678</v>
      </c>
      <c r="F6" s="20">
        <v>310387.96966921992</v>
      </c>
      <c r="G6" s="20">
        <v>13848.168612881869</v>
      </c>
      <c r="H6" s="20">
        <v>86872.040556128821</v>
      </c>
      <c r="I6" s="20">
        <v>12364.385607937387</v>
      </c>
      <c r="J6" s="20">
        <v>142008.54500003401</v>
      </c>
      <c r="K6" s="20">
        <v>233148.63111307865</v>
      </c>
      <c r="L6" s="20">
        <v>30600.512311802202</v>
      </c>
      <c r="M6" s="20">
        <v>72336.049542341527</v>
      </c>
      <c r="N6" s="20">
        <v>21632.218325292295</v>
      </c>
      <c r="O6" s="20">
        <v>47578.132544426866</v>
      </c>
      <c r="P6" s="20">
        <v>218788.15701073213</v>
      </c>
      <c r="Q6" s="20">
        <v>86237.551447685488</v>
      </c>
      <c r="R6" s="20">
        <v>112824.83184550768</v>
      </c>
      <c r="S6" s="20">
        <v>71518.251804598884</v>
      </c>
      <c r="T6" s="20">
        <v>-26688.709808900545</v>
      </c>
      <c r="U6" s="24">
        <v>1724172.5783608488</v>
      </c>
    </row>
    <row r="7" spans="1:23" x14ac:dyDescent="0.25">
      <c r="A7" s="95"/>
      <c r="B7" s="99">
        <v>2003</v>
      </c>
      <c r="C7" s="27" t="s">
        <v>28</v>
      </c>
      <c r="D7" s="21">
        <v>211597.22679846972</v>
      </c>
      <c r="E7" s="21">
        <v>20305.874294591398</v>
      </c>
      <c r="F7" s="21">
        <v>304845.65101329354</v>
      </c>
      <c r="G7" s="21">
        <v>12647.069397947491</v>
      </c>
      <c r="H7" s="21">
        <v>89177.105117371466</v>
      </c>
      <c r="I7" s="21">
        <v>13909.062755677571</v>
      </c>
      <c r="J7" s="21">
        <v>147301.57210773486</v>
      </c>
      <c r="K7" s="21">
        <v>179278.81953753781</v>
      </c>
      <c r="L7" s="21">
        <v>38459.252286344956</v>
      </c>
      <c r="M7" s="21">
        <v>73513.890074240131</v>
      </c>
      <c r="N7" s="21">
        <v>22073.309016960458</v>
      </c>
      <c r="O7" s="21">
        <v>27534.652487242598</v>
      </c>
      <c r="P7" s="21">
        <v>200802.36313027178</v>
      </c>
      <c r="Q7" s="21">
        <v>65051.793212217592</v>
      </c>
      <c r="R7" s="21">
        <v>87165.925419072213</v>
      </c>
      <c r="S7" s="21">
        <v>55168.090435592305</v>
      </c>
      <c r="T7" s="21">
        <v>-19054.367563513151</v>
      </c>
      <c r="U7" s="22">
        <v>1532512.8297842536</v>
      </c>
    </row>
    <row r="8" spans="1:23" x14ac:dyDescent="0.25">
      <c r="A8" s="95"/>
      <c r="B8" s="100"/>
      <c r="C8" s="16" t="s">
        <v>29</v>
      </c>
      <c r="D8" s="2">
        <v>216267.62696959465</v>
      </c>
      <c r="E8" s="2">
        <v>20976.238859280747</v>
      </c>
      <c r="F8" s="2">
        <v>289596.4917088839</v>
      </c>
      <c r="G8" s="2">
        <v>15184.671762154367</v>
      </c>
      <c r="H8" s="2">
        <v>89696.01224400416</v>
      </c>
      <c r="I8" s="2">
        <v>13957.942876123689</v>
      </c>
      <c r="J8" s="2">
        <v>154489.78772552335</v>
      </c>
      <c r="K8" s="2">
        <v>205566.63478802773</v>
      </c>
      <c r="L8" s="2">
        <v>36424.398728869106</v>
      </c>
      <c r="M8" s="2">
        <v>73720.323946221906</v>
      </c>
      <c r="N8" s="2">
        <v>22464.689569895992</v>
      </c>
      <c r="O8" s="2">
        <v>33242.507331652458</v>
      </c>
      <c r="P8" s="2">
        <v>214203.8980003598</v>
      </c>
      <c r="Q8" s="2">
        <v>73343.737658135127</v>
      </c>
      <c r="R8" s="2">
        <v>94541.016117190564</v>
      </c>
      <c r="S8" s="2">
        <v>59261.367562273335</v>
      </c>
      <c r="T8" s="2">
        <v>-18735.932692396003</v>
      </c>
      <c r="U8" s="23">
        <v>1620315.6587761682</v>
      </c>
    </row>
    <row r="9" spans="1:23" x14ac:dyDescent="0.25">
      <c r="A9" s="95"/>
      <c r="B9" s="100"/>
      <c r="C9" s="16" t="s">
        <v>30</v>
      </c>
      <c r="D9" s="2">
        <v>220945.34360071606</v>
      </c>
      <c r="E9" s="2">
        <v>21375.117442524239</v>
      </c>
      <c r="F9" s="2">
        <v>299463.70973937452</v>
      </c>
      <c r="G9" s="2">
        <v>19181.875954009392</v>
      </c>
      <c r="H9" s="2">
        <v>91397.419846213306</v>
      </c>
      <c r="I9" s="2">
        <v>12876.311920974778</v>
      </c>
      <c r="J9" s="2">
        <v>162985.08945775233</v>
      </c>
      <c r="K9" s="2">
        <v>220427.91975814081</v>
      </c>
      <c r="L9" s="2">
        <v>36529.162654939042</v>
      </c>
      <c r="M9" s="2">
        <v>73605.086777077318</v>
      </c>
      <c r="N9" s="2">
        <v>22631.436273786025</v>
      </c>
      <c r="O9" s="2">
        <v>44932.474077330538</v>
      </c>
      <c r="P9" s="2">
        <v>218155.28099448499</v>
      </c>
      <c r="Q9" s="2">
        <v>83844.741322003712</v>
      </c>
      <c r="R9" s="2">
        <v>102588.79374668802</v>
      </c>
      <c r="S9" s="2">
        <v>63199.018001705255</v>
      </c>
      <c r="T9" s="2">
        <v>-18308.961891595529</v>
      </c>
      <c r="U9" s="23">
        <v>1709730.8797989988</v>
      </c>
    </row>
    <row r="10" spans="1:23" x14ac:dyDescent="0.25">
      <c r="A10" s="95"/>
      <c r="B10" s="101"/>
      <c r="C10" s="28" t="s">
        <v>31</v>
      </c>
      <c r="D10" s="20">
        <v>226198.71240601785</v>
      </c>
      <c r="E10" s="20">
        <v>21060.933556913009</v>
      </c>
      <c r="F10" s="20">
        <v>299966.86616017844</v>
      </c>
      <c r="G10" s="20">
        <v>16188.743452458919</v>
      </c>
      <c r="H10" s="20">
        <v>94674.331347969928</v>
      </c>
      <c r="I10" s="20">
        <v>13489.261917409896</v>
      </c>
      <c r="J10" s="20">
        <v>172833.86077988971</v>
      </c>
      <c r="K10" s="20">
        <v>231606.62344193278</v>
      </c>
      <c r="L10" s="20">
        <v>37869.957151438211</v>
      </c>
      <c r="M10" s="20">
        <v>74110.728914660023</v>
      </c>
      <c r="N10" s="20">
        <v>22589.624527067801</v>
      </c>
      <c r="O10" s="20">
        <v>50617.162332439577</v>
      </c>
      <c r="P10" s="20">
        <v>228165.24361951256</v>
      </c>
      <c r="Q10" s="20">
        <v>89041.276852444658</v>
      </c>
      <c r="R10" s="20">
        <v>111211.99045752153</v>
      </c>
      <c r="S10" s="20">
        <v>75582.270364160664</v>
      </c>
      <c r="T10" s="20">
        <v>-20388.982781107265</v>
      </c>
      <c r="U10" s="24">
        <v>1787247.2739354114</v>
      </c>
    </row>
    <row r="11" spans="1:23" x14ac:dyDescent="0.25">
      <c r="A11" s="95"/>
      <c r="B11" s="99">
        <v>2004</v>
      </c>
      <c r="C11" s="27" t="s">
        <v>28</v>
      </c>
      <c r="D11" s="21">
        <v>233500.8567953665</v>
      </c>
      <c r="E11" s="21">
        <v>22030.038019778502</v>
      </c>
      <c r="F11" s="21">
        <v>343468.79264995886</v>
      </c>
      <c r="G11" s="21">
        <v>15656.92002050384</v>
      </c>
      <c r="H11" s="21">
        <v>103671.3872636122</v>
      </c>
      <c r="I11" s="21">
        <v>14046.098934256261</v>
      </c>
      <c r="J11" s="21">
        <v>183734.48749254714</v>
      </c>
      <c r="K11" s="21">
        <v>213575.25902241195</v>
      </c>
      <c r="L11" s="21">
        <v>42587.070561209846</v>
      </c>
      <c r="M11" s="21">
        <v>76624.57515630516</v>
      </c>
      <c r="N11" s="21">
        <v>22447.149337664629</v>
      </c>
      <c r="O11" s="21">
        <v>33911.204688292404</v>
      </c>
      <c r="P11" s="21">
        <v>234888.19765992518</v>
      </c>
      <c r="Q11" s="21">
        <v>82559.678593411751</v>
      </c>
      <c r="R11" s="21">
        <v>106228.8916637021</v>
      </c>
      <c r="S11" s="21">
        <v>57441.613974537679</v>
      </c>
      <c r="T11" s="21">
        <v>-81742.835550019663</v>
      </c>
      <c r="U11" s="22">
        <v>1537464.4004295848</v>
      </c>
    </row>
    <row r="12" spans="1:23" x14ac:dyDescent="0.25">
      <c r="A12" s="95"/>
      <c r="B12" s="100"/>
      <c r="C12" s="16" t="s">
        <v>29</v>
      </c>
      <c r="D12" s="2">
        <v>237482.29877752409</v>
      </c>
      <c r="E12" s="2">
        <v>22458.919145336215</v>
      </c>
      <c r="F12" s="2">
        <v>329944.56549364398</v>
      </c>
      <c r="G12" s="2">
        <v>16431.81329084589</v>
      </c>
      <c r="H12" s="2">
        <v>108790.28132728691</v>
      </c>
      <c r="I12" s="2">
        <v>15478.218358684322</v>
      </c>
      <c r="J12" s="2">
        <v>193833.2798047887</v>
      </c>
      <c r="K12" s="2">
        <v>221244.82229316863</v>
      </c>
      <c r="L12" s="2">
        <v>44753.435344808109</v>
      </c>
      <c r="M12" s="2">
        <v>78258.037995457096</v>
      </c>
      <c r="N12" s="2">
        <v>22932.276558103997</v>
      </c>
      <c r="O12" s="2">
        <v>31584.591216078476</v>
      </c>
      <c r="P12" s="2">
        <v>228738.59024620961</v>
      </c>
      <c r="Q12" s="2">
        <v>82123.303188208956</v>
      </c>
      <c r="R12" s="2">
        <v>110972.41465808285</v>
      </c>
      <c r="S12" s="2">
        <v>65479.848199236389</v>
      </c>
      <c r="T12" s="2">
        <v>-1154.8422596414489</v>
      </c>
      <c r="U12" s="23">
        <v>1903049.4415078673</v>
      </c>
    </row>
    <row r="13" spans="1:23" x14ac:dyDescent="0.25">
      <c r="A13" s="95"/>
      <c r="B13" s="100"/>
      <c r="C13" s="16" t="s">
        <v>30</v>
      </c>
      <c r="D13" s="2">
        <v>241211.55721610936</v>
      </c>
      <c r="E13" s="2">
        <v>22662.984200282674</v>
      </c>
      <c r="F13" s="2">
        <v>342292.01988216327</v>
      </c>
      <c r="G13" s="2">
        <v>18049.641396419545</v>
      </c>
      <c r="H13" s="2">
        <v>112251.21041409028</v>
      </c>
      <c r="I13" s="2">
        <v>16763.472830816732</v>
      </c>
      <c r="J13" s="2">
        <v>202669.12318332889</v>
      </c>
      <c r="K13" s="2">
        <v>224970.19781275204</v>
      </c>
      <c r="L13" s="2">
        <v>45677.619712236054</v>
      </c>
      <c r="M13" s="2">
        <v>79527.118099815576</v>
      </c>
      <c r="N13" s="2">
        <v>23714.765864962301</v>
      </c>
      <c r="O13" s="2">
        <v>43926.245181725979</v>
      </c>
      <c r="P13" s="2">
        <v>251425.98922662452</v>
      </c>
      <c r="Q13" s="2">
        <v>77075.966930332317</v>
      </c>
      <c r="R13" s="2">
        <v>113133.61093243549</v>
      </c>
      <c r="S13" s="2">
        <v>56429.131343034947</v>
      </c>
      <c r="T13" s="2">
        <v>-1186.5570794308571</v>
      </c>
      <c r="U13" s="23">
        <v>1942316.4210813174</v>
      </c>
    </row>
    <row r="14" spans="1:23" x14ac:dyDescent="0.25">
      <c r="A14" s="95"/>
      <c r="B14" s="101"/>
      <c r="C14" s="28" t="s">
        <v>31</v>
      </c>
      <c r="D14" s="20">
        <v>245781.8928599158</v>
      </c>
      <c r="E14" s="20">
        <v>21842.575644726974</v>
      </c>
      <c r="F14" s="20">
        <v>342391.52763247251</v>
      </c>
      <c r="G14" s="20">
        <v>17793.462237941858</v>
      </c>
      <c r="H14" s="20">
        <v>112676.34917137431</v>
      </c>
      <c r="I14" s="20">
        <v>15573.659159194995</v>
      </c>
      <c r="J14" s="20">
        <v>209851.77194148288</v>
      </c>
      <c r="K14" s="20">
        <v>233966.4746276449</v>
      </c>
      <c r="L14" s="20">
        <v>44260.319377042295</v>
      </c>
      <c r="M14" s="20">
        <v>81156.554319625167</v>
      </c>
      <c r="N14" s="20">
        <v>23830.920504557427</v>
      </c>
      <c r="O14" s="20">
        <v>52159.245700700958</v>
      </c>
      <c r="P14" s="20">
        <v>238706.73499567687</v>
      </c>
      <c r="Q14" s="20">
        <v>76885.398764594487</v>
      </c>
      <c r="R14" s="20">
        <v>116559.49973013077</v>
      </c>
      <c r="S14" s="20">
        <v>84545.2037730788</v>
      </c>
      <c r="T14" s="20">
        <v>-1290.5463058559096</v>
      </c>
      <c r="U14" s="24">
        <v>2034518.4999732771</v>
      </c>
    </row>
    <row r="15" spans="1:23" x14ac:dyDescent="0.25">
      <c r="A15" s="95"/>
      <c r="B15" s="99">
        <v>2005</v>
      </c>
      <c r="C15" s="27" t="s">
        <v>28</v>
      </c>
      <c r="D15" s="21">
        <v>243495.63422169679</v>
      </c>
      <c r="E15" s="21">
        <v>22299.293005006049</v>
      </c>
      <c r="F15" s="21">
        <v>434975.97000372905</v>
      </c>
      <c r="G15" s="21">
        <v>13654.908145992031</v>
      </c>
      <c r="H15" s="21">
        <v>114948.00392559393</v>
      </c>
      <c r="I15" s="21">
        <v>16118.247381319992</v>
      </c>
      <c r="J15" s="21">
        <v>215154.47285275732</v>
      </c>
      <c r="K15" s="21">
        <v>243610.66364861612</v>
      </c>
      <c r="L15" s="21">
        <v>44526.582498444419</v>
      </c>
      <c r="M15" s="21">
        <v>83855.208296190671</v>
      </c>
      <c r="N15" s="21">
        <v>21810.394279782853</v>
      </c>
      <c r="O15" s="21">
        <v>33944.593157595511</v>
      </c>
      <c r="P15" s="21">
        <v>275165.60819732392</v>
      </c>
      <c r="Q15" s="21">
        <v>84202.569098943204</v>
      </c>
      <c r="R15" s="21">
        <v>116195.8514506386</v>
      </c>
      <c r="S15" s="21">
        <v>67792.692445025721</v>
      </c>
      <c r="T15" s="21">
        <v>-2288.4875568709085</v>
      </c>
      <c r="U15" s="22">
        <v>2130432.5185971726</v>
      </c>
    </row>
    <row r="16" spans="1:23" x14ac:dyDescent="0.25">
      <c r="A16" s="95"/>
      <c r="B16" s="100"/>
      <c r="C16" s="16" t="s">
        <v>29</v>
      </c>
      <c r="D16" s="2">
        <v>245686.98904904997</v>
      </c>
      <c r="E16" s="2">
        <v>22959.059252781473</v>
      </c>
      <c r="F16" s="2">
        <v>416985.05197563209</v>
      </c>
      <c r="G16" s="2">
        <v>14973.455793327077</v>
      </c>
      <c r="H16" s="2">
        <v>117217.8241552859</v>
      </c>
      <c r="I16" s="2">
        <v>16026.160527313217</v>
      </c>
      <c r="J16" s="2">
        <v>220649.81270970748</v>
      </c>
      <c r="K16" s="2">
        <v>246876.62560714557</v>
      </c>
      <c r="L16" s="2">
        <v>41880.903734176311</v>
      </c>
      <c r="M16" s="2">
        <v>86175.10841061348</v>
      </c>
      <c r="N16" s="2">
        <v>19181.038392203547</v>
      </c>
      <c r="O16" s="2">
        <v>41507.004711457826</v>
      </c>
      <c r="P16" s="2">
        <v>266843.31384139298</v>
      </c>
      <c r="Q16" s="2">
        <v>84683.124886774778</v>
      </c>
      <c r="R16" s="2">
        <v>116694.03105260558</v>
      </c>
      <c r="S16" s="2">
        <v>68875.286598888793</v>
      </c>
      <c r="T16" s="2">
        <v>-2432.1554480633481</v>
      </c>
      <c r="U16" s="23">
        <v>2183279.6455433336</v>
      </c>
    </row>
    <row r="17" spans="1:21" x14ac:dyDescent="0.25">
      <c r="A17" s="95"/>
      <c r="B17" s="100"/>
      <c r="C17" s="16" t="s">
        <v>30</v>
      </c>
      <c r="D17" s="2">
        <v>251714.67766624535</v>
      </c>
      <c r="E17" s="2">
        <v>23902.195932971612</v>
      </c>
      <c r="F17" s="2">
        <v>428079.65374992136</v>
      </c>
      <c r="G17" s="2">
        <v>15204.260100971836</v>
      </c>
      <c r="H17" s="2">
        <v>119346.44766593554</v>
      </c>
      <c r="I17" s="2">
        <v>16415.915575199324</v>
      </c>
      <c r="J17" s="2">
        <v>225937.81483038387</v>
      </c>
      <c r="K17" s="2">
        <v>247643.1340989657</v>
      </c>
      <c r="L17" s="2">
        <v>39817.199304453738</v>
      </c>
      <c r="M17" s="2">
        <v>87857.906015501241</v>
      </c>
      <c r="N17" s="2">
        <v>17209.360381877807</v>
      </c>
      <c r="O17" s="2">
        <v>53333.354033427771</v>
      </c>
      <c r="P17" s="2">
        <v>256302.66310652255</v>
      </c>
      <c r="Q17" s="2">
        <v>82651.007102481846</v>
      </c>
      <c r="R17" s="2">
        <v>119360.07248894316</v>
      </c>
      <c r="S17" s="2">
        <v>65696.629980646729</v>
      </c>
      <c r="T17" s="2">
        <v>-2382.1297611632313</v>
      </c>
      <c r="U17" s="23">
        <v>2200469.3234908571</v>
      </c>
    </row>
    <row r="18" spans="1:21" x14ac:dyDescent="0.25">
      <c r="A18" s="95"/>
      <c r="B18" s="101"/>
      <c r="C18" s="28" t="s">
        <v>31</v>
      </c>
      <c r="D18" s="20">
        <v>262424.32488523453</v>
      </c>
      <c r="E18" s="20">
        <v>24164.415907745082</v>
      </c>
      <c r="F18" s="20">
        <v>421067.67280610563</v>
      </c>
      <c r="G18" s="20">
        <v>12839.608455951353</v>
      </c>
      <c r="H18" s="20">
        <v>120608.80349242923</v>
      </c>
      <c r="I18" s="20">
        <v>17946.073609331761</v>
      </c>
      <c r="J18" s="20">
        <v>230978.70074583855</v>
      </c>
      <c r="K18" s="20">
        <v>249662.93297222065</v>
      </c>
      <c r="L18" s="20">
        <v>40122.846260642073</v>
      </c>
      <c r="M18" s="20">
        <v>89110.80837841802</v>
      </c>
      <c r="N18" s="20">
        <v>16771.562509552085</v>
      </c>
      <c r="O18" s="20">
        <v>66325.450450653487</v>
      </c>
      <c r="P18" s="20">
        <v>274326.04466741142</v>
      </c>
      <c r="Q18" s="20">
        <v>82569.142258359818</v>
      </c>
      <c r="R18" s="20">
        <v>125507.47532798786</v>
      </c>
      <c r="S18" s="20">
        <v>89659.643893281929</v>
      </c>
      <c r="T18" s="20">
        <v>-84375.010504309932</v>
      </c>
      <c r="U18" s="24">
        <v>1955859.1228294396</v>
      </c>
    </row>
    <row r="19" spans="1:21" x14ac:dyDescent="0.25">
      <c r="A19" s="95"/>
      <c r="B19" s="99">
        <v>2006</v>
      </c>
      <c r="C19" s="27" t="s">
        <v>28</v>
      </c>
      <c r="D19" s="21">
        <v>272824.75233292789</v>
      </c>
      <c r="E19" s="21">
        <v>26668.831297662</v>
      </c>
      <c r="F19" s="21">
        <v>488918.00434613298</v>
      </c>
      <c r="G19" s="21">
        <v>17477.840308552368</v>
      </c>
      <c r="H19" s="21">
        <v>124316.118738309</v>
      </c>
      <c r="I19" s="21">
        <v>19119.297014427324</v>
      </c>
      <c r="J19" s="21">
        <v>235655.72406005484</v>
      </c>
      <c r="K19" s="21">
        <v>258371.34949093519</v>
      </c>
      <c r="L19" s="21">
        <v>48919.256309607124</v>
      </c>
      <c r="M19" s="21">
        <v>90847.573355139015</v>
      </c>
      <c r="N19" s="21">
        <v>18671.757887141812</v>
      </c>
      <c r="O19" s="21">
        <v>37136.016067923774</v>
      </c>
      <c r="P19" s="21">
        <v>284833.08335302328</v>
      </c>
      <c r="Q19" s="21">
        <v>86725.83773040559</v>
      </c>
      <c r="R19" s="21">
        <v>135520.20265652158</v>
      </c>
      <c r="S19" s="21">
        <v>62022.120965587434</v>
      </c>
      <c r="T19" s="21">
        <v>-19622.932852647406</v>
      </c>
      <c r="U19" s="22">
        <v>2274791.3595381123</v>
      </c>
    </row>
    <row r="20" spans="1:21" x14ac:dyDescent="0.25">
      <c r="A20" s="95"/>
      <c r="B20" s="100"/>
      <c r="C20" s="16" t="s">
        <v>29</v>
      </c>
      <c r="D20" s="2">
        <v>281344.98271458724</v>
      </c>
      <c r="E20" s="2">
        <v>27947.398288732293</v>
      </c>
      <c r="F20" s="2">
        <v>465179.30502013839</v>
      </c>
      <c r="G20" s="2">
        <v>16971.207020009686</v>
      </c>
      <c r="H20" s="2">
        <v>126963.57991179022</v>
      </c>
      <c r="I20" s="2">
        <v>19009.200867350606</v>
      </c>
      <c r="J20" s="2">
        <v>242767.42331770674</v>
      </c>
      <c r="K20" s="2">
        <v>253985.03930197612</v>
      </c>
      <c r="L20" s="2">
        <v>51536.178392377995</v>
      </c>
      <c r="M20" s="2">
        <v>92669.419827053731</v>
      </c>
      <c r="N20" s="2">
        <v>20404.308648621736</v>
      </c>
      <c r="O20" s="2">
        <v>40590.493438391612</v>
      </c>
      <c r="P20" s="2">
        <v>326409.35516621784</v>
      </c>
      <c r="Q20" s="2">
        <v>87359.871721066796</v>
      </c>
      <c r="R20" s="2">
        <v>139223.9987268566</v>
      </c>
      <c r="S20" s="2">
        <v>67189.652815096109</v>
      </c>
      <c r="T20" s="2">
        <v>-20646.574128139338</v>
      </c>
      <c r="U20" s="23">
        <v>2343268.7440936919</v>
      </c>
    </row>
    <row r="21" spans="1:21" x14ac:dyDescent="0.25">
      <c r="A21" s="95"/>
      <c r="B21" s="100"/>
      <c r="C21" s="16" t="s">
        <v>30</v>
      </c>
      <c r="D21" s="2">
        <v>287662.23988412227</v>
      </c>
      <c r="E21" s="2">
        <v>29029.913790772516</v>
      </c>
      <c r="F21" s="2">
        <v>484892.84810966294</v>
      </c>
      <c r="G21" s="2">
        <v>19513.612102565199</v>
      </c>
      <c r="H21" s="2">
        <v>128944.4806318835</v>
      </c>
      <c r="I21" s="2">
        <v>19863.882202486217</v>
      </c>
      <c r="J21" s="2">
        <v>251755.31973023189</v>
      </c>
      <c r="K21" s="2">
        <v>255267.04329188936</v>
      </c>
      <c r="L21" s="2">
        <v>54529.707042125396</v>
      </c>
      <c r="M21" s="2">
        <v>93452.888176736771</v>
      </c>
      <c r="N21" s="2">
        <v>21600.938478194246</v>
      </c>
      <c r="O21" s="2">
        <v>61039.736384443881</v>
      </c>
      <c r="P21" s="2">
        <v>266119.81978207559</v>
      </c>
      <c r="Q21" s="2">
        <v>86151.42271143879</v>
      </c>
      <c r="R21" s="2">
        <v>138093.21634441582</v>
      </c>
      <c r="S21" s="2">
        <v>77578.537996503102</v>
      </c>
      <c r="T21" s="2">
        <v>-22223.698371633101</v>
      </c>
      <c r="U21" s="23">
        <v>2380695.8130505504</v>
      </c>
    </row>
    <row r="22" spans="1:21" x14ac:dyDescent="0.25">
      <c r="A22" s="95"/>
      <c r="B22" s="101"/>
      <c r="C22" s="28" t="s">
        <v>31</v>
      </c>
      <c r="D22" s="20">
        <v>293525.26878343755</v>
      </c>
      <c r="E22" s="20">
        <v>30532.394081316357</v>
      </c>
      <c r="F22" s="20">
        <v>482740.83078843978</v>
      </c>
      <c r="G22" s="20">
        <v>18901.568754964348</v>
      </c>
      <c r="H22" s="20">
        <v>130202.97680299534</v>
      </c>
      <c r="I22" s="20">
        <v>22491.355134026169</v>
      </c>
      <c r="J22" s="20">
        <v>262764.27750555705</v>
      </c>
      <c r="K22" s="20">
        <v>261616.52901166558</v>
      </c>
      <c r="L22" s="20">
        <v>55979.389436727586</v>
      </c>
      <c r="M22" s="20">
        <v>94028.546398963153</v>
      </c>
      <c r="N22" s="20">
        <v>21962.189920992492</v>
      </c>
      <c r="O22" s="20">
        <v>89833.516153868011</v>
      </c>
      <c r="P22" s="20">
        <v>319627.04834464018</v>
      </c>
      <c r="Q22" s="20">
        <v>94469.850114191446</v>
      </c>
      <c r="R22" s="20">
        <v>132993.30253985728</v>
      </c>
      <c r="S22" s="20">
        <v>103868.52405626111</v>
      </c>
      <c r="T22" s="20">
        <v>-39443.748542389993</v>
      </c>
      <c r="U22" s="24">
        <v>2465679.0815152312</v>
      </c>
    </row>
    <row r="23" spans="1:21" x14ac:dyDescent="0.25">
      <c r="A23" s="95"/>
      <c r="B23" s="99">
        <v>2007</v>
      </c>
      <c r="C23" s="27" t="s">
        <v>28</v>
      </c>
      <c r="D23" s="21">
        <v>294182.69008608797</v>
      </c>
      <c r="E23" s="21">
        <v>30347.979741123836</v>
      </c>
      <c r="F23" s="21">
        <v>595896.67308956583</v>
      </c>
      <c r="G23" s="21">
        <v>19612.76896628533</v>
      </c>
      <c r="H23" s="21">
        <v>130707.84878829628</v>
      </c>
      <c r="I23" s="21">
        <v>12623.681603322793</v>
      </c>
      <c r="J23" s="21">
        <v>275517.50273046066</v>
      </c>
      <c r="K23" s="21">
        <v>277384.34432283777</v>
      </c>
      <c r="L23" s="21">
        <v>56392.958464543568</v>
      </c>
      <c r="M23" s="21">
        <v>95937.662120642563</v>
      </c>
      <c r="N23" s="21">
        <v>21566.195009864059</v>
      </c>
      <c r="O23" s="21">
        <v>47125.502565540701</v>
      </c>
      <c r="P23" s="21">
        <v>337448.26065825089</v>
      </c>
      <c r="Q23" s="21">
        <v>92676.872772291114</v>
      </c>
      <c r="R23" s="21">
        <v>126870.54967075105</v>
      </c>
      <c r="S23" s="21">
        <v>89191.672912411581</v>
      </c>
      <c r="T23" s="21">
        <v>-27987.468360277508</v>
      </c>
      <c r="U23" s="22">
        <v>2590575.2511416399</v>
      </c>
    </row>
    <row r="24" spans="1:21" x14ac:dyDescent="0.25">
      <c r="A24" s="95"/>
      <c r="B24" s="100"/>
      <c r="C24" s="16" t="s">
        <v>29</v>
      </c>
      <c r="D24" s="2">
        <v>295700.71964806225</v>
      </c>
      <c r="E24" s="2">
        <v>30222.355662997605</v>
      </c>
      <c r="F24" s="2">
        <v>568009.75933073636</v>
      </c>
      <c r="G24" s="2">
        <v>16649.152048697055</v>
      </c>
      <c r="H24" s="2">
        <v>131469.38239743063</v>
      </c>
      <c r="I24" s="2">
        <v>24845.650844334643</v>
      </c>
      <c r="J24" s="2">
        <v>287123.13208501757</v>
      </c>
      <c r="K24" s="2">
        <v>283402.11011062918</v>
      </c>
      <c r="L24" s="2">
        <v>58421.917057858162</v>
      </c>
      <c r="M24" s="2">
        <v>98393.841838635562</v>
      </c>
      <c r="N24" s="2">
        <v>21760.401197292213</v>
      </c>
      <c r="O24" s="2">
        <v>51617.035049731021</v>
      </c>
      <c r="P24" s="2">
        <v>340365.54788917938</v>
      </c>
      <c r="Q24" s="2">
        <v>92940.942273051769</v>
      </c>
      <c r="R24" s="2">
        <v>119679.35494578244</v>
      </c>
      <c r="S24" s="2">
        <v>86699.157968424042</v>
      </c>
      <c r="T24" s="2">
        <v>-14516.278468725561</v>
      </c>
      <c r="U24" s="23">
        <v>2661769.3562180134</v>
      </c>
    </row>
    <row r="25" spans="1:21" x14ac:dyDescent="0.25">
      <c r="A25" s="95"/>
      <c r="B25" s="100"/>
      <c r="C25" s="16" t="s">
        <v>30</v>
      </c>
      <c r="D25" s="2">
        <v>298840.35556353879</v>
      </c>
      <c r="E25" s="2">
        <v>30474.11942074744</v>
      </c>
      <c r="F25" s="2">
        <v>587099.19715917541</v>
      </c>
      <c r="G25" s="2">
        <v>22248.514871074334</v>
      </c>
      <c r="H25" s="2">
        <v>132539.75964977688</v>
      </c>
      <c r="I25" s="2">
        <v>25261.450207809597</v>
      </c>
      <c r="J25" s="2">
        <v>297233.06345545518</v>
      </c>
      <c r="K25" s="2">
        <v>293324.82301103644</v>
      </c>
      <c r="L25" s="2">
        <v>59086.582778139957</v>
      </c>
      <c r="M25" s="2">
        <v>101197.92676438423</v>
      </c>
      <c r="N25" s="2">
        <v>22669.882880761113</v>
      </c>
      <c r="O25" s="2">
        <v>65753.505037171999</v>
      </c>
      <c r="P25" s="2">
        <v>338189.74345246516</v>
      </c>
      <c r="Q25" s="2">
        <v>92688.784446656719</v>
      </c>
      <c r="R25" s="2">
        <v>116296.64602334725</v>
      </c>
      <c r="S25" s="2">
        <v>90215.896747172956</v>
      </c>
      <c r="T25" s="2">
        <v>-1526.1286096442004</v>
      </c>
      <c r="U25" s="23">
        <v>2739700.3796027554</v>
      </c>
    </row>
    <row r="26" spans="1:21" x14ac:dyDescent="0.25">
      <c r="A26" s="95"/>
      <c r="B26" s="101"/>
      <c r="C26" s="28" t="s">
        <v>31</v>
      </c>
      <c r="D26" s="20">
        <v>304999.4289595111</v>
      </c>
      <c r="E26" s="20">
        <v>30590.298084383438</v>
      </c>
      <c r="F26" s="20">
        <v>586825.74172331567</v>
      </c>
      <c r="G26" s="20">
        <v>28275.850779517408</v>
      </c>
      <c r="H26" s="20">
        <v>134703.82377070765</v>
      </c>
      <c r="I26" s="20">
        <v>24823.870589482663</v>
      </c>
      <c r="J26" s="20">
        <v>305575.62375961995</v>
      </c>
      <c r="K26" s="20">
        <v>305849.83055783162</v>
      </c>
      <c r="L26" s="20">
        <v>58956.020223294909</v>
      </c>
      <c r="M26" s="20">
        <v>106169.07008342356</v>
      </c>
      <c r="N26" s="20">
        <v>24471.415334914636</v>
      </c>
      <c r="O26" s="20">
        <v>76843.567358674016</v>
      </c>
      <c r="P26" s="20">
        <v>314257.1944962035</v>
      </c>
      <c r="Q26" s="20">
        <v>93613.202949954779</v>
      </c>
      <c r="R26" s="20">
        <v>118461.88033840612</v>
      </c>
      <c r="S26" s="20">
        <v>87290.982022632277</v>
      </c>
      <c r="T26" s="20">
        <v>-66041.647376968394</v>
      </c>
      <c r="U26" s="24">
        <v>2703358.3824710916</v>
      </c>
    </row>
    <row r="27" spans="1:21" x14ac:dyDescent="0.25">
      <c r="A27" s="95"/>
      <c r="B27" s="99">
        <v>2008</v>
      </c>
      <c r="C27" s="27" t="s">
        <v>28</v>
      </c>
      <c r="D27" s="21">
        <v>310654.77824965247</v>
      </c>
      <c r="E27" s="21">
        <v>30506.099091572327</v>
      </c>
      <c r="F27" s="21">
        <v>658774.4015639642</v>
      </c>
      <c r="G27" s="21">
        <v>22384.442072568669</v>
      </c>
      <c r="H27" s="21">
        <v>136104.5719010114</v>
      </c>
      <c r="I27" s="21">
        <v>25007.009020996302</v>
      </c>
      <c r="J27" s="21">
        <v>311689.94777529268</v>
      </c>
      <c r="K27" s="21">
        <v>324497.92443178338</v>
      </c>
      <c r="L27" s="21">
        <v>61394.781022002426</v>
      </c>
      <c r="M27" s="21">
        <v>112957.4807589831</v>
      </c>
      <c r="N27" s="21">
        <v>27444.181558573302</v>
      </c>
      <c r="O27" s="21">
        <v>43600.991418867648</v>
      </c>
      <c r="P27" s="21">
        <v>298012.96299965325</v>
      </c>
      <c r="Q27" s="21">
        <v>99384.178036290934</v>
      </c>
      <c r="R27" s="21">
        <v>124069.6756348481</v>
      </c>
      <c r="S27" s="21">
        <v>81032.798356748477</v>
      </c>
      <c r="T27" s="21">
        <v>-21452.415188938743</v>
      </c>
      <c r="U27" s="22">
        <v>2839647.4601326636</v>
      </c>
    </row>
    <row r="28" spans="1:21" x14ac:dyDescent="0.25">
      <c r="A28" s="95"/>
      <c r="B28" s="100"/>
      <c r="C28" s="16" t="s">
        <v>29</v>
      </c>
      <c r="D28" s="2">
        <v>314302.07044670457</v>
      </c>
      <c r="E28" s="2">
        <v>30785.408893082818</v>
      </c>
      <c r="F28" s="2">
        <v>630002.68168879568</v>
      </c>
      <c r="G28" s="2">
        <v>23601.017121129204</v>
      </c>
      <c r="H28" s="2">
        <v>136470.9104086427</v>
      </c>
      <c r="I28" s="2">
        <v>20266.546373618425</v>
      </c>
      <c r="J28" s="2">
        <v>316732.05725503713</v>
      </c>
      <c r="K28" s="2">
        <v>335100.39081783145</v>
      </c>
      <c r="L28" s="2">
        <v>63393.172249809126</v>
      </c>
      <c r="M28" s="2">
        <v>118529.77689508116</v>
      </c>
      <c r="N28" s="2">
        <v>30246.939993098291</v>
      </c>
      <c r="O28" s="2">
        <v>47283.245651021927</v>
      </c>
      <c r="P28" s="2">
        <v>327506.50891212199</v>
      </c>
      <c r="Q28" s="2">
        <v>101137.24235911759</v>
      </c>
      <c r="R28" s="2">
        <v>125914.08020443273</v>
      </c>
      <c r="S28" s="2">
        <v>106415.16855856705</v>
      </c>
      <c r="T28" s="2">
        <v>-44630.147953753672</v>
      </c>
      <c r="U28" s="23">
        <v>2825708.7527049063</v>
      </c>
    </row>
    <row r="29" spans="1:21" x14ac:dyDescent="0.25">
      <c r="A29" s="95"/>
      <c r="B29" s="100"/>
      <c r="C29" s="16" t="s">
        <v>30</v>
      </c>
      <c r="D29" s="2">
        <v>317754.86493477074</v>
      </c>
      <c r="E29" s="2">
        <v>31417.965839682656</v>
      </c>
      <c r="F29" s="2">
        <v>646225.03427493724</v>
      </c>
      <c r="G29" s="2">
        <v>23816.48206514628</v>
      </c>
      <c r="H29" s="2">
        <v>137082.78137639276</v>
      </c>
      <c r="I29" s="2">
        <v>25455.501364693959</v>
      </c>
      <c r="J29" s="2">
        <v>320636.56033855636</v>
      </c>
      <c r="K29" s="2">
        <v>345426.31584929128</v>
      </c>
      <c r="L29" s="2">
        <v>64511.140965407452</v>
      </c>
      <c r="M29" s="2">
        <v>122727.29076942857</v>
      </c>
      <c r="N29" s="2">
        <v>32641.95309466614</v>
      </c>
      <c r="O29" s="2">
        <v>67425.599138086531</v>
      </c>
      <c r="P29" s="2">
        <v>369671.26988037059</v>
      </c>
      <c r="Q29" s="2">
        <v>103284.80745409439</v>
      </c>
      <c r="R29" s="2">
        <v>127796.68668690797</v>
      </c>
      <c r="S29" s="2">
        <v>113887.52492579524</v>
      </c>
      <c r="T29" s="2">
        <v>-35820.413385597283</v>
      </c>
      <c r="U29" s="23">
        <v>2920705.6231628512</v>
      </c>
    </row>
    <row r="30" spans="1:21" x14ac:dyDescent="0.25">
      <c r="A30" s="95"/>
      <c r="B30" s="101"/>
      <c r="C30" s="28" t="s">
        <v>31</v>
      </c>
      <c r="D30" s="20">
        <v>322595.8375562373</v>
      </c>
      <c r="E30" s="20">
        <v>31609.620500258519</v>
      </c>
      <c r="F30" s="20">
        <v>640623.80278636958</v>
      </c>
      <c r="G30" s="20">
        <v>15351.173393764351</v>
      </c>
      <c r="H30" s="20">
        <v>140517.62573860603</v>
      </c>
      <c r="I30" s="20">
        <v>25337.90723096671</v>
      </c>
      <c r="J30" s="20">
        <v>323691.9078596381</v>
      </c>
      <c r="K30" s="20">
        <v>352682.14078189101</v>
      </c>
      <c r="L30" s="20">
        <v>65596.979983956815</v>
      </c>
      <c r="M30" s="20">
        <v>124025.65484731055</v>
      </c>
      <c r="N30" s="20">
        <v>34521.415194256704</v>
      </c>
      <c r="O30" s="20">
        <v>108071.64239477826</v>
      </c>
      <c r="P30" s="20">
        <v>392310.12368710537</v>
      </c>
      <c r="Q30" s="20">
        <v>106690.29456005828</v>
      </c>
      <c r="R30" s="20">
        <v>129408.28088659098</v>
      </c>
      <c r="S30" s="20">
        <v>111039.91870291637</v>
      </c>
      <c r="T30" s="20">
        <v>-6539.4877496548397</v>
      </c>
      <c r="U30" s="24">
        <v>3256619.7461461881</v>
      </c>
    </row>
    <row r="31" spans="1:21" x14ac:dyDescent="0.25">
      <c r="A31" s="95"/>
      <c r="B31" s="99">
        <v>2009</v>
      </c>
      <c r="C31" s="27" t="s">
        <v>28</v>
      </c>
      <c r="D31" s="21">
        <v>325130.0654722621</v>
      </c>
      <c r="E31" s="21">
        <v>32664.851307250567</v>
      </c>
      <c r="F31" s="21">
        <v>610575.02970482071</v>
      </c>
      <c r="G31" s="21">
        <v>17293.646727064428</v>
      </c>
      <c r="H31" s="21">
        <v>146006.52268869194</v>
      </c>
      <c r="I31" s="21">
        <v>22023.001646049208</v>
      </c>
      <c r="J31" s="21">
        <v>325552.42234521831</v>
      </c>
      <c r="K31" s="21">
        <v>357054.92064088024</v>
      </c>
      <c r="L31" s="21">
        <v>67816.079631025626</v>
      </c>
      <c r="M31" s="21">
        <v>122546.35104378103</v>
      </c>
      <c r="N31" s="21">
        <v>36191.598090555155</v>
      </c>
      <c r="O31" s="21">
        <v>63299.243915835839</v>
      </c>
      <c r="P31" s="21">
        <v>393401.23360850773</v>
      </c>
      <c r="Q31" s="21">
        <v>100084.89161095003</v>
      </c>
      <c r="R31" s="21">
        <v>130539.50152113214</v>
      </c>
      <c r="S31" s="21">
        <v>114232.48139599302</v>
      </c>
      <c r="T31" s="21">
        <v>-8102.1083787990092</v>
      </c>
      <c r="U31" s="22">
        <v>2885048.9554952374</v>
      </c>
    </row>
    <row r="32" spans="1:21" x14ac:dyDescent="0.25">
      <c r="A32" s="95"/>
      <c r="B32" s="100"/>
      <c r="C32" s="16" t="s">
        <v>29</v>
      </c>
      <c r="D32" s="2">
        <v>328369.51531581808</v>
      </c>
      <c r="E32" s="2">
        <v>33337.367966124999</v>
      </c>
      <c r="F32" s="2">
        <v>589657.19885014126</v>
      </c>
      <c r="G32" s="2">
        <v>25973.424655247683</v>
      </c>
      <c r="H32" s="2">
        <v>149073.90074765153</v>
      </c>
      <c r="I32" s="2">
        <v>26513.967100253863</v>
      </c>
      <c r="J32" s="2">
        <v>331235.93011652865</v>
      </c>
      <c r="K32" s="2">
        <v>362438.62614045601</v>
      </c>
      <c r="L32" s="2">
        <v>71615.219771812946</v>
      </c>
      <c r="M32" s="2">
        <v>123235.83832749995</v>
      </c>
      <c r="N32" s="2">
        <v>37824.447674011746</v>
      </c>
      <c r="O32" s="2">
        <v>60974.851761676626</v>
      </c>
      <c r="P32" s="2">
        <v>410820.55811770569</v>
      </c>
      <c r="Q32" s="2">
        <v>110851.15281809412</v>
      </c>
      <c r="R32" s="2">
        <v>131057.33041791488</v>
      </c>
      <c r="S32" s="2">
        <v>91350.108582327943</v>
      </c>
      <c r="T32" s="2">
        <v>-15577.615019910081</v>
      </c>
      <c r="U32" s="23">
        <v>3002895.3433249774</v>
      </c>
    </row>
    <row r="33" spans="1:21" x14ac:dyDescent="0.25">
      <c r="A33" s="95"/>
      <c r="B33" s="100"/>
      <c r="C33" s="16" t="s">
        <v>30</v>
      </c>
      <c r="D33" s="2">
        <v>335236.56330763886</v>
      </c>
      <c r="E33" s="2">
        <v>33827.081958430223</v>
      </c>
      <c r="F33" s="2">
        <v>608868.98084111663</v>
      </c>
      <c r="G33" s="2">
        <v>23724.983574487851</v>
      </c>
      <c r="H33" s="2">
        <v>152441.91309720499</v>
      </c>
      <c r="I33" s="2">
        <v>26364.091536954595</v>
      </c>
      <c r="J33" s="2">
        <v>339682.74496102333</v>
      </c>
      <c r="K33" s="2">
        <v>369163.07608196721</v>
      </c>
      <c r="L33" s="2">
        <v>73792.94308610358</v>
      </c>
      <c r="M33" s="2">
        <v>124403.91458068628</v>
      </c>
      <c r="N33" s="2">
        <v>38756.666991357946</v>
      </c>
      <c r="O33" s="2">
        <v>85823.958729112026</v>
      </c>
      <c r="P33" s="2">
        <v>384793.28252988594</v>
      </c>
      <c r="Q33" s="2">
        <v>114666.93370074905</v>
      </c>
      <c r="R33" s="2">
        <v>133019.84479515176</v>
      </c>
      <c r="S33" s="2">
        <v>106892.41799047093</v>
      </c>
      <c r="T33" s="2">
        <v>-14821.290671938634</v>
      </c>
      <c r="U33" s="23">
        <v>3049818.3469972755</v>
      </c>
    </row>
    <row r="34" spans="1:21" x14ac:dyDescent="0.25">
      <c r="A34" s="95"/>
      <c r="B34" s="101"/>
      <c r="C34" s="28" t="s">
        <v>31</v>
      </c>
      <c r="D34" s="20">
        <v>347119.16739782435</v>
      </c>
      <c r="E34" s="20">
        <v>33243.03574244753</v>
      </c>
      <c r="F34" s="20">
        <v>606413.3754817982</v>
      </c>
      <c r="G34" s="20">
        <v>21832.484528867808</v>
      </c>
      <c r="H34" s="20">
        <v>154886.68793097237</v>
      </c>
      <c r="I34" s="20">
        <v>26891.27583482075</v>
      </c>
      <c r="J34" s="20">
        <v>351452.36936980579</v>
      </c>
      <c r="K34" s="20">
        <v>375445.87835298525</v>
      </c>
      <c r="L34" s="20">
        <v>75744.957852011896</v>
      </c>
      <c r="M34" s="20">
        <v>128013.71454238024</v>
      </c>
      <c r="N34" s="20">
        <v>38346.575383236544</v>
      </c>
      <c r="O34" s="20">
        <v>70180.033882302247</v>
      </c>
      <c r="P34" s="20">
        <v>441609.17456745269</v>
      </c>
      <c r="Q34" s="20">
        <v>116394.26544790689</v>
      </c>
      <c r="R34" s="20">
        <v>136841.9425732643</v>
      </c>
      <c r="S34" s="20">
        <v>99900.402575235174</v>
      </c>
      <c r="T34" s="20">
        <v>-69941.450207296832</v>
      </c>
      <c r="U34" s="24">
        <v>3145917.3223039443</v>
      </c>
    </row>
    <row r="35" spans="1:21" x14ac:dyDescent="0.25">
      <c r="A35" s="95"/>
      <c r="B35" s="99">
        <v>2010</v>
      </c>
      <c r="C35" s="27" t="s">
        <v>28</v>
      </c>
      <c r="D35" s="21">
        <v>359869.46136912098</v>
      </c>
      <c r="E35" s="21">
        <v>32924.600088160449</v>
      </c>
      <c r="F35" s="21">
        <v>618953.63534562138</v>
      </c>
      <c r="G35" s="21">
        <v>21757.964229721387</v>
      </c>
      <c r="H35" s="21">
        <v>158065.41365567397</v>
      </c>
      <c r="I35" s="21">
        <v>27320.046137301997</v>
      </c>
      <c r="J35" s="21">
        <v>365610.84173865657</v>
      </c>
      <c r="K35" s="21">
        <v>381128.30796063069</v>
      </c>
      <c r="L35" s="21">
        <v>74606.071200521721</v>
      </c>
      <c r="M35" s="21">
        <v>130896.51224245196</v>
      </c>
      <c r="N35" s="21">
        <v>36563.603726200767</v>
      </c>
      <c r="O35" s="21">
        <v>53916.54411768297</v>
      </c>
      <c r="P35" s="21">
        <v>422212.49637451052</v>
      </c>
      <c r="Q35" s="21">
        <v>114977.48298224744</v>
      </c>
      <c r="R35" s="21">
        <v>140228.50875161396</v>
      </c>
      <c r="S35" s="21">
        <v>82672.158419790881</v>
      </c>
      <c r="T35" s="21">
        <v>-1638.0509982017859</v>
      </c>
      <c r="U35" s="22">
        <v>3118660.1094628293</v>
      </c>
    </row>
    <row r="36" spans="1:21" x14ac:dyDescent="0.25">
      <c r="A36" s="95"/>
      <c r="B36" s="100"/>
      <c r="C36" s="16" t="s">
        <v>29</v>
      </c>
      <c r="D36" s="2">
        <v>369138.52131306683</v>
      </c>
      <c r="E36" s="2">
        <v>33386.064885174681</v>
      </c>
      <c r="F36" s="2">
        <v>600419.36073521245</v>
      </c>
      <c r="G36" s="2">
        <v>19788.766098090018</v>
      </c>
      <c r="H36" s="2">
        <v>162623.65100998781</v>
      </c>
      <c r="I36" s="2">
        <v>25855.097430439608</v>
      </c>
      <c r="J36" s="2">
        <v>376996.76852436597</v>
      </c>
      <c r="K36" s="2">
        <v>390491.12925065419</v>
      </c>
      <c r="L36" s="2">
        <v>79854.809249213838</v>
      </c>
      <c r="M36" s="2">
        <v>133984.09434223847</v>
      </c>
      <c r="N36" s="2">
        <v>36709.804863916332</v>
      </c>
      <c r="O36" s="2">
        <v>62210.359148036827</v>
      </c>
      <c r="P36" s="2">
        <v>458326.11924545275</v>
      </c>
      <c r="Q36" s="2">
        <v>116971.78700605803</v>
      </c>
      <c r="R36" s="2">
        <v>144919.32913415824</v>
      </c>
      <c r="S36" s="2">
        <v>99101.935765878748</v>
      </c>
      <c r="T36" s="2">
        <v>-5522.0699408585569</v>
      </c>
      <c r="U36" s="23">
        <v>3305885.8155422877</v>
      </c>
    </row>
    <row r="37" spans="1:21" x14ac:dyDescent="0.25">
      <c r="A37" s="95"/>
      <c r="B37" s="100"/>
      <c r="C37" s="16" t="s">
        <v>30</v>
      </c>
      <c r="D37" s="2">
        <v>377208.63479322917</v>
      </c>
      <c r="E37" s="2">
        <v>34387.539253525661</v>
      </c>
      <c r="F37" s="2">
        <v>594711.11917009973</v>
      </c>
      <c r="G37" s="2">
        <v>20993.894912739379</v>
      </c>
      <c r="H37" s="2">
        <v>166843.26680415153</v>
      </c>
      <c r="I37" s="2">
        <v>28198.7982657715</v>
      </c>
      <c r="J37" s="2">
        <v>384989.96287922841</v>
      </c>
      <c r="K37" s="2">
        <v>402549.90917205147</v>
      </c>
      <c r="L37" s="2">
        <v>82540.747708684081</v>
      </c>
      <c r="M37" s="2">
        <v>137642.87760200736</v>
      </c>
      <c r="N37" s="2">
        <v>39855.274864503692</v>
      </c>
      <c r="O37" s="2">
        <v>73608.726809129177</v>
      </c>
      <c r="P37" s="2">
        <v>426278.18961764529</v>
      </c>
      <c r="Q37" s="2">
        <v>118224.6751545366</v>
      </c>
      <c r="R37" s="2">
        <v>149954.67392801889</v>
      </c>
      <c r="S37" s="2">
        <v>126983.41605287879</v>
      </c>
      <c r="T37" s="2">
        <v>-3272.7912505616</v>
      </c>
      <c r="U37" s="23">
        <v>3296291.537248984</v>
      </c>
    </row>
    <row r="38" spans="1:21" x14ac:dyDescent="0.25">
      <c r="A38" s="95"/>
      <c r="B38" s="101"/>
      <c r="C38" s="28" t="s">
        <v>31</v>
      </c>
      <c r="D38" s="20">
        <v>385906.85088431375</v>
      </c>
      <c r="E38" s="20">
        <v>33977.296828657156</v>
      </c>
      <c r="F38" s="20">
        <v>545514.94018145371</v>
      </c>
      <c r="G38" s="20">
        <v>19932.129205517442</v>
      </c>
      <c r="H38" s="20">
        <v>169826.2799639997</v>
      </c>
      <c r="I38" s="20">
        <v>30498.599930523527</v>
      </c>
      <c r="J38" s="20">
        <v>389611.0497030121</v>
      </c>
      <c r="K38" s="20">
        <v>414240.55904916959</v>
      </c>
      <c r="L38" s="20">
        <v>85099.100391930697</v>
      </c>
      <c r="M38" s="20">
        <v>143918.13692870073</v>
      </c>
      <c r="N38" s="20">
        <v>47328.844571235823</v>
      </c>
      <c r="O38" s="20">
        <v>97105.936068241324</v>
      </c>
      <c r="P38" s="20">
        <v>387082.01736641012</v>
      </c>
      <c r="Q38" s="20">
        <v>118627.10243406585</v>
      </c>
      <c r="R38" s="20">
        <v>155033.1646980365</v>
      </c>
      <c r="S38" s="20">
        <v>130547.30298400905</v>
      </c>
      <c r="T38" s="20">
        <v>-121221.81090022276</v>
      </c>
      <c r="U38" s="24">
        <v>2995404.6950240671</v>
      </c>
    </row>
    <row r="39" spans="1:21" x14ac:dyDescent="0.25">
      <c r="A39" s="95"/>
      <c r="B39" s="99">
        <v>2011</v>
      </c>
      <c r="C39" s="27" t="s">
        <v>28</v>
      </c>
      <c r="D39" s="21">
        <v>390575.76887793955</v>
      </c>
      <c r="E39" s="21">
        <v>36398.954746182564</v>
      </c>
      <c r="F39" s="21">
        <v>560235.20620946842</v>
      </c>
      <c r="G39" s="21">
        <v>19937.825019992804</v>
      </c>
      <c r="H39" s="21">
        <v>174446.30098340544</v>
      </c>
      <c r="I39" s="21">
        <v>29458.031648175736</v>
      </c>
      <c r="J39" s="21">
        <v>390375.21857535758</v>
      </c>
      <c r="K39" s="21">
        <v>420617.94391639903</v>
      </c>
      <c r="L39" s="21">
        <v>80809.722203920421</v>
      </c>
      <c r="M39" s="21">
        <v>143558.323160242</v>
      </c>
      <c r="N39" s="21">
        <v>59760.868484064842</v>
      </c>
      <c r="O39" s="21">
        <v>63515.77523855344</v>
      </c>
      <c r="P39" s="21">
        <v>421820.94693203788</v>
      </c>
      <c r="Q39" s="21">
        <v>119061.95598187993</v>
      </c>
      <c r="R39" s="21">
        <v>156214.83648559765</v>
      </c>
      <c r="S39" s="21">
        <v>97256.780151734158</v>
      </c>
      <c r="T39" s="21">
        <v>-2040.6232501573286</v>
      </c>
      <c r="U39" s="22">
        <v>3189716.8117917399</v>
      </c>
    </row>
    <row r="40" spans="1:21" x14ac:dyDescent="0.25">
      <c r="A40" s="95"/>
      <c r="B40" s="100"/>
      <c r="C40" s="16" t="s">
        <v>29</v>
      </c>
      <c r="D40" s="2">
        <v>393911.39662199363</v>
      </c>
      <c r="E40" s="2">
        <v>37988.251827795306</v>
      </c>
      <c r="F40" s="2">
        <v>507017.01166227809</v>
      </c>
      <c r="G40" s="2">
        <v>24104.98484269586</v>
      </c>
      <c r="H40" s="2">
        <v>178709.85263710571</v>
      </c>
      <c r="I40" s="2">
        <v>29589.263662217512</v>
      </c>
      <c r="J40" s="2">
        <v>399920.38874721096</v>
      </c>
      <c r="K40" s="2">
        <v>429615.57278957736</v>
      </c>
      <c r="L40" s="2">
        <v>86782.535791728587</v>
      </c>
      <c r="M40" s="2">
        <v>145264.13927637544</v>
      </c>
      <c r="N40" s="2">
        <v>70908.018851875429</v>
      </c>
      <c r="O40" s="2">
        <v>54345.106015952086</v>
      </c>
      <c r="P40" s="2">
        <v>410544.20421523124</v>
      </c>
      <c r="Q40" s="2">
        <v>119949.63538711851</v>
      </c>
      <c r="R40" s="2">
        <v>160073.52151694929</v>
      </c>
      <c r="S40" s="2">
        <v>110094.1417846995</v>
      </c>
      <c r="T40" s="2">
        <v>-1956.0763240183805</v>
      </c>
      <c r="U40" s="23">
        <v>3218031.8295939523</v>
      </c>
    </row>
    <row r="41" spans="1:21" x14ac:dyDescent="0.25">
      <c r="A41" s="95"/>
      <c r="B41" s="100"/>
      <c r="C41" s="16" t="s">
        <v>30</v>
      </c>
      <c r="D41" s="2">
        <v>399210.5993127877</v>
      </c>
      <c r="E41" s="2">
        <v>39462.441466294964</v>
      </c>
      <c r="F41" s="2">
        <v>570309.53804620588</v>
      </c>
      <c r="G41" s="2">
        <v>18352.810771999651</v>
      </c>
      <c r="H41" s="2">
        <v>182468.41600701291</v>
      </c>
      <c r="I41" s="2">
        <v>29117.402448374869</v>
      </c>
      <c r="J41" s="2">
        <v>415784.03039053688</v>
      </c>
      <c r="K41" s="2">
        <v>437263.93936946802</v>
      </c>
      <c r="L41" s="2">
        <v>87994.596875821328</v>
      </c>
      <c r="M41" s="2">
        <v>153273.56655650452</v>
      </c>
      <c r="N41" s="2">
        <v>78553.458786483374</v>
      </c>
      <c r="O41" s="2">
        <v>85935.939792648875</v>
      </c>
      <c r="P41" s="2">
        <v>418909.05531331961</v>
      </c>
      <c r="Q41" s="2">
        <v>124205.8493939523</v>
      </c>
      <c r="R41" s="2">
        <v>163252.33074253588</v>
      </c>
      <c r="S41" s="2">
        <v>107153.21592752929</v>
      </c>
      <c r="T41" s="2">
        <v>-3818.202621328388</v>
      </c>
      <c r="U41" s="23">
        <v>3405035.0397012401</v>
      </c>
    </row>
    <row r="42" spans="1:21" x14ac:dyDescent="0.25">
      <c r="A42" s="95"/>
      <c r="B42" s="101"/>
      <c r="C42" s="28" t="s">
        <v>31</v>
      </c>
      <c r="D42" s="20">
        <v>407381.07300516742</v>
      </c>
      <c r="E42" s="20">
        <v>41015.595168414518</v>
      </c>
      <c r="F42" s="20">
        <v>601828.86867870879</v>
      </c>
      <c r="G42" s="20">
        <v>22850.746805295126</v>
      </c>
      <c r="H42" s="20">
        <v>186046.91567416556</v>
      </c>
      <c r="I42" s="20">
        <v>27823.980559065756</v>
      </c>
      <c r="J42" s="20">
        <v>439149.05274819175</v>
      </c>
      <c r="K42" s="20">
        <v>441467.37806787941</v>
      </c>
      <c r="L42" s="20">
        <v>86036.833646483778</v>
      </c>
      <c r="M42" s="20">
        <v>167014.46447508698</v>
      </c>
      <c r="N42" s="20">
        <v>80744.237156252493</v>
      </c>
      <c r="O42" s="20">
        <v>89310.702715229607</v>
      </c>
      <c r="P42" s="20">
        <v>429721.35675253521</v>
      </c>
      <c r="Q42" s="20">
        <v>131563.53244834745</v>
      </c>
      <c r="R42" s="20">
        <v>166111.04263685341</v>
      </c>
      <c r="S42" s="20">
        <v>106518.3589444236</v>
      </c>
      <c r="T42" s="20">
        <v>-143138.29063104867</v>
      </c>
      <c r="U42" s="24">
        <v>3356401.8369339686</v>
      </c>
    </row>
    <row r="43" spans="1:21" x14ac:dyDescent="0.25">
      <c r="A43" s="95"/>
      <c r="B43" s="99">
        <v>2012</v>
      </c>
      <c r="C43" s="27" t="s">
        <v>28</v>
      </c>
      <c r="D43" s="21">
        <v>412989.42391423701</v>
      </c>
      <c r="E43" s="21">
        <v>41602.39876478471</v>
      </c>
      <c r="F43" s="21">
        <v>616865.7447746651</v>
      </c>
      <c r="G43" s="21">
        <v>20731.380676091088</v>
      </c>
      <c r="H43" s="21">
        <v>187003.72985005807</v>
      </c>
      <c r="I43" s="21">
        <v>31405.505244453096</v>
      </c>
      <c r="J43" s="21">
        <v>468722.12099746254</v>
      </c>
      <c r="K43" s="21">
        <v>457860.05143411196</v>
      </c>
      <c r="L43" s="21">
        <v>81034.412708229967</v>
      </c>
      <c r="M43" s="21">
        <v>166747.62434396116</v>
      </c>
      <c r="N43" s="21">
        <v>76929.792285264193</v>
      </c>
      <c r="O43" s="21">
        <v>56056.661151280932</v>
      </c>
      <c r="P43" s="21">
        <v>408134.37395177601</v>
      </c>
      <c r="Q43" s="21">
        <v>141715.33114751271</v>
      </c>
      <c r="R43" s="21">
        <v>169980.26158213548</v>
      </c>
      <c r="S43" s="21">
        <v>92721.728385521288</v>
      </c>
      <c r="T43" s="21">
        <v>-3743.1403332030527</v>
      </c>
      <c r="U43" s="22">
        <v>3449338.7956090854</v>
      </c>
    </row>
    <row r="44" spans="1:21" x14ac:dyDescent="0.25">
      <c r="A44" s="95"/>
      <c r="B44" s="100"/>
      <c r="C44" s="16" t="s">
        <v>29</v>
      </c>
      <c r="D44" s="2">
        <v>417308.06336006726</v>
      </c>
      <c r="E44" s="2">
        <v>42019.156944520684</v>
      </c>
      <c r="F44" s="2">
        <v>591612.34411566542</v>
      </c>
      <c r="G44" s="2">
        <v>20253.299006565601</v>
      </c>
      <c r="H44" s="2">
        <v>192293.93848475083</v>
      </c>
      <c r="I44" s="2">
        <v>32891.665018568245</v>
      </c>
      <c r="J44" s="2">
        <v>498067.85761557583</v>
      </c>
      <c r="K44" s="2">
        <v>463800.23451138055</v>
      </c>
      <c r="L44" s="2">
        <v>78626.187996296314</v>
      </c>
      <c r="M44" s="2">
        <v>165506.39669692746</v>
      </c>
      <c r="N44" s="2">
        <v>75454.343569011791</v>
      </c>
      <c r="O44" s="2">
        <v>64646.1272976826</v>
      </c>
      <c r="P44" s="2">
        <v>404308.91411456629</v>
      </c>
      <c r="Q44" s="2">
        <v>147500.55237649617</v>
      </c>
      <c r="R44" s="2">
        <v>172874.29014191829</v>
      </c>
      <c r="S44" s="2">
        <v>109602.03350434137</v>
      </c>
      <c r="T44" s="2">
        <v>-3508.4956298095462</v>
      </c>
      <c r="U44" s="23">
        <v>3647796.8922136766</v>
      </c>
    </row>
    <row r="45" spans="1:21" x14ac:dyDescent="0.25">
      <c r="A45" s="95"/>
      <c r="B45" s="100"/>
      <c r="C45" s="16" t="s">
        <v>30</v>
      </c>
      <c r="D45" s="2">
        <v>424305.53644777881</v>
      </c>
      <c r="E45" s="2">
        <v>42493.930626897367</v>
      </c>
      <c r="F45" s="2">
        <v>594051.97163289541</v>
      </c>
      <c r="G45" s="2">
        <v>21010.156348313027</v>
      </c>
      <c r="H45" s="2">
        <v>197275.59534793033</v>
      </c>
      <c r="I45" s="2">
        <v>32800.538463985795</v>
      </c>
      <c r="J45" s="2">
        <v>524395.24460329022</v>
      </c>
      <c r="K45" s="2">
        <v>465349.24261921184</v>
      </c>
      <c r="L45" s="2">
        <v>77589.160540899407</v>
      </c>
      <c r="M45" s="2">
        <v>170152.48116679132</v>
      </c>
      <c r="N45" s="2">
        <v>75834.217491509233</v>
      </c>
      <c r="O45" s="2">
        <v>97165.318990397427</v>
      </c>
      <c r="P45" s="2">
        <v>457995.28580922709</v>
      </c>
      <c r="Q45" s="2">
        <v>152056.60930110389</v>
      </c>
      <c r="R45" s="2">
        <v>173746.9546720318</v>
      </c>
      <c r="S45" s="2">
        <v>98991.469504934255</v>
      </c>
      <c r="T45" s="2">
        <v>-3281.5977172468743</v>
      </c>
      <c r="U45" s="23">
        <v>3604710.2068963917</v>
      </c>
    </row>
    <row r="46" spans="1:21" x14ac:dyDescent="0.25">
      <c r="A46" s="95"/>
      <c r="B46" s="101"/>
      <c r="C46" s="28" t="s">
        <v>31</v>
      </c>
      <c r="D46" s="20">
        <v>433263.40506910509</v>
      </c>
      <c r="E46" s="20">
        <v>43868.657207292636</v>
      </c>
      <c r="F46" s="20">
        <v>627185.00071599672</v>
      </c>
      <c r="G46" s="20">
        <v>21453.198589782147</v>
      </c>
      <c r="H46" s="20">
        <v>203124.49010752788</v>
      </c>
      <c r="I46" s="20">
        <v>30706.524976314544</v>
      </c>
      <c r="J46" s="20">
        <v>548339.92897694255</v>
      </c>
      <c r="K46" s="20">
        <v>463322.07905122358</v>
      </c>
      <c r="L46" s="20">
        <v>81792.525808231017</v>
      </c>
      <c r="M46" s="20">
        <v>171998.53315298291</v>
      </c>
      <c r="N46" s="20">
        <v>78453.252486421436</v>
      </c>
      <c r="O46" s="20">
        <v>76455.757549924747</v>
      </c>
      <c r="P46" s="20">
        <v>458897.58749377722</v>
      </c>
      <c r="Q46" s="20">
        <v>155214.17731611227</v>
      </c>
      <c r="R46" s="20">
        <v>173422.23276135314</v>
      </c>
      <c r="S46" s="20">
        <v>111011.89549292652</v>
      </c>
      <c r="T46" s="20">
        <v>-152064.49315559832</v>
      </c>
      <c r="U46" s="24">
        <v>3579938.9840729707</v>
      </c>
    </row>
    <row r="47" spans="1:21" x14ac:dyDescent="0.25">
      <c r="A47" s="95"/>
      <c r="B47" s="99">
        <v>2013</v>
      </c>
      <c r="C47" s="27" t="s">
        <v>28</v>
      </c>
      <c r="D47" s="21">
        <v>440205.00817836076</v>
      </c>
      <c r="E47" s="21">
        <v>43566.018553900074</v>
      </c>
      <c r="F47" s="21">
        <v>603402.60023134213</v>
      </c>
      <c r="G47" s="21">
        <v>20529.96869438632</v>
      </c>
      <c r="H47" s="21">
        <v>204875.77561842187</v>
      </c>
      <c r="I47" s="21">
        <v>37727.668324273625</v>
      </c>
      <c r="J47" s="21">
        <v>569775.51962403767</v>
      </c>
      <c r="K47" s="21">
        <v>478259.2505669957</v>
      </c>
      <c r="L47" s="21">
        <v>85557.147462886642</v>
      </c>
      <c r="M47" s="21">
        <v>198175.22007814684</v>
      </c>
      <c r="N47" s="21">
        <v>83779.613654760164</v>
      </c>
      <c r="O47" s="21">
        <v>48968.018629453931</v>
      </c>
      <c r="P47" s="21">
        <v>464978.77677942446</v>
      </c>
      <c r="Q47" s="21">
        <v>155625.74995700066</v>
      </c>
      <c r="R47" s="21">
        <v>173126.88770652536</v>
      </c>
      <c r="S47" s="21">
        <v>110841.83892328796</v>
      </c>
      <c r="T47" s="21">
        <v>-2795.5904433252604</v>
      </c>
      <c r="U47" s="22">
        <v>3890625.6192732807</v>
      </c>
    </row>
    <row r="48" spans="1:21" x14ac:dyDescent="0.25">
      <c r="A48" s="95"/>
      <c r="B48" s="100"/>
      <c r="C48" s="16" t="s">
        <v>29</v>
      </c>
      <c r="D48" s="2">
        <v>440401.30814857665</v>
      </c>
      <c r="E48" s="2">
        <v>43435.713038957605</v>
      </c>
      <c r="F48" s="2">
        <v>609500.79272545269</v>
      </c>
      <c r="G48" s="2">
        <v>21104.310628593703</v>
      </c>
      <c r="H48" s="2">
        <v>210029.22857388531</v>
      </c>
      <c r="I48" s="2">
        <v>43216.903545441703</v>
      </c>
      <c r="J48" s="2">
        <v>588687.31885031017</v>
      </c>
      <c r="K48" s="2">
        <v>486611.99586820271</v>
      </c>
      <c r="L48" s="2">
        <v>91495.583027489192</v>
      </c>
      <c r="M48" s="2">
        <v>192006.22700923291</v>
      </c>
      <c r="N48" s="2">
        <v>89454.612501560128</v>
      </c>
      <c r="O48" s="2">
        <v>63095.804608317223</v>
      </c>
      <c r="P48" s="2">
        <v>456328.67115705181</v>
      </c>
      <c r="Q48" s="2">
        <v>154501.86242994852</v>
      </c>
      <c r="R48" s="2">
        <v>176379.59305611119</v>
      </c>
      <c r="S48" s="2">
        <v>113794.7488436548</v>
      </c>
      <c r="T48" s="2">
        <v>-9138.3661201842242</v>
      </c>
      <c r="U48" s="23">
        <v>3932450.3935609111</v>
      </c>
    </row>
    <row r="49" spans="1:21" x14ac:dyDescent="0.25">
      <c r="A49" s="95"/>
      <c r="B49" s="100"/>
      <c r="C49" s="16" t="s">
        <v>30</v>
      </c>
      <c r="D49" s="2">
        <v>439264.99407045741</v>
      </c>
      <c r="E49" s="2">
        <v>43188.530630804693</v>
      </c>
      <c r="F49" s="2">
        <v>612981.4415905911</v>
      </c>
      <c r="G49" s="2">
        <v>22537.423865074164</v>
      </c>
      <c r="H49" s="2">
        <v>212442.50796930538</v>
      </c>
      <c r="I49" s="2">
        <v>37860.245419286694</v>
      </c>
      <c r="J49" s="2">
        <v>600955.82310160424</v>
      </c>
      <c r="K49" s="2">
        <v>492071.49331805721</v>
      </c>
      <c r="L49" s="2">
        <v>97185.604015031</v>
      </c>
      <c r="M49" s="2">
        <v>171473.46287805008</v>
      </c>
      <c r="N49" s="2">
        <v>93564.216794570442</v>
      </c>
      <c r="O49" s="2">
        <v>88179.746213027567</v>
      </c>
      <c r="P49" s="2">
        <v>456672.13567652553</v>
      </c>
      <c r="Q49" s="2">
        <v>153006.13578492007</v>
      </c>
      <c r="R49" s="2">
        <v>182406.18290232407</v>
      </c>
      <c r="S49" s="2">
        <v>116714.60663199874</v>
      </c>
      <c r="T49" s="2">
        <v>-132705.89397292884</v>
      </c>
      <c r="U49" s="23">
        <v>3294458.9291779529</v>
      </c>
    </row>
    <row r="50" spans="1:21" x14ac:dyDescent="0.25">
      <c r="A50" s="95"/>
      <c r="B50" s="101"/>
      <c r="C50" s="28" t="s">
        <v>31</v>
      </c>
      <c r="D50" s="20">
        <v>435784.73129311146</v>
      </c>
      <c r="E50" s="20">
        <v>43885.132299709352</v>
      </c>
      <c r="F50" s="20">
        <v>583594.58235626237</v>
      </c>
      <c r="G50" s="20">
        <v>22669.271206899997</v>
      </c>
      <c r="H50" s="20">
        <v>213826.44153724166</v>
      </c>
      <c r="I50" s="20">
        <v>41126.01696134932</v>
      </c>
      <c r="J50" s="20">
        <v>607589.50076446461</v>
      </c>
      <c r="K50" s="20">
        <v>496056.4801957836</v>
      </c>
      <c r="L50" s="20">
        <v>103766.62937797525</v>
      </c>
      <c r="M50" s="20">
        <v>151727.59652874403</v>
      </c>
      <c r="N50" s="20">
        <v>95002.347273486506</v>
      </c>
      <c r="O50" s="20">
        <v>84210.10222444059</v>
      </c>
      <c r="P50" s="20">
        <v>470397.03318896872</v>
      </c>
      <c r="Q50" s="20">
        <v>151016.29281041704</v>
      </c>
      <c r="R50" s="20">
        <v>188287.5442991661</v>
      </c>
      <c r="S50" s="20">
        <v>146463.48206807973</v>
      </c>
      <c r="T50" s="20">
        <v>-42013.809314004458</v>
      </c>
      <c r="U50" s="24">
        <v>3851483.1648260378</v>
      </c>
    </row>
    <row r="51" spans="1:21" x14ac:dyDescent="0.25">
      <c r="A51" s="95"/>
      <c r="B51" s="99">
        <v>2014</v>
      </c>
      <c r="C51" s="27" t="s">
        <v>28</v>
      </c>
      <c r="D51" s="21">
        <v>466010.68971872824</v>
      </c>
      <c r="E51" s="21">
        <v>61409.502191793268</v>
      </c>
      <c r="F51" s="21">
        <v>544581.52268431371</v>
      </c>
      <c r="G51" s="21">
        <v>19509.064838289305</v>
      </c>
      <c r="H51" s="21">
        <v>169622.85669205501</v>
      </c>
      <c r="I51" s="21">
        <v>41448.12379668541</v>
      </c>
      <c r="J51" s="21">
        <v>675784.33248747617</v>
      </c>
      <c r="K51" s="21">
        <v>539143.37313607533</v>
      </c>
      <c r="L51" s="21">
        <v>93359.905001641324</v>
      </c>
      <c r="M51" s="21">
        <v>203571.33646295284</v>
      </c>
      <c r="N51" s="21">
        <v>98458.429823991304</v>
      </c>
      <c r="O51" s="21">
        <v>47994.573827802291</v>
      </c>
      <c r="P51" s="21">
        <v>491242.76127960306</v>
      </c>
      <c r="Q51" s="21">
        <v>150020.62317185261</v>
      </c>
      <c r="R51" s="21">
        <v>190286.80051698789</v>
      </c>
      <c r="S51" s="21">
        <v>126460.39040944772</v>
      </c>
      <c r="T51" s="21">
        <v>-67005.567532313144</v>
      </c>
      <c r="U51" s="22">
        <v>3575633.7319005448</v>
      </c>
    </row>
    <row r="52" spans="1:21" x14ac:dyDescent="0.25">
      <c r="A52" s="95"/>
      <c r="B52" s="100"/>
      <c r="C52" s="16" t="s">
        <v>29</v>
      </c>
      <c r="D52" s="2">
        <v>461738.72722550755</v>
      </c>
      <c r="E52" s="2">
        <v>61044.000902971224</v>
      </c>
      <c r="F52" s="2">
        <v>568296.69081414025</v>
      </c>
      <c r="G52" s="2">
        <v>22032.62933150191</v>
      </c>
      <c r="H52" s="2">
        <v>192266.29896864743</v>
      </c>
      <c r="I52" s="2">
        <v>39618.68881789007</v>
      </c>
      <c r="J52" s="2">
        <v>575710.88669112651</v>
      </c>
      <c r="K52" s="2">
        <v>587564.06495845772</v>
      </c>
      <c r="L52" s="2">
        <v>92173.76701294622</v>
      </c>
      <c r="M52" s="2">
        <v>204595.13811254359</v>
      </c>
      <c r="N52" s="2">
        <v>95805.986527740388</v>
      </c>
      <c r="O52" s="2">
        <v>55044.040372498195</v>
      </c>
      <c r="P52" s="2">
        <v>495823.233456722</v>
      </c>
      <c r="Q52" s="2">
        <v>148240.23657532738</v>
      </c>
      <c r="R52" s="2">
        <v>213198.25444975455</v>
      </c>
      <c r="S52" s="2">
        <v>154831.31047359403</v>
      </c>
      <c r="T52" s="2">
        <v>-70239.410727280134</v>
      </c>
      <c r="U52" s="23">
        <v>3700280.1964468863</v>
      </c>
    </row>
    <row r="53" spans="1:21" x14ac:dyDescent="0.25">
      <c r="A53" s="95"/>
      <c r="B53" s="100"/>
      <c r="C53" s="16" t="s">
        <v>30</v>
      </c>
      <c r="D53" s="2">
        <v>458832.91449814127</v>
      </c>
      <c r="E53" s="2">
        <v>51164.650598566412</v>
      </c>
      <c r="F53" s="2">
        <v>614864.46379923145</v>
      </c>
      <c r="G53" s="2">
        <v>24094.655329618927</v>
      </c>
      <c r="H53" s="2">
        <v>205750.84552155586</v>
      </c>
      <c r="I53" s="2">
        <v>41464.949663288273</v>
      </c>
      <c r="J53" s="2">
        <v>598165.06083637394</v>
      </c>
      <c r="K53" s="2">
        <v>627901.2140155388</v>
      </c>
      <c r="L53" s="2">
        <v>97207.411875039295</v>
      </c>
      <c r="M53" s="2">
        <v>181398.7688966596</v>
      </c>
      <c r="N53" s="2">
        <v>98616.780720751121</v>
      </c>
      <c r="O53" s="2">
        <v>54569.267572162811</v>
      </c>
      <c r="P53" s="2">
        <v>498983.30553935858</v>
      </c>
      <c r="Q53" s="2">
        <v>147158.45465862626</v>
      </c>
      <c r="R53" s="2">
        <v>218571.31772689777</v>
      </c>
      <c r="S53" s="2">
        <v>149773.35529066974</v>
      </c>
      <c r="T53" s="2">
        <v>-35472.483811131948</v>
      </c>
      <c r="U53" s="23">
        <v>4003359.8736869451</v>
      </c>
    </row>
    <row r="54" spans="1:21" x14ac:dyDescent="0.25">
      <c r="A54" s="95"/>
      <c r="B54" s="101"/>
      <c r="C54" s="28" t="s">
        <v>31</v>
      </c>
      <c r="D54" s="20">
        <v>469013.04452671611</v>
      </c>
      <c r="E54" s="20">
        <v>53693.939021345781</v>
      </c>
      <c r="F54" s="20">
        <v>622084.22184517886</v>
      </c>
      <c r="G54" s="20">
        <v>21787.327833734147</v>
      </c>
      <c r="H54" s="20">
        <v>224108.57442946092</v>
      </c>
      <c r="I54" s="20">
        <v>43090.005655402209</v>
      </c>
      <c r="J54" s="20">
        <v>556513.0208051271</v>
      </c>
      <c r="K54" s="20">
        <v>675389.53340882075</v>
      </c>
      <c r="L54" s="20">
        <v>98998.371654887844</v>
      </c>
      <c r="M54" s="20">
        <v>210122.34337788797</v>
      </c>
      <c r="N54" s="20">
        <v>101110.49242492189</v>
      </c>
      <c r="O54" s="20">
        <v>95006.326895971186</v>
      </c>
      <c r="P54" s="20">
        <v>515198.52025875903</v>
      </c>
      <c r="Q54" s="20">
        <v>146748.63279744028</v>
      </c>
      <c r="R54" s="20">
        <v>206255.36726066412</v>
      </c>
      <c r="S54" s="20">
        <v>93327.893735640682</v>
      </c>
      <c r="T54" s="20">
        <v>-21693.888654266786</v>
      </c>
      <c r="U54" s="24">
        <v>4414907.8458590228</v>
      </c>
    </row>
    <row r="55" spans="1:21" x14ac:dyDescent="0.25">
      <c r="A55" s="95"/>
      <c r="B55" s="99">
        <v>2015</v>
      </c>
      <c r="C55" s="27" t="s">
        <v>28</v>
      </c>
      <c r="D55" s="21">
        <v>473793.35025723261</v>
      </c>
      <c r="E55" s="21">
        <v>75033.931194317149</v>
      </c>
      <c r="F55" s="21">
        <v>632239.20821737067</v>
      </c>
      <c r="G55" s="21">
        <v>20558.200798292641</v>
      </c>
      <c r="H55" s="21">
        <v>210275.95351289096</v>
      </c>
      <c r="I55" s="21">
        <v>44337.683895139766</v>
      </c>
      <c r="J55" s="21">
        <v>517362.42273330962</v>
      </c>
      <c r="K55" s="21">
        <v>573451.95797620108</v>
      </c>
      <c r="L55" s="21">
        <v>98153.725258699618</v>
      </c>
      <c r="M55" s="21">
        <v>215262.18846623611</v>
      </c>
      <c r="N55" s="21">
        <v>94916.816036001255</v>
      </c>
      <c r="O55" s="21">
        <v>70296.029766308071</v>
      </c>
      <c r="P55" s="21">
        <v>505002.57703185972</v>
      </c>
      <c r="Q55" s="21">
        <v>147337.6387557401</v>
      </c>
      <c r="R55" s="21">
        <v>195109.83895369829</v>
      </c>
      <c r="S55" s="21">
        <v>116210.95966157471</v>
      </c>
      <c r="T55" s="21">
        <v>-107128.76829981225</v>
      </c>
      <c r="U55" s="22">
        <v>3845820.5619035694</v>
      </c>
    </row>
    <row r="56" spans="1:21" x14ac:dyDescent="0.25">
      <c r="A56" s="95"/>
      <c r="B56" s="100"/>
      <c r="C56" s="16" t="s">
        <v>29</v>
      </c>
      <c r="D56" s="2">
        <v>471167.67104830197</v>
      </c>
      <c r="E56" s="2">
        <v>62125.67193734194</v>
      </c>
      <c r="F56" s="2">
        <v>653236.08796467108</v>
      </c>
      <c r="G56" s="2">
        <v>23326.825116989356</v>
      </c>
      <c r="H56" s="2">
        <v>211927.0559564807</v>
      </c>
      <c r="I56" s="2">
        <v>45660.438738033328</v>
      </c>
      <c r="J56" s="2">
        <v>557648.06441356521</v>
      </c>
      <c r="K56" s="2">
        <v>585450.84127097111</v>
      </c>
      <c r="L56" s="2">
        <v>103585.31689903072</v>
      </c>
      <c r="M56" s="2">
        <v>217404.84543714314</v>
      </c>
      <c r="N56" s="2">
        <v>96717.040439736898</v>
      </c>
      <c r="O56" s="2">
        <v>71289.413086041779</v>
      </c>
      <c r="P56" s="2">
        <v>513863.35720896721</v>
      </c>
      <c r="Q56" s="2">
        <v>148297.414419195</v>
      </c>
      <c r="R56" s="2">
        <v>188776.4462747669</v>
      </c>
      <c r="S56" s="2">
        <v>90112.298765677246</v>
      </c>
      <c r="T56" s="2">
        <v>-17622.191766818669</v>
      </c>
      <c r="U56" s="23">
        <v>4031881.4757116917</v>
      </c>
    </row>
    <row r="57" spans="1:21" x14ac:dyDescent="0.25">
      <c r="A57" s="95"/>
      <c r="B57" s="100"/>
      <c r="C57" s="16" t="s">
        <v>30</v>
      </c>
      <c r="D57" s="2">
        <v>464013.65138783387</v>
      </c>
      <c r="E57" s="2">
        <v>60649.909963072154</v>
      </c>
      <c r="F57" s="2">
        <v>664810.04115062079</v>
      </c>
      <c r="G57" s="2">
        <v>24103.20820281261</v>
      </c>
      <c r="H57" s="2">
        <v>203744.79231334219</v>
      </c>
      <c r="I57" s="2">
        <v>46063.360014632737</v>
      </c>
      <c r="J57" s="2">
        <v>576030.11834411987</v>
      </c>
      <c r="K57" s="2">
        <v>585906.36290838721</v>
      </c>
      <c r="L57" s="2">
        <v>94740.990685664874</v>
      </c>
      <c r="M57" s="2">
        <v>216413.5591331441</v>
      </c>
      <c r="N57" s="2">
        <v>97517.1420424229</v>
      </c>
      <c r="O57" s="2">
        <v>77887.838160900385</v>
      </c>
      <c r="P57" s="2">
        <v>455917.3043902783</v>
      </c>
      <c r="Q57" s="2">
        <v>149238.799450819</v>
      </c>
      <c r="R57" s="2">
        <v>186062.60682554226</v>
      </c>
      <c r="S57" s="2">
        <v>93713.366674254532</v>
      </c>
      <c r="T57" s="2">
        <v>-7351.3722219234151</v>
      </c>
      <c r="U57" s="23">
        <v>3969992.2493106518</v>
      </c>
    </row>
    <row r="58" spans="1:21" x14ac:dyDescent="0.25">
      <c r="A58" s="95"/>
      <c r="B58" s="101"/>
      <c r="C58" s="28" t="s">
        <v>31</v>
      </c>
      <c r="D58" s="20">
        <v>508194.46957438445</v>
      </c>
      <c r="E58" s="20">
        <v>61872.123902720094</v>
      </c>
      <c r="F58" s="20">
        <v>657707.59037303878</v>
      </c>
      <c r="G58" s="20">
        <v>25159.045131924464</v>
      </c>
      <c r="H58" s="20">
        <v>202530.58685581293</v>
      </c>
      <c r="I58" s="20">
        <v>46371.698520547216</v>
      </c>
      <c r="J58" s="20">
        <v>474914.33505202655</v>
      </c>
      <c r="K58" s="20">
        <v>607961.13110379805</v>
      </c>
      <c r="L58" s="20">
        <v>88026.600936995703</v>
      </c>
      <c r="M58" s="20">
        <v>214311.88423572818</v>
      </c>
      <c r="N58" s="20">
        <v>104066.0094348992</v>
      </c>
      <c r="O58" s="20">
        <v>76328.984047386708</v>
      </c>
      <c r="P58" s="20">
        <v>469101.98942309857</v>
      </c>
      <c r="Q58" s="20">
        <v>149880.50048444295</v>
      </c>
      <c r="R58" s="20">
        <v>183965.69604961755</v>
      </c>
      <c r="S58" s="20">
        <v>171020.6827052763</v>
      </c>
      <c r="T58" s="20">
        <v>-92295.559829955615</v>
      </c>
      <c r="U58" s="24">
        <v>3957274.1699515716</v>
      </c>
    </row>
    <row r="59" spans="1:21" x14ac:dyDescent="0.25">
      <c r="A59" s="95"/>
      <c r="B59" s="99">
        <v>2016</v>
      </c>
      <c r="C59" s="27" t="s">
        <v>28</v>
      </c>
      <c r="D59" s="21">
        <v>486141.59400752571</v>
      </c>
      <c r="E59" s="21">
        <v>58457.312564788139</v>
      </c>
      <c r="F59" s="21">
        <v>661157.74679763557</v>
      </c>
      <c r="G59" s="21">
        <v>22841.295903505863</v>
      </c>
      <c r="H59" s="21">
        <v>214494.49808008858</v>
      </c>
      <c r="I59" s="21">
        <v>48460.177818685152</v>
      </c>
      <c r="J59" s="21">
        <v>626967.60622308182</v>
      </c>
      <c r="K59" s="21">
        <v>589753.12549251888</v>
      </c>
      <c r="L59" s="21">
        <v>101625.4312569444</v>
      </c>
      <c r="M59" s="21">
        <v>220825.78071009769</v>
      </c>
      <c r="N59" s="21">
        <v>96799.412202004081</v>
      </c>
      <c r="O59" s="21">
        <v>72693.925310405903</v>
      </c>
      <c r="P59" s="21">
        <v>440490.36140523187</v>
      </c>
      <c r="Q59" s="21">
        <v>150702.83599831574</v>
      </c>
      <c r="R59" s="21">
        <v>197892.97055364659</v>
      </c>
      <c r="S59" s="21">
        <v>103634.97677033824</v>
      </c>
      <c r="T59" s="21">
        <v>-5367.75698315111</v>
      </c>
      <c r="U59" s="22">
        <v>4057548.6831070776</v>
      </c>
    </row>
    <row r="60" spans="1:21" x14ac:dyDescent="0.25">
      <c r="A60" s="95"/>
      <c r="B60" s="100"/>
      <c r="C60" s="16" t="s">
        <v>29</v>
      </c>
      <c r="D60" s="2">
        <v>485830.40066376259</v>
      </c>
      <c r="E60" s="2">
        <v>63162.514951288482</v>
      </c>
      <c r="F60" s="2">
        <v>645097.91973257205</v>
      </c>
      <c r="G60" s="2">
        <v>21147.004325034439</v>
      </c>
      <c r="H60" s="2">
        <v>219616.83443542037</v>
      </c>
      <c r="I60" s="2">
        <v>49670.684988887748</v>
      </c>
      <c r="J60" s="2">
        <v>624384.62924912514</v>
      </c>
      <c r="K60" s="2">
        <v>565470.53541042586</v>
      </c>
      <c r="L60" s="2">
        <v>84917.001699803412</v>
      </c>
      <c r="M60" s="2">
        <v>223844.8530580503</v>
      </c>
      <c r="N60" s="2">
        <v>94057.091345418288</v>
      </c>
      <c r="O60" s="2">
        <v>72502.036143011472</v>
      </c>
      <c r="P60" s="2">
        <v>416662.18143397622</v>
      </c>
      <c r="Q60" s="2">
        <v>152947.37305628034</v>
      </c>
      <c r="R60" s="2">
        <v>203160.4043112403</v>
      </c>
      <c r="S60" s="2">
        <v>112443.76126538002</v>
      </c>
      <c r="T60" s="2">
        <v>-19461.667356535578</v>
      </c>
      <c r="U60" s="23">
        <v>4010515.8364322251</v>
      </c>
    </row>
    <row r="61" spans="1:21" x14ac:dyDescent="0.25">
      <c r="A61" s="95"/>
      <c r="B61" s="100"/>
      <c r="C61" s="16" t="s">
        <v>30</v>
      </c>
      <c r="D61" s="2">
        <v>482744.92102036328</v>
      </c>
      <c r="E61" s="2">
        <v>75415.186833556611</v>
      </c>
      <c r="F61" s="2">
        <v>641846.57340793032</v>
      </c>
      <c r="G61" s="2">
        <v>25461.120434547411</v>
      </c>
      <c r="H61" s="2">
        <v>221224.53680019974</v>
      </c>
      <c r="I61" s="2">
        <v>50358.477701249714</v>
      </c>
      <c r="J61" s="2">
        <v>477413.35595952353</v>
      </c>
      <c r="K61" s="2">
        <v>548301.13049768959</v>
      </c>
      <c r="L61" s="2">
        <v>97967.46870154675</v>
      </c>
      <c r="M61" s="2">
        <v>232537.08070937049</v>
      </c>
      <c r="N61" s="2">
        <v>90802.02084596135</v>
      </c>
      <c r="O61" s="2">
        <v>75028.375838946158</v>
      </c>
      <c r="P61" s="2">
        <v>396888.17902991769</v>
      </c>
      <c r="Q61" s="2">
        <v>154271.46068234081</v>
      </c>
      <c r="R61" s="2">
        <v>207987.62263330581</v>
      </c>
      <c r="S61" s="2">
        <v>118010.81862433635</v>
      </c>
      <c r="T61" s="2">
        <v>-16614.463048180842</v>
      </c>
      <c r="U61" s="23">
        <v>3853304.9282026696</v>
      </c>
    </row>
    <row r="62" spans="1:21" x14ac:dyDescent="0.25">
      <c r="A62" s="95"/>
      <c r="B62" s="101"/>
      <c r="C62" s="28" t="s">
        <v>31</v>
      </c>
      <c r="D62" s="20">
        <v>468326.47123127803</v>
      </c>
      <c r="E62" s="20">
        <v>83041.369194606334</v>
      </c>
      <c r="F62" s="20">
        <v>593496.43757776218</v>
      </c>
      <c r="G62" s="20">
        <v>23723.93978695339</v>
      </c>
      <c r="H62" s="20">
        <v>214843.05337854737</v>
      </c>
      <c r="I62" s="20">
        <v>50759.350771633333</v>
      </c>
      <c r="J62" s="20">
        <v>486624.51173958083</v>
      </c>
      <c r="K62" s="20">
        <v>526204.9859720011</v>
      </c>
      <c r="L62" s="20">
        <v>103217.49938813821</v>
      </c>
      <c r="M62" s="20">
        <v>216646.43464267414</v>
      </c>
      <c r="N62" s="20">
        <v>92590.682535596294</v>
      </c>
      <c r="O62" s="20">
        <v>81213.924375223331</v>
      </c>
      <c r="P62" s="20">
        <v>387146.11104295444</v>
      </c>
      <c r="Q62" s="20">
        <v>154668.07426070349</v>
      </c>
      <c r="R62" s="20">
        <v>222316.50470875841</v>
      </c>
      <c r="S62" s="20">
        <v>144402.87346857748</v>
      </c>
      <c r="T62" s="20">
        <v>-17415.202823927037</v>
      </c>
      <c r="U62" s="24">
        <v>3835246.1167819561</v>
      </c>
    </row>
    <row r="63" spans="1:21" x14ac:dyDescent="0.25">
      <c r="A63" s="95"/>
      <c r="B63" s="99">
        <v>2017</v>
      </c>
      <c r="C63" s="27" t="s">
        <v>28</v>
      </c>
      <c r="D63" s="21">
        <v>474976.40230978967</v>
      </c>
      <c r="E63" s="21">
        <v>65509.970769808649</v>
      </c>
      <c r="F63" s="21">
        <v>580987.18452078616</v>
      </c>
      <c r="G63" s="21">
        <v>23150.738816908713</v>
      </c>
      <c r="H63" s="21">
        <v>224234.59231012393</v>
      </c>
      <c r="I63" s="21">
        <v>48182.95929562729</v>
      </c>
      <c r="J63" s="21">
        <v>519813.39591014769</v>
      </c>
      <c r="K63" s="21">
        <v>551371.61675179971</v>
      </c>
      <c r="L63" s="21">
        <v>96616.828779810457</v>
      </c>
      <c r="M63" s="21">
        <v>219174.28726517045</v>
      </c>
      <c r="N63" s="21">
        <v>97084.003552016467</v>
      </c>
      <c r="O63" s="21">
        <v>64396.270919066759</v>
      </c>
      <c r="P63" s="21">
        <v>397963.25656398851</v>
      </c>
      <c r="Q63" s="21">
        <v>155261.76609091627</v>
      </c>
      <c r="R63" s="21">
        <v>226388.07220449299</v>
      </c>
      <c r="S63" s="21">
        <v>116964.96735588439</v>
      </c>
      <c r="T63" s="21">
        <v>-2878.1972261817609</v>
      </c>
      <c r="U63" s="22">
        <v>3871382.3919391511</v>
      </c>
    </row>
    <row r="64" spans="1:21" x14ac:dyDescent="0.25">
      <c r="A64" s="95"/>
      <c r="B64" s="100"/>
      <c r="C64" s="16" t="s">
        <v>29</v>
      </c>
      <c r="D64" s="2">
        <v>488199.38681040402</v>
      </c>
      <c r="E64" s="2">
        <v>71138.947618868609</v>
      </c>
      <c r="F64" s="2">
        <v>579221.18298935145</v>
      </c>
      <c r="G64" s="2">
        <v>23487.876705073235</v>
      </c>
      <c r="H64" s="2">
        <v>221755.79963452936</v>
      </c>
      <c r="I64" s="2">
        <v>46174.875586872826</v>
      </c>
      <c r="J64" s="2">
        <v>585496.22452901513</v>
      </c>
      <c r="K64" s="2">
        <v>575138.96193744079</v>
      </c>
      <c r="L64" s="2">
        <v>95501.488739749984</v>
      </c>
      <c r="M64" s="2">
        <v>231855.41493356356</v>
      </c>
      <c r="N64" s="2">
        <v>93719.743661469518</v>
      </c>
      <c r="O64" s="2">
        <v>65805.003400876056</v>
      </c>
      <c r="P64" s="2">
        <v>416501.09840904287</v>
      </c>
      <c r="Q64" s="2">
        <v>159260.03887257053</v>
      </c>
      <c r="R64" s="2">
        <v>229289.19953349963</v>
      </c>
      <c r="S64" s="2">
        <v>136222.0775112354</v>
      </c>
      <c r="T64" s="2">
        <v>-12749.409495373935</v>
      </c>
      <c r="U64" s="23">
        <v>3979262.2365297698</v>
      </c>
    </row>
    <row r="65" spans="1:21" x14ac:dyDescent="0.25">
      <c r="A65" s="95"/>
      <c r="B65" s="100"/>
      <c r="C65" s="16" t="s">
        <v>30</v>
      </c>
      <c r="D65" s="2">
        <v>486534.03918907844</v>
      </c>
      <c r="E65" s="2">
        <v>75142.470594042839</v>
      </c>
      <c r="F65" s="2">
        <v>596132.27763936471</v>
      </c>
      <c r="G65" s="2">
        <v>20273.974150616221</v>
      </c>
      <c r="H65" s="2">
        <v>224357.96839203185</v>
      </c>
      <c r="I65" s="2">
        <v>51696.509716497312</v>
      </c>
      <c r="J65" s="2">
        <v>594249.18353938207</v>
      </c>
      <c r="K65" s="2">
        <v>561963.40740531497</v>
      </c>
      <c r="L65" s="2">
        <v>96938.723814613666</v>
      </c>
      <c r="M65" s="2">
        <v>248741.03949352755</v>
      </c>
      <c r="N65" s="2">
        <v>91620.815774899864</v>
      </c>
      <c r="O65" s="2">
        <v>70799.662023065888</v>
      </c>
      <c r="P65" s="2">
        <v>407460.55381793343</v>
      </c>
      <c r="Q65" s="2">
        <v>159620.77262427195</v>
      </c>
      <c r="R65" s="2">
        <v>226953.12175825934</v>
      </c>
      <c r="S65" s="2">
        <v>117071.11122363903</v>
      </c>
      <c r="T65" s="2">
        <v>-13907.08892428266</v>
      </c>
      <c r="U65" s="23">
        <v>4015837.8978115176</v>
      </c>
    </row>
    <row r="66" spans="1:21" x14ac:dyDescent="0.25">
      <c r="A66" s="95"/>
      <c r="B66" s="101"/>
      <c r="C66" s="28" t="s">
        <v>31</v>
      </c>
      <c r="D66" s="20">
        <v>482190.51051701646</v>
      </c>
      <c r="E66" s="20">
        <v>66608.579674012493</v>
      </c>
      <c r="F66" s="20">
        <v>566814.84093496844</v>
      </c>
      <c r="G66" s="20">
        <v>25534.351127077851</v>
      </c>
      <c r="H66" s="20">
        <v>212608.75513301531</v>
      </c>
      <c r="I66" s="20">
        <v>49932.746494561237</v>
      </c>
      <c r="J66" s="20">
        <v>523113.41995669692</v>
      </c>
      <c r="K66" s="20">
        <v>541107.02125484031</v>
      </c>
      <c r="L66" s="20">
        <v>96204.712949346271</v>
      </c>
      <c r="M66" s="20">
        <v>215896.9656190392</v>
      </c>
      <c r="N66" s="20">
        <v>95083.261593642877</v>
      </c>
      <c r="O66" s="20">
        <v>68222.292583336763</v>
      </c>
      <c r="P66" s="20">
        <v>415943.48392400239</v>
      </c>
      <c r="Q66" s="20">
        <v>156847.57559274862</v>
      </c>
      <c r="R66" s="20">
        <v>228590.42204023153</v>
      </c>
      <c r="S66" s="20">
        <v>106052.29986965137</v>
      </c>
      <c r="T66" s="20">
        <v>-6364.2683929997484</v>
      </c>
      <c r="U66" s="24">
        <v>3863919.0668282127</v>
      </c>
    </row>
    <row r="67" spans="1:21" x14ac:dyDescent="0.25">
      <c r="A67" s="95"/>
      <c r="B67" s="99">
        <v>2018</v>
      </c>
      <c r="C67" s="27" t="s">
        <v>28</v>
      </c>
      <c r="D67" s="21">
        <v>486544.9173280276</v>
      </c>
      <c r="E67" s="21">
        <v>64945.848086171471</v>
      </c>
      <c r="F67" s="21">
        <v>541517.9431768416</v>
      </c>
      <c r="G67" s="21">
        <v>22435.2451846566</v>
      </c>
      <c r="H67" s="21">
        <v>226811.48755416129</v>
      </c>
      <c r="I67" s="21">
        <v>50816.103683694724</v>
      </c>
      <c r="J67" s="21">
        <v>379419.50339495658</v>
      </c>
      <c r="K67" s="21">
        <v>557440.55482204841</v>
      </c>
      <c r="L67" s="21">
        <v>96125.53634289316</v>
      </c>
      <c r="M67" s="21">
        <v>221302.11890592301</v>
      </c>
      <c r="N67" s="21">
        <v>95883.153739344532</v>
      </c>
      <c r="O67" s="21">
        <v>75983.36917888686</v>
      </c>
      <c r="P67" s="21">
        <v>418318.56881599012</v>
      </c>
      <c r="Q67" s="21">
        <v>154506.98111087721</v>
      </c>
      <c r="R67" s="21">
        <v>234651.01142389496</v>
      </c>
      <c r="S67" s="21">
        <v>126578.35642128797</v>
      </c>
      <c r="T67" s="21">
        <v>-0.58635468413635672</v>
      </c>
      <c r="U67" s="22">
        <v>3822150.2735316493</v>
      </c>
    </row>
    <row r="68" spans="1:21" x14ac:dyDescent="0.25">
      <c r="A68" s="95"/>
      <c r="B68" s="100"/>
      <c r="C68" s="16" t="s">
        <v>29</v>
      </c>
      <c r="D68" s="2">
        <v>479467.64236544434</v>
      </c>
      <c r="E68" s="2">
        <v>72525.59907582459</v>
      </c>
      <c r="F68" s="2">
        <v>535391.27484390594</v>
      </c>
      <c r="G68" s="2">
        <v>22824.749840008488</v>
      </c>
      <c r="H68" s="2">
        <v>220098.97396285678</v>
      </c>
      <c r="I68" s="2">
        <v>51350.515369994784</v>
      </c>
      <c r="J68" s="2">
        <v>587100.23052006122</v>
      </c>
      <c r="K68" s="2">
        <v>555159.02525963949</v>
      </c>
      <c r="L68" s="2">
        <v>96263.610574273145</v>
      </c>
      <c r="M68" s="2">
        <v>246045.7119845151</v>
      </c>
      <c r="N68" s="2">
        <v>96952.691266587732</v>
      </c>
      <c r="O68" s="2">
        <v>75816.388457227964</v>
      </c>
      <c r="P68" s="2">
        <v>411522.25759527076</v>
      </c>
      <c r="Q68" s="2">
        <v>161838.15889496045</v>
      </c>
      <c r="R68" s="2">
        <v>216688.74710038045</v>
      </c>
      <c r="S68" s="2">
        <v>123024.5245500633</v>
      </c>
      <c r="T68" s="2">
        <v>-4934.5195219507659</v>
      </c>
      <c r="U68" s="23">
        <v>3891715.5019520056</v>
      </c>
    </row>
    <row r="69" spans="1:21" x14ac:dyDescent="0.25">
      <c r="A69" s="95"/>
      <c r="B69" s="100"/>
      <c r="C69" s="16" t="s">
        <v>30</v>
      </c>
      <c r="D69" s="2">
        <v>476791.50622750644</v>
      </c>
      <c r="E69" s="2">
        <v>66640.589901892105</v>
      </c>
      <c r="F69" s="2">
        <v>523398.40678172262</v>
      </c>
      <c r="G69" s="2">
        <v>17625.777017569897</v>
      </c>
      <c r="H69" s="2">
        <v>220341.91665149038</v>
      </c>
      <c r="I69" s="2">
        <v>50077.993517928066</v>
      </c>
      <c r="J69" s="2">
        <v>588304.04586662562</v>
      </c>
      <c r="K69" s="2">
        <v>549777.12263950205</v>
      </c>
      <c r="L69" s="2">
        <v>97322.0746393593</v>
      </c>
      <c r="M69" s="2">
        <v>248843.51990324265</v>
      </c>
      <c r="N69" s="2">
        <v>97040.140371639762</v>
      </c>
      <c r="O69" s="2">
        <v>80805.984679267334</v>
      </c>
      <c r="P69" s="2">
        <v>419014.44850435964</v>
      </c>
      <c r="Q69" s="2">
        <v>160890.86351471543</v>
      </c>
      <c r="R69" s="2">
        <v>232056.21420881178</v>
      </c>
      <c r="S69" s="2">
        <v>122562.23038978961</v>
      </c>
      <c r="T69" s="2">
        <v>-2494.2897353824674</v>
      </c>
      <c r="U69" s="23">
        <v>3950060.6877616122</v>
      </c>
    </row>
    <row r="70" spans="1:21" x14ac:dyDescent="0.25">
      <c r="A70" s="95"/>
      <c r="B70" s="101"/>
      <c r="C70" s="28" t="s">
        <v>31</v>
      </c>
      <c r="D70" s="20">
        <v>481660.56391259085</v>
      </c>
      <c r="E70" s="20">
        <v>64882.638987481165</v>
      </c>
      <c r="F70" s="20">
        <v>509361.38353330997</v>
      </c>
      <c r="G70" s="20">
        <v>26707.348879059286</v>
      </c>
      <c r="H70" s="20">
        <v>225744.55638101741</v>
      </c>
      <c r="I70" s="20">
        <v>49802.953845152959</v>
      </c>
      <c r="J70" s="20">
        <v>619859.05964241154</v>
      </c>
      <c r="K70" s="20">
        <v>553423.83027881198</v>
      </c>
      <c r="L70" s="20">
        <v>96663.452930727479</v>
      </c>
      <c r="M70" s="20">
        <v>195117.44165501467</v>
      </c>
      <c r="N70" s="20">
        <v>86780.661233651306</v>
      </c>
      <c r="O70" s="20">
        <v>113711.25075237805</v>
      </c>
      <c r="P70" s="20">
        <v>422247.96318952122</v>
      </c>
      <c r="Q70" s="20">
        <v>155723.34117763166</v>
      </c>
      <c r="R70" s="20">
        <v>231463.63713487188</v>
      </c>
      <c r="S70" s="20">
        <v>129873.37391561484</v>
      </c>
      <c r="T70" s="20">
        <v>-18309.153335068182</v>
      </c>
      <c r="U70" s="24">
        <v>3981683.6489356663</v>
      </c>
    </row>
    <row r="71" spans="1:21" x14ac:dyDescent="0.25">
      <c r="A71" s="95"/>
      <c r="B71" s="99">
        <v>2019</v>
      </c>
      <c r="C71" s="27" t="s">
        <v>28</v>
      </c>
      <c r="D71" s="21">
        <v>500610.17534800997</v>
      </c>
      <c r="E71" s="21">
        <v>65107.597368146649</v>
      </c>
      <c r="F71" s="21">
        <v>500757.82740042591</v>
      </c>
      <c r="G71" s="21">
        <v>23253.300020817183</v>
      </c>
      <c r="H71" s="21">
        <v>205538.54058376059</v>
      </c>
      <c r="I71" s="21">
        <v>51357.746775410735</v>
      </c>
      <c r="J71" s="21">
        <v>615509.85350349382</v>
      </c>
      <c r="K71" s="21">
        <v>570380.54181011335</v>
      </c>
      <c r="L71" s="21">
        <v>93930.375478234753</v>
      </c>
      <c r="M71" s="21">
        <v>212029.15348631769</v>
      </c>
      <c r="N71" s="21">
        <v>97039.269647331006</v>
      </c>
      <c r="O71" s="21">
        <v>71243.454080211421</v>
      </c>
      <c r="P71" s="21">
        <v>419900.01313410408</v>
      </c>
      <c r="Q71" s="21">
        <v>154389.49735822165</v>
      </c>
      <c r="R71" s="21">
        <v>222230.65348493433</v>
      </c>
      <c r="S71" s="21">
        <v>76405.949059684353</v>
      </c>
      <c r="T71" s="21">
        <v>-0.48298384923668208</v>
      </c>
      <c r="U71" s="22">
        <v>3907897.3480329476</v>
      </c>
    </row>
    <row r="72" spans="1:21" x14ac:dyDescent="0.25">
      <c r="A72" s="95"/>
      <c r="B72" s="100"/>
      <c r="C72" s="16" t="s">
        <v>29</v>
      </c>
      <c r="D72" s="2">
        <v>487711.28554286889</v>
      </c>
      <c r="E72" s="2">
        <v>57739.447397258969</v>
      </c>
      <c r="F72" s="2">
        <v>500372.98464564024</v>
      </c>
      <c r="G72" s="2">
        <v>22444.957179001547</v>
      </c>
      <c r="H72" s="2">
        <v>228222.8993395156</v>
      </c>
      <c r="I72" s="2">
        <v>51610.204896145951</v>
      </c>
      <c r="J72" s="2">
        <v>560949.28928186733</v>
      </c>
      <c r="K72" s="2">
        <v>582788.23813203035</v>
      </c>
      <c r="L72" s="2">
        <v>93326.014619630296</v>
      </c>
      <c r="M72" s="2">
        <v>255211.61818365328</v>
      </c>
      <c r="N72" s="2">
        <v>93461.572792676612</v>
      </c>
      <c r="O72" s="2">
        <v>63466.001649459635</v>
      </c>
      <c r="P72" s="2">
        <v>425390.83186876</v>
      </c>
      <c r="Q72" s="2">
        <v>169121.32028180145</v>
      </c>
      <c r="R72" s="2">
        <v>241051.74968589615</v>
      </c>
      <c r="S72" s="2">
        <v>74104.106651831244</v>
      </c>
      <c r="T72" s="2">
        <v>-7418.9851927905847</v>
      </c>
      <c r="U72" s="23">
        <v>3811824.8486368377</v>
      </c>
    </row>
    <row r="73" spans="1:21" x14ac:dyDescent="0.25">
      <c r="A73" s="95"/>
      <c r="B73" s="100"/>
      <c r="C73" s="16" t="s">
        <v>30</v>
      </c>
      <c r="D73" s="2">
        <v>482979.8179678843</v>
      </c>
      <c r="E73" s="2">
        <v>53385.262316893888</v>
      </c>
      <c r="F73" s="2">
        <v>482147.93827585626</v>
      </c>
      <c r="G73" s="2">
        <v>25295.411206018733</v>
      </c>
      <c r="H73" s="2">
        <v>212025.6272033123</v>
      </c>
      <c r="I73" s="2">
        <v>52847.194093995051</v>
      </c>
      <c r="J73" s="2">
        <v>595573.4173588783</v>
      </c>
      <c r="K73" s="2">
        <v>568518.84883833933</v>
      </c>
      <c r="L73" s="2">
        <v>100761.7970539402</v>
      </c>
      <c r="M73" s="2">
        <v>267603.47903359617</v>
      </c>
      <c r="N73" s="2">
        <v>93190.36260668184</v>
      </c>
      <c r="O73" s="2">
        <v>57356.580182781465</v>
      </c>
      <c r="P73" s="2">
        <v>436379.71957251942</v>
      </c>
      <c r="Q73" s="2">
        <v>167032.76974392179</v>
      </c>
      <c r="R73" s="2">
        <v>247933.61585428493</v>
      </c>
      <c r="S73" s="2">
        <v>77453.227895784614</v>
      </c>
      <c r="T73" s="2">
        <v>-7547.0765894022679</v>
      </c>
      <c r="U73" s="23">
        <v>3870067.3926225901</v>
      </c>
    </row>
    <row r="74" spans="1:21" x14ac:dyDescent="0.25">
      <c r="A74" s="95"/>
      <c r="B74" s="101"/>
      <c r="C74" s="28" t="s">
        <v>31</v>
      </c>
      <c r="D74" s="20">
        <v>459629.34109290887</v>
      </c>
      <c r="E74" s="20">
        <v>53096.249877260932</v>
      </c>
      <c r="F74" s="20">
        <v>474576.49179846502</v>
      </c>
      <c r="G74" s="20">
        <v>22697.543395592198</v>
      </c>
      <c r="H74" s="20">
        <v>221444.89132409223</v>
      </c>
      <c r="I74" s="20">
        <v>55334.678296364538</v>
      </c>
      <c r="J74" s="20">
        <v>548048.77901648392</v>
      </c>
      <c r="K74" s="20">
        <v>533119.07930655021</v>
      </c>
      <c r="L74" s="20">
        <v>101512.80537223513</v>
      </c>
      <c r="M74" s="20">
        <v>239230.5584073776</v>
      </c>
      <c r="N74" s="20">
        <v>86444.562435522617</v>
      </c>
      <c r="O74" s="20">
        <v>128879.41539729037</v>
      </c>
      <c r="P74" s="20">
        <v>431490.32989118178</v>
      </c>
      <c r="Q74" s="20">
        <v>158007.84323371615</v>
      </c>
      <c r="R74" s="20">
        <v>254922.37833658</v>
      </c>
      <c r="S74" s="20">
        <v>134943.05098795533</v>
      </c>
      <c r="T74" s="20">
        <v>-993.17786962960236</v>
      </c>
      <c r="U74" s="24">
        <v>3893873.6155207157</v>
      </c>
    </row>
    <row r="75" spans="1:21" x14ac:dyDescent="0.25">
      <c r="A75" s="95"/>
      <c r="B75" s="99">
        <v>2020</v>
      </c>
      <c r="C75" s="27" t="s">
        <v>28</v>
      </c>
      <c r="D75" s="21">
        <v>554267.48910791625</v>
      </c>
      <c r="E75" s="21">
        <v>59617.238177971725</v>
      </c>
      <c r="F75" s="21">
        <v>494620.79843438225</v>
      </c>
      <c r="G75" s="21">
        <v>21909.501499128302</v>
      </c>
      <c r="H75" s="21">
        <v>224711.4456429781</v>
      </c>
      <c r="I75" s="21">
        <v>54384.241504617552</v>
      </c>
      <c r="J75" s="21">
        <v>502417.71689046628</v>
      </c>
      <c r="K75" s="21">
        <v>597703.50480300921</v>
      </c>
      <c r="L75" s="21">
        <v>88841.402602407878</v>
      </c>
      <c r="M75" s="21">
        <v>193262.5796042837</v>
      </c>
      <c r="N75" s="21">
        <v>87084.632959316456</v>
      </c>
      <c r="O75" s="21">
        <v>122407.64099948954</v>
      </c>
      <c r="P75" s="21">
        <v>412139.81195179588</v>
      </c>
      <c r="Q75" s="21">
        <v>156559.59645198088</v>
      </c>
      <c r="R75" s="21">
        <v>277330.81833779044</v>
      </c>
      <c r="S75" s="21">
        <v>136492.48179393943</v>
      </c>
      <c r="T75" s="21">
        <v>-73611.135409633425</v>
      </c>
      <c r="U75" s="22">
        <v>3970287.6028923802</v>
      </c>
    </row>
    <row r="76" spans="1:21" x14ac:dyDescent="0.25">
      <c r="A76" s="95"/>
      <c r="B76" s="100"/>
      <c r="C76" s="16" t="s">
        <v>29</v>
      </c>
      <c r="D76" s="2">
        <v>479389.91308075318</v>
      </c>
      <c r="E76" s="2">
        <v>47462.180111288188</v>
      </c>
      <c r="F76" s="2">
        <v>455100.77269670507</v>
      </c>
      <c r="G76" s="2">
        <v>18684.398188990683</v>
      </c>
      <c r="H76" s="2">
        <v>220532.96280920019</v>
      </c>
      <c r="I76" s="2">
        <v>54448.890895846969</v>
      </c>
      <c r="J76" s="2">
        <v>436963.29247458023</v>
      </c>
      <c r="K76" s="2">
        <v>515191.25256531691</v>
      </c>
      <c r="L76" s="2">
        <v>94731.387859049777</v>
      </c>
      <c r="M76" s="2">
        <v>94888.813606958138</v>
      </c>
      <c r="N76" s="2">
        <v>82509.898917886851</v>
      </c>
      <c r="O76" s="2">
        <v>79414.277484675491</v>
      </c>
      <c r="P76" s="2">
        <v>400823.66644963896</v>
      </c>
      <c r="Q76" s="2">
        <v>144974.8593721994</v>
      </c>
      <c r="R76" s="2">
        <v>199216.52342320365</v>
      </c>
      <c r="S76" s="2">
        <v>129698.10311631199</v>
      </c>
      <c r="T76" s="2">
        <v>-28803.973180822926</v>
      </c>
      <c r="U76" s="23">
        <v>3390939.3283240707</v>
      </c>
    </row>
    <row r="77" spans="1:21" x14ac:dyDescent="0.25">
      <c r="A77" s="95"/>
      <c r="B77" s="100"/>
      <c r="C77" s="16" t="s">
        <v>30</v>
      </c>
      <c r="D77" s="2">
        <v>517690.5019235831</v>
      </c>
      <c r="E77" s="2">
        <v>49050.303118873926</v>
      </c>
      <c r="F77" s="2">
        <v>454560.76413929503</v>
      </c>
      <c r="G77" s="2">
        <v>19111.78563736767</v>
      </c>
      <c r="H77" s="2">
        <v>224916.8935801879</v>
      </c>
      <c r="I77" s="2">
        <v>54516.53499936781</v>
      </c>
      <c r="J77" s="2">
        <v>422771.38575356232</v>
      </c>
      <c r="K77" s="2">
        <v>589933.70422561432</v>
      </c>
      <c r="L77" s="2">
        <v>104812.03934728476</v>
      </c>
      <c r="M77" s="2">
        <v>105392.25643005068</v>
      </c>
      <c r="N77" s="2">
        <v>80164.800084453818</v>
      </c>
      <c r="O77" s="2">
        <v>54241.929970293379</v>
      </c>
      <c r="P77" s="2">
        <v>407650.67330364889</v>
      </c>
      <c r="Q77" s="2">
        <v>156231.01938304026</v>
      </c>
      <c r="R77" s="2">
        <v>261836.62237944835</v>
      </c>
      <c r="S77" s="2">
        <v>145696.93184933503</v>
      </c>
      <c r="T77" s="2">
        <v>-51937.888770859412</v>
      </c>
      <c r="U77" s="23">
        <v>3647553.8806249485</v>
      </c>
    </row>
    <row r="78" spans="1:21" x14ac:dyDescent="0.25">
      <c r="A78" s="95"/>
      <c r="B78" s="101"/>
      <c r="C78" s="28" t="s">
        <v>31</v>
      </c>
      <c r="D78" s="20">
        <v>522826.90331967454</v>
      </c>
      <c r="E78" s="20">
        <v>58327.358862369976</v>
      </c>
      <c r="F78" s="20">
        <v>421810.69190523541</v>
      </c>
      <c r="G78" s="20">
        <v>23671.179899587773</v>
      </c>
      <c r="H78" s="20">
        <v>239903.34169932918</v>
      </c>
      <c r="I78" s="20">
        <v>53998.299842759159</v>
      </c>
      <c r="J78" s="20">
        <v>388564.56700183073</v>
      </c>
      <c r="K78" s="20">
        <v>618643.5218155121</v>
      </c>
      <c r="L78" s="20">
        <v>101474.06181204259</v>
      </c>
      <c r="M78" s="20">
        <v>200534.64541346196</v>
      </c>
      <c r="N78" s="20">
        <v>84577.845547276971</v>
      </c>
      <c r="O78" s="20">
        <v>49102.426354049428</v>
      </c>
      <c r="P78" s="20">
        <v>406670.09127739613</v>
      </c>
      <c r="Q78" s="20">
        <v>160154.80514691616</v>
      </c>
      <c r="R78" s="20">
        <v>253812.80398031973</v>
      </c>
      <c r="S78" s="20">
        <v>150291.31822291747</v>
      </c>
      <c r="T78" s="20">
        <v>-60981.714988023537</v>
      </c>
      <c r="U78" s="24">
        <v>3665795.0085218456</v>
      </c>
    </row>
    <row r="79" spans="1:21" x14ac:dyDescent="0.25">
      <c r="A79" s="95"/>
      <c r="B79" s="99">
        <v>2021</v>
      </c>
      <c r="C79" s="27" t="s">
        <v>28</v>
      </c>
      <c r="D79" s="21">
        <v>525205.44583215355</v>
      </c>
      <c r="E79" s="21">
        <v>79736.864313903119</v>
      </c>
      <c r="F79" s="21">
        <v>399743.51864040294</v>
      </c>
      <c r="G79" s="21">
        <v>27880.218406344455</v>
      </c>
      <c r="H79" s="21">
        <v>228586.79648102628</v>
      </c>
      <c r="I79" s="21">
        <v>54699.554616996269</v>
      </c>
      <c r="J79" s="21">
        <v>373711.04486904747</v>
      </c>
      <c r="K79" s="21">
        <v>601987.23005952768</v>
      </c>
      <c r="L79" s="21">
        <v>83510.788324914305</v>
      </c>
      <c r="M79" s="21">
        <v>162726.92426518767</v>
      </c>
      <c r="N79" s="21">
        <v>84964.698175111218</v>
      </c>
      <c r="O79" s="21">
        <v>59127.418738810615</v>
      </c>
      <c r="P79" s="21">
        <v>420709.75200400798</v>
      </c>
      <c r="Q79" s="21">
        <v>159362.48296402756</v>
      </c>
      <c r="R79" s="21">
        <v>272283.69772225374</v>
      </c>
      <c r="S79" s="21">
        <v>129374.97379913731</v>
      </c>
      <c r="T79" s="21">
        <v>-74003.380031088396</v>
      </c>
      <c r="U79" s="22">
        <v>3682052.9395022797</v>
      </c>
    </row>
    <row r="80" spans="1:21" x14ac:dyDescent="0.25">
      <c r="A80" s="95"/>
      <c r="B80" s="100"/>
      <c r="C80" s="16" t="s">
        <v>29</v>
      </c>
      <c r="D80" s="2">
        <v>506771.12197185186</v>
      </c>
      <c r="E80" s="2">
        <v>75786.981698575546</v>
      </c>
      <c r="F80" s="2">
        <v>399221.81345542253</v>
      </c>
      <c r="G80" s="2">
        <v>16858.979529892382</v>
      </c>
      <c r="H80" s="2">
        <v>233940.79980315579</v>
      </c>
      <c r="I80" s="2">
        <v>55610.865322229503</v>
      </c>
      <c r="J80" s="2">
        <v>306663.46289126226</v>
      </c>
      <c r="K80" s="2">
        <v>569160.22923680174</v>
      </c>
      <c r="L80" s="2">
        <v>79167.853329332385</v>
      </c>
      <c r="M80" s="2">
        <v>155763.62726032239</v>
      </c>
      <c r="N80" s="2">
        <v>86509.244715239853</v>
      </c>
      <c r="O80" s="2">
        <v>65574.530071380577</v>
      </c>
      <c r="P80" s="2">
        <v>420881.23546312813</v>
      </c>
      <c r="Q80" s="2">
        <v>152848.82757647036</v>
      </c>
      <c r="R80" s="2">
        <v>265063.75885536789</v>
      </c>
      <c r="S80" s="2">
        <v>130435.41917074578</v>
      </c>
      <c r="T80" s="2">
        <v>-85989.384054123817</v>
      </c>
      <c r="U80" s="23">
        <v>3413441.1520199361</v>
      </c>
    </row>
    <row r="81" spans="1:21" x14ac:dyDescent="0.25">
      <c r="A81" s="95"/>
      <c r="B81" s="100"/>
      <c r="C81" s="16" t="s">
        <v>30</v>
      </c>
      <c r="D81" s="2">
        <v>585283.91489093867</v>
      </c>
      <c r="E81" s="2">
        <v>78925.597194633796</v>
      </c>
      <c r="F81" s="2">
        <v>405682.84822256281</v>
      </c>
      <c r="G81" s="2">
        <v>18619.703893108046</v>
      </c>
      <c r="H81" s="2">
        <v>253329.50836983218</v>
      </c>
      <c r="I81" s="2">
        <v>55747.996639040575</v>
      </c>
      <c r="J81" s="2">
        <v>387473.06108442374</v>
      </c>
      <c r="K81" s="2">
        <v>734451.38082105329</v>
      </c>
      <c r="L81" s="2">
        <v>67486.887845812278</v>
      </c>
      <c r="M81" s="2">
        <v>186563.98572252024</v>
      </c>
      <c r="N81" s="2">
        <v>85112.142082315113</v>
      </c>
      <c r="O81" s="2">
        <v>67059.016394481121</v>
      </c>
      <c r="P81" s="2">
        <v>413785.44459075335</v>
      </c>
      <c r="Q81" s="2">
        <v>161304.87564615835</v>
      </c>
      <c r="R81" s="2">
        <v>260268.0802939533</v>
      </c>
      <c r="S81" s="2">
        <v>127410.16546158613</v>
      </c>
      <c r="T81" s="2">
        <v>-92740.255121626411</v>
      </c>
      <c r="U81" s="23">
        <v>3791291.1022555018</v>
      </c>
    </row>
    <row r="82" spans="1:21" x14ac:dyDescent="0.25">
      <c r="A82" s="95"/>
      <c r="B82" s="101"/>
      <c r="C82" s="28" t="s">
        <v>31</v>
      </c>
      <c r="D82" s="20">
        <v>610230.34692873619</v>
      </c>
      <c r="E82" s="20">
        <v>77656.705939016232</v>
      </c>
      <c r="F82" s="20">
        <v>412345.75231471087</v>
      </c>
      <c r="G82" s="20">
        <v>28714.170438704816</v>
      </c>
      <c r="H82" s="20">
        <v>249802.86136403834</v>
      </c>
      <c r="I82" s="20">
        <v>55202.249987704941</v>
      </c>
      <c r="J82" s="20">
        <v>463987.47972159775</v>
      </c>
      <c r="K82" s="20">
        <v>737559.80203646957</v>
      </c>
      <c r="L82" s="20">
        <v>72477.559905602728</v>
      </c>
      <c r="M82" s="20">
        <v>266061.73595893558</v>
      </c>
      <c r="N82" s="20">
        <v>81239.03801377237</v>
      </c>
      <c r="O82" s="20">
        <v>64700.772144397641</v>
      </c>
      <c r="P82" s="20">
        <v>413302.73231372278</v>
      </c>
      <c r="Q82" s="20">
        <v>163017.96200240613</v>
      </c>
      <c r="R82" s="20">
        <v>272412.26832995418</v>
      </c>
      <c r="S82" s="20">
        <v>129864.17517515946</v>
      </c>
      <c r="T82" s="20">
        <v>-101524.55157772242</v>
      </c>
      <c r="U82" s="24">
        <v>3962168.0781852254</v>
      </c>
    </row>
    <row r="83" spans="1:21" x14ac:dyDescent="0.25">
      <c r="A83" s="95"/>
      <c r="B83" s="99">
        <v>2022</v>
      </c>
      <c r="C83" s="27" t="s">
        <v>28</v>
      </c>
      <c r="D83" s="21">
        <v>540887.97997507593</v>
      </c>
      <c r="E83" s="21">
        <v>82434.205545603356</v>
      </c>
      <c r="F83" s="21">
        <v>427795.39827746281</v>
      </c>
      <c r="G83" s="21">
        <v>20475.65422893305</v>
      </c>
      <c r="H83" s="21">
        <v>254302.13980514358</v>
      </c>
      <c r="I83" s="21">
        <v>55949.039124137256</v>
      </c>
      <c r="J83" s="21">
        <v>424408.35572457773</v>
      </c>
      <c r="K83" s="21">
        <v>667084.72190189292</v>
      </c>
      <c r="L83" s="21">
        <v>82791.65984404659</v>
      </c>
      <c r="M83" s="21">
        <v>207503.82083973876</v>
      </c>
      <c r="N83" s="21">
        <v>82545.716402099904</v>
      </c>
      <c r="O83" s="21">
        <v>65717.206889664099</v>
      </c>
      <c r="P83" s="21">
        <v>440098.72944084951</v>
      </c>
      <c r="Q83" s="21">
        <v>162816.53630806631</v>
      </c>
      <c r="R83" s="21">
        <v>262265.39275682758</v>
      </c>
      <c r="S83" s="21">
        <v>108973.06950368261</v>
      </c>
      <c r="T83" s="21">
        <v>-107270.04784929074</v>
      </c>
      <c r="U83" s="22">
        <v>3857326.304179356</v>
      </c>
    </row>
    <row r="84" spans="1:21" x14ac:dyDescent="0.25">
      <c r="A84" s="95"/>
      <c r="B84" s="100"/>
      <c r="C84" s="16" t="s">
        <v>29</v>
      </c>
      <c r="D84" s="2">
        <v>597372.95092916919</v>
      </c>
      <c r="E84" s="2">
        <v>81036.919835544017</v>
      </c>
      <c r="F84" s="2">
        <v>428669.75268514117</v>
      </c>
      <c r="G84" s="2">
        <v>25058.783655899439</v>
      </c>
      <c r="H84" s="2">
        <v>244628.21089061545</v>
      </c>
      <c r="I84" s="2">
        <v>57058.219270475856</v>
      </c>
      <c r="J84" s="2">
        <v>333061.72332646535</v>
      </c>
      <c r="K84" s="2">
        <v>685664.94695042248</v>
      </c>
      <c r="L84" s="2">
        <v>82357.01052955052</v>
      </c>
      <c r="M84" s="2">
        <v>212455.10181621939</v>
      </c>
      <c r="N84" s="2">
        <v>81162.954281115424</v>
      </c>
      <c r="O84" s="2">
        <v>65406.820821153226</v>
      </c>
      <c r="P84" s="2">
        <v>433300.1108079339</v>
      </c>
      <c r="Q84" s="2">
        <v>160054.57978468057</v>
      </c>
      <c r="R84" s="2">
        <v>266584.72481166787</v>
      </c>
      <c r="S84" s="2">
        <v>102819.21419643251</v>
      </c>
      <c r="T84" s="2">
        <v>-126497.97581782867</v>
      </c>
      <c r="U84" s="23">
        <v>3783141.1595324501</v>
      </c>
    </row>
    <row r="85" spans="1:21" x14ac:dyDescent="0.25">
      <c r="A85" s="95"/>
      <c r="B85" s="100"/>
      <c r="C85" s="16" t="s">
        <v>30</v>
      </c>
      <c r="D85" s="2">
        <v>524652.23416858236</v>
      </c>
      <c r="E85" s="2">
        <v>75628.158194552496</v>
      </c>
      <c r="F85" s="2">
        <v>437713.12214296486</v>
      </c>
      <c r="G85" s="2">
        <v>21265.67675994795</v>
      </c>
      <c r="H85" s="2">
        <v>249808.08551828467</v>
      </c>
      <c r="I85" s="2">
        <v>58897.303191794592</v>
      </c>
      <c r="J85" s="2">
        <v>356426.28064113599</v>
      </c>
      <c r="K85" s="2">
        <v>666077.6099216853</v>
      </c>
      <c r="L85" s="2">
        <v>74721.578060946311</v>
      </c>
      <c r="M85" s="2">
        <v>244253.31603779807</v>
      </c>
      <c r="N85" s="2">
        <v>82572.313967778464</v>
      </c>
      <c r="O85" s="2">
        <v>55228.425027787402</v>
      </c>
      <c r="P85" s="2">
        <v>450872.7320747163</v>
      </c>
      <c r="Q85" s="2">
        <v>166073.56545568211</v>
      </c>
      <c r="R85" s="2">
        <v>287612.14098116534</v>
      </c>
      <c r="S85" s="2">
        <v>119864.45408479238</v>
      </c>
      <c r="T85" s="2">
        <v>-126443.27240956818</v>
      </c>
      <c r="U85" s="23">
        <v>3757829.6939427606</v>
      </c>
    </row>
    <row r="86" spans="1:21" x14ac:dyDescent="0.25">
      <c r="A86" s="95"/>
      <c r="B86" s="101"/>
      <c r="C86" s="28" t="s">
        <v>31</v>
      </c>
      <c r="D86" s="20">
        <v>542964.60681512358</v>
      </c>
      <c r="E86" s="20">
        <v>85164.411005759219</v>
      </c>
      <c r="F86" s="20">
        <v>403859.89256904082</v>
      </c>
      <c r="G86" s="20">
        <v>30272.525447424359</v>
      </c>
      <c r="H86" s="20">
        <v>246579.79132604995</v>
      </c>
      <c r="I86" s="20">
        <v>60506.098509455813</v>
      </c>
      <c r="J86" s="20">
        <v>518508.83154492558</v>
      </c>
      <c r="K86" s="20">
        <v>680003.92351922567</v>
      </c>
      <c r="L86" s="20">
        <v>75528.625780062212</v>
      </c>
      <c r="M86" s="20">
        <v>364151.60405945982</v>
      </c>
      <c r="N86" s="20">
        <v>75208.917067454575</v>
      </c>
      <c r="O86" s="20">
        <v>51873.070542178786</v>
      </c>
      <c r="P86" s="20">
        <v>460009.34107186855</v>
      </c>
      <c r="Q86" s="20">
        <v>166818.6240101982</v>
      </c>
      <c r="R86" s="20">
        <v>306944.89210056385</v>
      </c>
      <c r="S86" s="20">
        <v>167122.96673808203</v>
      </c>
      <c r="T86" s="20">
        <v>-116853.32879369766</v>
      </c>
      <c r="U86" s="24">
        <v>3995492.3332706061</v>
      </c>
    </row>
    <row r="87" spans="1:21" x14ac:dyDescent="0.25">
      <c r="A87" s="95"/>
      <c r="B87" s="99">
        <v>2023</v>
      </c>
      <c r="C87" s="27" t="s">
        <v>28</v>
      </c>
      <c r="D87" s="21">
        <v>547966.79279681621</v>
      </c>
      <c r="E87" s="21">
        <v>86288.608609638322</v>
      </c>
      <c r="F87" s="21">
        <v>401112.96381354058</v>
      </c>
      <c r="G87" s="21">
        <v>25839.586115046422</v>
      </c>
      <c r="H87" s="21">
        <v>259864.26754457623</v>
      </c>
      <c r="I87" s="21">
        <v>60486.770528191002</v>
      </c>
      <c r="J87" s="21">
        <v>408354.45849070617</v>
      </c>
      <c r="K87" s="21">
        <v>682241.69724920893</v>
      </c>
      <c r="L87" s="21">
        <v>77590.387866276185</v>
      </c>
      <c r="M87" s="21">
        <v>251031.40259179915</v>
      </c>
      <c r="N87" s="21">
        <v>90606.897487083988</v>
      </c>
      <c r="O87" s="21">
        <v>56597.083302627994</v>
      </c>
      <c r="P87" s="21">
        <v>457784.95839715848</v>
      </c>
      <c r="Q87" s="21">
        <v>167136.98396274564</v>
      </c>
      <c r="R87" s="21">
        <v>301974.83101406688</v>
      </c>
      <c r="S87" s="21">
        <v>100157.98177814021</v>
      </c>
      <c r="T87" s="21">
        <v>-109421.43929606646</v>
      </c>
      <c r="U87" s="22">
        <v>3872935.6001976971</v>
      </c>
    </row>
    <row r="88" spans="1:21" x14ac:dyDescent="0.25">
      <c r="A88" s="95"/>
      <c r="B88" s="100"/>
      <c r="C88" s="16" t="s">
        <v>29</v>
      </c>
      <c r="D88" s="2">
        <v>587474.53101607668</v>
      </c>
      <c r="E88" s="2">
        <v>83514.532755407476</v>
      </c>
      <c r="F88" s="2">
        <v>419951.3602068511</v>
      </c>
      <c r="G88" s="2">
        <v>20835.318425436406</v>
      </c>
      <c r="H88" s="2">
        <v>263788.68466711603</v>
      </c>
      <c r="I88" s="2">
        <v>59879.418855528907</v>
      </c>
      <c r="J88" s="2">
        <v>461382.84570935473</v>
      </c>
      <c r="K88" s="2">
        <v>688426.30168709997</v>
      </c>
      <c r="L88" s="2">
        <v>66809.590226514789</v>
      </c>
      <c r="M88" s="2">
        <v>241553.11015524255</v>
      </c>
      <c r="N88" s="2">
        <v>78137.870319648617</v>
      </c>
      <c r="O88" s="2">
        <v>57698.177216906435</v>
      </c>
      <c r="P88" s="2">
        <v>463181.18758504238</v>
      </c>
      <c r="Q88" s="2">
        <v>166547.994054485</v>
      </c>
      <c r="R88" s="2">
        <v>302878.72609740886</v>
      </c>
      <c r="S88" s="2">
        <v>95988.820765349767</v>
      </c>
      <c r="T88" s="2">
        <v>-46785.673929967626</v>
      </c>
      <c r="U88" s="23">
        <v>3963820.9068082981</v>
      </c>
    </row>
    <row r="89" spans="1:21" x14ac:dyDescent="0.25">
      <c r="A89" s="95"/>
      <c r="B89" s="100"/>
      <c r="C89" s="16" t="s">
        <v>30</v>
      </c>
      <c r="D89" s="2">
        <v>571009.08889895689</v>
      </c>
      <c r="E89" s="2">
        <v>82112.02309321209</v>
      </c>
      <c r="F89" s="2">
        <v>425524.75259816396</v>
      </c>
      <c r="G89" s="2">
        <v>30906.278201080928</v>
      </c>
      <c r="H89" s="2">
        <v>261534.4527663301</v>
      </c>
      <c r="I89" s="2">
        <v>61947.066962866273</v>
      </c>
      <c r="J89" s="2">
        <v>439061.84360947908</v>
      </c>
      <c r="K89" s="2">
        <v>691455.09011317429</v>
      </c>
      <c r="L89" s="2">
        <v>79083.481023928063</v>
      </c>
      <c r="M89" s="2">
        <v>259237.64411114025</v>
      </c>
      <c r="N89" s="2">
        <v>79491.386618848468</v>
      </c>
      <c r="O89" s="2">
        <v>53778.61692935459</v>
      </c>
      <c r="P89" s="2">
        <v>466326.9467762555</v>
      </c>
      <c r="Q89" s="2">
        <v>169881.42421961806</v>
      </c>
      <c r="R89" s="2">
        <v>291347.99681707949</v>
      </c>
      <c r="S89" s="2">
        <v>124160.5123792113</v>
      </c>
      <c r="T89" s="2">
        <v>-127801.30552522975</v>
      </c>
      <c r="U89" s="23">
        <v>3906395.9228358543</v>
      </c>
    </row>
    <row r="90" spans="1:21" x14ac:dyDescent="0.25">
      <c r="A90" s="95"/>
      <c r="B90" s="101"/>
      <c r="C90" s="28" t="s">
        <v>31</v>
      </c>
      <c r="D90" s="20">
        <v>611606.00711712427</v>
      </c>
      <c r="E90" s="20">
        <v>81178.341368834546</v>
      </c>
      <c r="F90" s="20">
        <v>410417.65121817414</v>
      </c>
      <c r="G90" s="20">
        <v>31373.810234304532</v>
      </c>
      <c r="H90" s="20">
        <v>263996.12232418632</v>
      </c>
      <c r="I90" s="20">
        <v>62329.923671148266</v>
      </c>
      <c r="J90" s="20">
        <v>394999.51612780185</v>
      </c>
      <c r="K90" s="20">
        <v>707149.20933870226</v>
      </c>
      <c r="L90" s="20">
        <v>78564.431959054549</v>
      </c>
      <c r="M90" s="20">
        <v>286658.7637018828</v>
      </c>
      <c r="N90" s="20">
        <v>79214.712351926355</v>
      </c>
      <c r="O90" s="20">
        <v>60194.530648059619</v>
      </c>
      <c r="P90" s="20">
        <v>469451.36262617569</v>
      </c>
      <c r="Q90" s="20">
        <v>170916.30763326189</v>
      </c>
      <c r="R90" s="20">
        <v>278497.99294525909</v>
      </c>
      <c r="S90" s="20">
        <v>125535.16008558842</v>
      </c>
      <c r="T90" s="20">
        <v>-187825.82191462294</v>
      </c>
      <c r="U90" s="24">
        <v>3870935.1472016936</v>
      </c>
    </row>
    <row r="91" spans="1:21" x14ac:dyDescent="0.25">
      <c r="A91" s="95"/>
      <c r="B91" s="99">
        <v>2024</v>
      </c>
      <c r="C91" s="27" t="s">
        <v>28</v>
      </c>
      <c r="D91" s="21">
        <v>609011.0772000883</v>
      </c>
      <c r="E91" s="21">
        <v>80591.472236030677</v>
      </c>
      <c r="F91" s="21">
        <v>425002.23813071998</v>
      </c>
      <c r="G91" s="21">
        <v>26404.689788478783</v>
      </c>
      <c r="H91" s="21">
        <v>266162.92093423416</v>
      </c>
      <c r="I91" s="21">
        <v>63362.923583853488</v>
      </c>
      <c r="J91" s="21">
        <v>420172.72975804633</v>
      </c>
      <c r="K91" s="21">
        <v>710489.77759182279</v>
      </c>
      <c r="L91" s="21">
        <v>81904.879460303564</v>
      </c>
      <c r="M91" s="21">
        <v>319321.3446095828</v>
      </c>
      <c r="N91" s="21">
        <v>81413.703781468532</v>
      </c>
      <c r="O91" s="21">
        <v>57739.394793645042</v>
      </c>
      <c r="P91" s="21">
        <v>473726.90930547577</v>
      </c>
      <c r="Q91" s="21">
        <v>171125.25308779924</v>
      </c>
      <c r="R91" s="21">
        <v>302448.93558072427</v>
      </c>
      <c r="S91" s="21">
        <v>104914.07204787183</v>
      </c>
      <c r="T91" s="21">
        <v>-129599.95359191234</v>
      </c>
      <c r="U91" s="22">
        <v>4028280.9533559671</v>
      </c>
    </row>
    <row r="92" spans="1:21" x14ac:dyDescent="0.25">
      <c r="A92" s="95"/>
      <c r="B92" s="100"/>
      <c r="C92" s="16" t="s">
        <v>29</v>
      </c>
      <c r="D92" s="2">
        <v>619799.5506370957</v>
      </c>
      <c r="E92" s="2">
        <v>85873.048521635064</v>
      </c>
      <c r="F92" s="2">
        <v>432717.25171204674</v>
      </c>
      <c r="G92" s="2">
        <v>33802.197057829209</v>
      </c>
      <c r="H92" s="2">
        <v>277650.53144581278</v>
      </c>
      <c r="I92" s="2">
        <v>64019.910299699441</v>
      </c>
      <c r="J92" s="2">
        <v>461465.43365643261</v>
      </c>
      <c r="K92" s="2">
        <v>714732.89691864583</v>
      </c>
      <c r="L92" s="2">
        <v>79324.005807018752</v>
      </c>
      <c r="M92" s="2">
        <v>279581.00227938156</v>
      </c>
      <c r="N92" s="2">
        <v>86165.879114077921</v>
      </c>
      <c r="O92" s="2">
        <v>58109.948778671853</v>
      </c>
      <c r="P92" s="2">
        <v>491872.09874168126</v>
      </c>
      <c r="Q92" s="2">
        <v>171678.00064700097</v>
      </c>
      <c r="R92" s="2">
        <v>332135.12280823255</v>
      </c>
      <c r="S92" s="2">
        <v>92923.790360738843</v>
      </c>
      <c r="T92" s="2">
        <v>-86685.501372504456</v>
      </c>
      <c r="U92" s="23">
        <v>4171581.4175274232</v>
      </c>
    </row>
    <row r="93" spans="1:21" x14ac:dyDescent="0.25">
      <c r="A93" s="95"/>
      <c r="B93" s="100"/>
      <c r="C93" s="16" t="s">
        <v>30</v>
      </c>
      <c r="D93" s="2">
        <v>610019.18443582894</v>
      </c>
      <c r="E93" s="2">
        <v>92114.509669701729</v>
      </c>
      <c r="F93" s="2">
        <v>443175.55595188495</v>
      </c>
      <c r="G93" s="2">
        <v>44288.777542186552</v>
      </c>
      <c r="H93" s="2">
        <v>275909.64745224867</v>
      </c>
      <c r="I93" s="2">
        <v>63081.902963077991</v>
      </c>
      <c r="J93" s="2">
        <v>437926.85685672867</v>
      </c>
      <c r="K93" s="2">
        <v>700005.8688820313</v>
      </c>
      <c r="L93" s="2">
        <v>82646.736177004816</v>
      </c>
      <c r="M93" s="2">
        <v>295803.77033240115</v>
      </c>
      <c r="N93" s="2">
        <v>91953.932759566509</v>
      </c>
      <c r="O93" s="2">
        <v>57121.555762285949</v>
      </c>
      <c r="P93" s="2">
        <v>483793.71876941924</v>
      </c>
      <c r="Q93" s="2">
        <v>173007.92247147695</v>
      </c>
      <c r="R93" s="2">
        <v>310317.22054127738</v>
      </c>
      <c r="S93" s="2">
        <v>116138.22619257035</v>
      </c>
      <c r="T93" s="2">
        <v>-100196.98535463841</v>
      </c>
      <c r="U93" s="23">
        <v>4119093.4838343067</v>
      </c>
    </row>
    <row r="94" spans="1:21" x14ac:dyDescent="0.25">
      <c r="A94" s="95"/>
      <c r="B94" s="101"/>
      <c r="C94" s="28" t="s">
        <v>31</v>
      </c>
      <c r="D94" s="20">
        <v>612793.41723659914</v>
      </c>
      <c r="E94" s="20">
        <v>85435.730118862441</v>
      </c>
      <c r="F94" s="20">
        <v>411488.54438005493</v>
      </c>
      <c r="G94" s="20">
        <v>52500.987385665059</v>
      </c>
      <c r="H94" s="20">
        <v>273874.1426692892</v>
      </c>
      <c r="I94" s="20">
        <v>63978.387494191578</v>
      </c>
      <c r="J94" s="20">
        <v>415476.29499265447</v>
      </c>
      <c r="K94" s="20">
        <v>691075.70417224884</v>
      </c>
      <c r="L94" s="20">
        <v>82561.748481969189</v>
      </c>
      <c r="M94" s="20">
        <v>315106.91388013691</v>
      </c>
      <c r="N94" s="20">
        <v>106479.74970428942</v>
      </c>
      <c r="O94" s="20">
        <v>60363.427576867842</v>
      </c>
      <c r="P94" s="20">
        <v>490532.07419395383</v>
      </c>
      <c r="Q94" s="20">
        <v>174900.26854975434</v>
      </c>
      <c r="R94" s="20">
        <v>315394.34184551076</v>
      </c>
      <c r="S94" s="20">
        <v>110856.10629046719</v>
      </c>
      <c r="T94" s="20">
        <v>-115847.21891758684</v>
      </c>
      <c r="U94" s="24">
        <v>4060174.2529038205</v>
      </c>
    </row>
    <row r="95" spans="1:21" x14ac:dyDescent="0.25">
      <c r="A95" s="95"/>
      <c r="B95" s="99">
        <v>2025</v>
      </c>
      <c r="C95" s="27" t="s">
        <v>28</v>
      </c>
      <c r="D95" s="21">
        <v>635400.50461383117</v>
      </c>
      <c r="E95" s="21">
        <v>83722.946328020655</v>
      </c>
      <c r="F95" s="21">
        <v>407786.76526187774</v>
      </c>
      <c r="G95" s="21">
        <v>39841.264746371759</v>
      </c>
      <c r="H95" s="21">
        <v>281864.59438886808</v>
      </c>
      <c r="I95" s="21">
        <v>63221.730152313306</v>
      </c>
      <c r="J95" s="21">
        <v>441537.98719335056</v>
      </c>
      <c r="K95" s="21">
        <v>718224.51035253855</v>
      </c>
      <c r="L95" s="21">
        <v>81748.876537209857</v>
      </c>
      <c r="M95" s="21">
        <v>328629.70880387048</v>
      </c>
      <c r="N95" s="21">
        <v>120721.95186538981</v>
      </c>
      <c r="O95" s="21">
        <v>62040.065651520294</v>
      </c>
      <c r="P95" s="21">
        <v>516194.43584179401</v>
      </c>
      <c r="Q95" s="21">
        <v>175750.46446267277</v>
      </c>
      <c r="R95" s="21">
        <v>314064.63567525148</v>
      </c>
      <c r="S95" s="21">
        <v>102464.09169897121</v>
      </c>
      <c r="T95" s="21">
        <v>-88992.408710310468</v>
      </c>
      <c r="U95" s="22">
        <v>4163074.7792723342</v>
      </c>
    </row>
    <row r="96" spans="1:21" x14ac:dyDescent="0.25">
      <c r="A96" s="95"/>
      <c r="B96" s="100"/>
      <c r="C96" s="16" t="s">
        <v>29</v>
      </c>
      <c r="D96" s="2">
        <v>637168.54152746231</v>
      </c>
      <c r="E96" s="2">
        <v>85527.697297429986</v>
      </c>
      <c r="F96" s="2">
        <v>396186.78194114432</v>
      </c>
      <c r="G96" s="2">
        <v>36273.250491068808</v>
      </c>
      <c r="H96" s="2">
        <v>292798.82170438062</v>
      </c>
      <c r="I96" s="2">
        <v>65229.190513816706</v>
      </c>
      <c r="J96" s="2">
        <v>451750.56311120535</v>
      </c>
      <c r="K96" s="2">
        <v>719553.78515856084</v>
      </c>
      <c r="L96" s="2">
        <v>88693.960043566301</v>
      </c>
      <c r="M96" s="2">
        <v>304244.1283270499</v>
      </c>
      <c r="N96" s="2">
        <v>136691.17712598783</v>
      </c>
      <c r="O96" s="2">
        <v>62268.769299671447</v>
      </c>
      <c r="P96" s="2">
        <v>471950.15856160154</v>
      </c>
      <c r="Q96" s="2">
        <v>176798.78323089727</v>
      </c>
      <c r="R96" s="2">
        <v>327933.9874007561</v>
      </c>
      <c r="S96" s="2">
        <v>69401.015207304197</v>
      </c>
      <c r="T96" s="2">
        <v>-51024.057078516082</v>
      </c>
      <c r="U96" s="23">
        <v>4208042.5631010346</v>
      </c>
    </row>
    <row r="97" spans="1:21" x14ac:dyDescent="0.25">
      <c r="A97" s="95"/>
      <c r="B97" s="100"/>
      <c r="C97" s="16" t="s">
        <v>30</v>
      </c>
      <c r="D97" s="2">
        <v>636749.49454946141</v>
      </c>
      <c r="E97" s="2">
        <v>85355.022514455224</v>
      </c>
      <c r="F97" s="2">
        <v>412402.07826933509</v>
      </c>
      <c r="G97" s="2">
        <v>45228.667060727661</v>
      </c>
      <c r="H97" s="2">
        <v>305815.7560967484</v>
      </c>
      <c r="I97" s="2">
        <v>63463.801975483875</v>
      </c>
      <c r="J97" s="2">
        <v>444369.6723066704</v>
      </c>
      <c r="K97" s="2">
        <v>716842.71757404623</v>
      </c>
      <c r="L97" s="2">
        <v>84624.978029450285</v>
      </c>
      <c r="M97" s="2">
        <v>319541.23792136705</v>
      </c>
      <c r="N97" s="2">
        <v>142955.9278877016</v>
      </c>
      <c r="O97" s="2">
        <v>63162.171915080435</v>
      </c>
      <c r="P97" s="2">
        <v>507879.73657960538</v>
      </c>
      <c r="Q97" s="2">
        <v>178621.21433281011</v>
      </c>
      <c r="R97" s="2">
        <v>321372.20558921946</v>
      </c>
      <c r="S97" s="2">
        <v>92444.638088695938</v>
      </c>
      <c r="T97" s="2">
        <v>-74583.172050951631</v>
      </c>
      <c r="U97" s="23">
        <v>4212566.513203376</v>
      </c>
    </row>
    <row r="98" spans="1:21" x14ac:dyDescent="0.25">
      <c r="A98" s="95"/>
      <c r="B98" s="101"/>
      <c r="C98" s="28" t="s">
        <v>31</v>
      </c>
      <c r="D98" s="20">
        <v>637221.11587643262</v>
      </c>
      <c r="E98" s="20">
        <v>90630.248058150959</v>
      </c>
      <c r="F98" s="20">
        <v>406459.69977957732</v>
      </c>
      <c r="G98" s="20">
        <v>48817.20366003528</v>
      </c>
      <c r="H98" s="20">
        <v>326253.50208749715</v>
      </c>
      <c r="I98" s="20">
        <v>65003.687557694808</v>
      </c>
      <c r="J98" s="20">
        <v>436286.84377852059</v>
      </c>
      <c r="K98" s="20">
        <v>721632.24234902568</v>
      </c>
      <c r="L98" s="20">
        <v>94235.901670996827</v>
      </c>
      <c r="M98" s="20">
        <v>332739.82171653968</v>
      </c>
      <c r="N98" s="20">
        <v>148456.25896297669</v>
      </c>
      <c r="O98" s="20">
        <v>63509.70539453769</v>
      </c>
      <c r="P98" s="20">
        <v>514301.46369624377</v>
      </c>
      <c r="Q98" s="20">
        <v>180741.73038819604</v>
      </c>
      <c r="R98" s="20">
        <v>321287.33945066913</v>
      </c>
      <c r="S98" s="20">
        <v>119731.56764625305</v>
      </c>
      <c r="T98" s="20">
        <v>-61812.312341537538</v>
      </c>
      <c r="U98" s="24">
        <v>4299647.3377059326</v>
      </c>
    </row>
    <row r="99" spans="1:21" x14ac:dyDescent="0.25">
      <c r="A99" s="95"/>
      <c r="B99" s="99">
        <v>2026</v>
      </c>
      <c r="C99" s="27" t="s">
        <v>28</v>
      </c>
      <c r="D99" s="21">
        <v>645082.79805053445</v>
      </c>
      <c r="E99" s="21">
        <v>92104.017889166105</v>
      </c>
      <c r="F99" s="21">
        <v>406941.70288504619</v>
      </c>
      <c r="G99" s="21">
        <v>41583.739952077165</v>
      </c>
      <c r="H99" s="21">
        <v>304357.61522740033</v>
      </c>
      <c r="I99" s="21">
        <v>68475.543195300634</v>
      </c>
      <c r="J99" s="21">
        <v>446296.75386995968</v>
      </c>
      <c r="K99" s="21">
        <v>728958.56886730052</v>
      </c>
      <c r="L99" s="21">
        <v>89397.970912581644</v>
      </c>
      <c r="M99" s="21">
        <v>398231.30923402251</v>
      </c>
      <c r="N99" s="21">
        <v>155786.5660377797</v>
      </c>
      <c r="O99" s="21">
        <v>67263.437885834239</v>
      </c>
      <c r="P99" s="21">
        <v>525389.55426417384</v>
      </c>
      <c r="Q99" s="21">
        <v>182167.48576474571</v>
      </c>
      <c r="R99" s="21">
        <v>320212.32650886901</v>
      </c>
      <c r="S99" s="21">
        <v>88419.071678823777</v>
      </c>
      <c r="T99" s="21">
        <v>-51414.778087414576</v>
      </c>
      <c r="U99" s="22">
        <v>4358738.3985147094</v>
      </c>
    </row>
    <row r="100" spans="1:21" x14ac:dyDescent="0.25">
      <c r="A100" s="95"/>
      <c r="B100" s="100"/>
      <c r="C100" s="16" t="s">
        <v>29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3"/>
    </row>
    <row r="101" spans="1:21" x14ac:dyDescent="0.25">
      <c r="A101" s="95"/>
      <c r="B101" s="100"/>
      <c r="C101" s="16" t="s">
        <v>30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3"/>
    </row>
    <row r="102" spans="1:21" x14ac:dyDescent="0.25">
      <c r="A102" s="95"/>
      <c r="B102" s="101"/>
      <c r="C102" s="28" t="s">
        <v>31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4"/>
    </row>
    <row r="103" spans="1:21" x14ac:dyDescent="0.25">
      <c r="C103" s="17" t="s">
        <v>52</v>
      </c>
    </row>
  </sheetData>
  <mergeCells count="28">
    <mergeCell ref="B99:B102"/>
    <mergeCell ref="A1:A102"/>
    <mergeCell ref="C1:U1"/>
    <mergeCell ref="B2:C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95:B98"/>
    <mergeCell ref="B75:B78"/>
    <mergeCell ref="B79:B82"/>
    <mergeCell ref="B83:B86"/>
    <mergeCell ref="B87:B90"/>
    <mergeCell ref="B91:B9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3"/>
  <sheetViews>
    <sheetView showGridLines="0" workbookViewId="0">
      <pane xSplit="3" ySplit="2" topLeftCell="D3" activePane="bottomRight" state="frozen"/>
      <selection activeCell="B3" sqref="B3:S54"/>
      <selection pane="topRight" activeCell="B3" sqref="B3:S54"/>
      <selection pane="bottomLeft" activeCell="B3" sqref="B3:S54"/>
      <selection pane="bottomRight" activeCell="C1" sqref="C1:U1"/>
    </sheetView>
  </sheetViews>
  <sheetFormatPr defaultRowHeight="15.75" x14ac:dyDescent="0.25"/>
  <cols>
    <col min="2" max="3" width="6.375" style="18" customWidth="1"/>
    <col min="4" max="4" width="10.125" customWidth="1"/>
    <col min="5" max="5" width="7.875" customWidth="1"/>
    <col min="8" max="8" width="10" customWidth="1"/>
    <col min="14" max="14" width="12.125" customWidth="1"/>
    <col min="15" max="16" width="9.875" customWidth="1"/>
  </cols>
  <sheetData>
    <row r="1" spans="1:23" s="63" customFormat="1" ht="15" x14ac:dyDescent="0.25">
      <c r="A1" s="103"/>
      <c r="C1" s="102" t="s">
        <v>20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103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103"/>
      <c r="B3" s="99">
        <v>2002</v>
      </c>
      <c r="C3" s="61" t="s">
        <v>28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2">
        <v>0</v>
      </c>
    </row>
    <row r="4" spans="1:23" x14ac:dyDescent="0.25">
      <c r="A4" s="103"/>
      <c r="B4" s="100"/>
      <c r="C4" s="19" t="s">
        <v>29</v>
      </c>
      <c r="D4" s="2">
        <v>0.32053254833508404</v>
      </c>
      <c r="E4" s="2">
        <v>2.4100052550449114</v>
      </c>
      <c r="F4" s="2">
        <v>-4.878523020262282</v>
      </c>
      <c r="G4" s="2">
        <v>-8.6733328614403966</v>
      </c>
      <c r="H4" s="2">
        <v>-1.0154807746113881</v>
      </c>
      <c r="I4" s="2">
        <v>6.6309154748561916</v>
      </c>
      <c r="J4" s="2">
        <v>1.2552067719286075</v>
      </c>
      <c r="K4" s="2">
        <v>10.505963300546695</v>
      </c>
      <c r="L4" s="2">
        <v>-10.400182605131725</v>
      </c>
      <c r="M4" s="2">
        <v>-0.14129344826135926</v>
      </c>
      <c r="N4" s="2">
        <v>0.84304963848813586</v>
      </c>
      <c r="O4" s="2">
        <v>8.9610297553584406</v>
      </c>
      <c r="P4" s="2">
        <v>5.9847477034652874</v>
      </c>
      <c r="Q4" s="2">
        <v>5.1877799874581854</v>
      </c>
      <c r="R4" s="2">
        <v>5.5398193163104903</v>
      </c>
      <c r="S4" s="2">
        <v>9.56191706612044</v>
      </c>
      <c r="T4" s="2">
        <v>13.025185727380673</v>
      </c>
      <c r="U4" s="23">
        <v>2.0860017455415214</v>
      </c>
    </row>
    <row r="5" spans="1:23" x14ac:dyDescent="0.25">
      <c r="A5" s="103"/>
      <c r="B5" s="100"/>
      <c r="C5" s="19" t="s">
        <v>30</v>
      </c>
      <c r="D5" s="2">
        <v>1.2106170759634827</v>
      </c>
      <c r="E5" s="2">
        <v>1.4031788805587864</v>
      </c>
      <c r="F5" s="2">
        <v>3.2924039777029179</v>
      </c>
      <c r="G5" s="2">
        <v>24.066885986466179</v>
      </c>
      <c r="H5" s="2">
        <v>0.29196607831245558</v>
      </c>
      <c r="I5" s="2">
        <v>9.4470048227714987</v>
      </c>
      <c r="J5" s="2">
        <v>2.2523588760871238</v>
      </c>
      <c r="K5" s="2">
        <v>11.907978773361672</v>
      </c>
      <c r="L5" s="2">
        <v>-5.0715025618494618</v>
      </c>
      <c r="M5" s="2">
        <v>-0.7010377343291796</v>
      </c>
      <c r="N5" s="2">
        <v>0.54703431216984733</v>
      </c>
      <c r="O5" s="2">
        <v>31.482659623971877</v>
      </c>
      <c r="P5" s="2">
        <v>3.1739667673560179</v>
      </c>
      <c r="Q5" s="2">
        <v>4.0137410898537729</v>
      </c>
      <c r="R5" s="2">
        <v>9.983078951757296</v>
      </c>
      <c r="S5" s="2">
        <v>10.925534444600761</v>
      </c>
      <c r="T5" s="2">
        <v>14.226457851384433</v>
      </c>
      <c r="U5" s="23">
        <v>4.5827705993852774</v>
      </c>
    </row>
    <row r="6" spans="1:23" x14ac:dyDescent="0.25">
      <c r="A6" s="103"/>
      <c r="B6" s="101"/>
      <c r="C6" s="52" t="s">
        <v>31</v>
      </c>
      <c r="D6" s="20">
        <v>1.4126722342826303</v>
      </c>
      <c r="E6" s="20">
        <v>-5.2949450983518105</v>
      </c>
      <c r="F6" s="20">
        <v>-0.51772332805939403</v>
      </c>
      <c r="G6" s="20">
        <v>-4.3019383306964638</v>
      </c>
      <c r="H6" s="20">
        <v>1.6698148909257915</v>
      </c>
      <c r="I6" s="20">
        <v>-5.1458093590622811</v>
      </c>
      <c r="J6" s="20">
        <v>3.1623390099407844</v>
      </c>
      <c r="K6" s="20">
        <v>14.366767149212677</v>
      </c>
      <c r="L6" s="20">
        <v>-3.3418602042235679</v>
      </c>
      <c r="M6" s="20">
        <v>-0.88387886694144546</v>
      </c>
      <c r="N6" s="20">
        <v>0.71235030987002457</v>
      </c>
      <c r="O6" s="20">
        <v>17.145122776597855</v>
      </c>
      <c r="P6" s="20">
        <v>9.2171497434083705</v>
      </c>
      <c r="Q6" s="20">
        <v>15.146975294656183</v>
      </c>
      <c r="R6" s="20">
        <v>14.64171464688928</v>
      </c>
      <c r="S6" s="20">
        <v>29.23107922335706</v>
      </c>
      <c r="T6" s="20">
        <v>28.248704105803114</v>
      </c>
      <c r="U6" s="24">
        <v>6.1687182456005019</v>
      </c>
    </row>
    <row r="7" spans="1:23" x14ac:dyDescent="0.25">
      <c r="A7" s="103"/>
      <c r="B7" s="99">
        <v>2003</v>
      </c>
      <c r="C7" s="19" t="s">
        <v>28</v>
      </c>
      <c r="D7" s="2">
        <v>3.4409731353260975</v>
      </c>
      <c r="E7" s="2">
        <v>7.2618463080469597</v>
      </c>
      <c r="F7" s="2">
        <v>-1.7856100098959438</v>
      </c>
      <c r="G7" s="2">
        <v>-8.6733433749289439</v>
      </c>
      <c r="H7" s="2">
        <v>2.6534021147498255</v>
      </c>
      <c r="I7" s="2">
        <v>12.492955143267048</v>
      </c>
      <c r="J7" s="2">
        <v>3.7272595868787839</v>
      </c>
      <c r="K7" s="2">
        <v>-23.105351860038848</v>
      </c>
      <c r="L7" s="2">
        <v>25.681726810540173</v>
      </c>
      <c r="M7" s="2">
        <v>1.6282898213969554</v>
      </c>
      <c r="N7" s="2">
        <v>2.0390451179592706</v>
      </c>
      <c r="O7" s="2">
        <v>-42.127504770113319</v>
      </c>
      <c r="P7" s="2">
        <v>-8.2206432588479146</v>
      </c>
      <c r="Q7" s="2">
        <v>-24.566743697865622</v>
      </c>
      <c r="R7" s="2">
        <v>-22.742250980325409</v>
      </c>
      <c r="S7" s="2">
        <v>-22.861522697280478</v>
      </c>
      <c r="T7" s="2">
        <v>-28.605137903074585</v>
      </c>
      <c r="U7" s="23">
        <v>-11.116042035583462</v>
      </c>
    </row>
    <row r="8" spans="1:23" x14ac:dyDescent="0.25">
      <c r="A8" s="103"/>
      <c r="B8" s="100"/>
      <c r="C8" s="19" t="s">
        <v>29</v>
      </c>
      <c r="D8" s="2">
        <v>2.2072123731437854</v>
      </c>
      <c r="E8" s="2">
        <v>3.3013331756313713</v>
      </c>
      <c r="F8" s="2">
        <v>-5.0022558149417922</v>
      </c>
      <c r="G8" s="2">
        <v>20.064746103304422</v>
      </c>
      <c r="H8" s="2">
        <v>0.58188379848138627</v>
      </c>
      <c r="I8" s="2">
        <v>0.35142641387655438</v>
      </c>
      <c r="J8" s="2">
        <v>4.8799313645689457</v>
      </c>
      <c r="K8" s="2">
        <v>14.663090329521999</v>
      </c>
      <c r="L8" s="2">
        <v>-5.2909337454756784</v>
      </c>
      <c r="M8" s="2">
        <v>0.28080934334082652</v>
      </c>
      <c r="N8" s="2">
        <v>1.7730941592617899</v>
      </c>
      <c r="O8" s="2">
        <v>20.729714482702953</v>
      </c>
      <c r="P8" s="2">
        <v>6.6739926070459976</v>
      </c>
      <c r="Q8" s="2">
        <v>12.74668081611039</v>
      </c>
      <c r="R8" s="2">
        <v>8.4609790610961078</v>
      </c>
      <c r="S8" s="2">
        <v>7.4196462019287202</v>
      </c>
      <c r="T8" s="2">
        <v>-1.6711909752749388</v>
      </c>
      <c r="U8" s="23">
        <v>5.7293372874585025</v>
      </c>
    </row>
    <row r="9" spans="1:23" x14ac:dyDescent="0.25">
      <c r="A9" s="103"/>
      <c r="B9" s="100"/>
      <c r="C9" s="19" t="s">
        <v>30</v>
      </c>
      <c r="D9" s="2">
        <v>2.1629296518702157</v>
      </c>
      <c r="E9" s="2">
        <v>1.9015734227635805</v>
      </c>
      <c r="F9" s="2">
        <v>3.4072298225247932</v>
      </c>
      <c r="G9" s="2">
        <v>26.323942028285984</v>
      </c>
      <c r="H9" s="2">
        <v>1.8968598041802842</v>
      </c>
      <c r="I9" s="2">
        <v>-7.749214656832681</v>
      </c>
      <c r="J9" s="2">
        <v>5.4989406466932955</v>
      </c>
      <c r="K9" s="2">
        <v>7.2294246512511373</v>
      </c>
      <c r="L9" s="2">
        <v>0.28762019340322631</v>
      </c>
      <c r="M9" s="2">
        <v>-0.15631668850051295</v>
      </c>
      <c r="N9" s="2">
        <v>0.74226133137171857</v>
      </c>
      <c r="O9" s="2">
        <v>35.165719086861017</v>
      </c>
      <c r="P9" s="2">
        <v>1.8446830477933496</v>
      </c>
      <c r="Q9" s="2">
        <v>14.317519121830347</v>
      </c>
      <c r="R9" s="2">
        <v>8.5124721100116485</v>
      </c>
      <c r="S9" s="2">
        <v>6.6445487193560693</v>
      </c>
      <c r="T9" s="2">
        <v>-2.278887354104131</v>
      </c>
      <c r="U9" s="23">
        <v>5.5183828248852596</v>
      </c>
    </row>
    <row r="10" spans="1:23" x14ac:dyDescent="0.25">
      <c r="A10" s="103"/>
      <c r="B10" s="101"/>
      <c r="C10" s="52" t="s">
        <v>31</v>
      </c>
      <c r="D10" s="20">
        <v>2.3776779902614509</v>
      </c>
      <c r="E10" s="20">
        <v>-1.4698580555453922</v>
      </c>
      <c r="F10" s="20">
        <v>0.16801916373834214</v>
      </c>
      <c r="G10" s="20">
        <v>-15.603961305592994</v>
      </c>
      <c r="H10" s="20">
        <v>3.585343554851339</v>
      </c>
      <c r="I10" s="20">
        <v>4.7602916129785289</v>
      </c>
      <c r="J10" s="20">
        <v>6.0427437595083289</v>
      </c>
      <c r="K10" s="20">
        <v>5.0713646874032792</v>
      </c>
      <c r="L10" s="20">
        <v>3.6704769533442372</v>
      </c>
      <c r="M10" s="20">
        <v>0.68696629502538187</v>
      </c>
      <c r="N10" s="20">
        <v>-0.18475074322461538</v>
      </c>
      <c r="O10" s="20">
        <v>12.651625292935066</v>
      </c>
      <c r="P10" s="20">
        <v>4.5884576249523024</v>
      </c>
      <c r="Q10" s="20">
        <v>6.1978073383085253</v>
      </c>
      <c r="R10" s="20">
        <v>8.4055932386980725</v>
      </c>
      <c r="S10" s="20">
        <v>19.594058189513763</v>
      </c>
      <c r="T10" s="20">
        <v>11.360670811525031</v>
      </c>
      <c r="U10" s="24">
        <v>4.5338360002906253</v>
      </c>
    </row>
    <row r="11" spans="1:23" x14ac:dyDescent="0.25">
      <c r="A11" s="103"/>
      <c r="B11" s="99">
        <v>2004</v>
      </c>
      <c r="C11" s="19" t="s">
        <v>28</v>
      </c>
      <c r="D11" s="2">
        <v>3.2281989192942895</v>
      </c>
      <c r="E11" s="2">
        <v>4.6014316518623533</v>
      </c>
      <c r="F11" s="2">
        <v>14.50224388001271</v>
      </c>
      <c r="G11" s="2">
        <v>-3.285143368395893</v>
      </c>
      <c r="H11" s="2">
        <v>9.5031628822115586</v>
      </c>
      <c r="I11" s="2">
        <v>4.1280021120183363</v>
      </c>
      <c r="J11" s="2">
        <v>6.3069971725851603</v>
      </c>
      <c r="K11" s="2">
        <v>-7.7853405708155687</v>
      </c>
      <c r="L11" s="2">
        <v>12.456083303470255</v>
      </c>
      <c r="M11" s="2">
        <v>3.3920139208722055</v>
      </c>
      <c r="N11" s="2">
        <v>-0.6307107461323791</v>
      </c>
      <c r="O11" s="2">
        <v>-33.004532206738588</v>
      </c>
      <c r="P11" s="2">
        <v>2.9465285482410231</v>
      </c>
      <c r="Q11" s="2">
        <v>-7.2793186353043104</v>
      </c>
      <c r="R11" s="2">
        <v>-4.4807208047613951</v>
      </c>
      <c r="S11" s="2">
        <v>-24.001205973596761</v>
      </c>
      <c r="T11" s="2">
        <v>300.91669323377818</v>
      </c>
      <c r="U11" s="23">
        <v>-13.975843026791679</v>
      </c>
    </row>
    <row r="12" spans="1:23" x14ac:dyDescent="0.25">
      <c r="A12" s="103"/>
      <c r="B12" s="100"/>
      <c r="C12" s="19" t="s">
        <v>29</v>
      </c>
      <c r="D12" s="2">
        <v>1.7051080825998044</v>
      </c>
      <c r="E12" s="2">
        <v>1.9468015678078432</v>
      </c>
      <c r="F12" s="2">
        <v>-3.9375417638300214</v>
      </c>
      <c r="G12" s="2">
        <v>4.949206289150565</v>
      </c>
      <c r="H12" s="2">
        <v>4.9376150920586781</v>
      </c>
      <c r="I12" s="2">
        <v>10.19585175308244</v>
      </c>
      <c r="J12" s="2">
        <v>5.4964054109064353</v>
      </c>
      <c r="K12" s="2">
        <v>3.5910354531991207</v>
      </c>
      <c r="L12" s="2">
        <v>5.0869072585882025</v>
      </c>
      <c r="M12" s="2">
        <v>2.1317740892133674</v>
      </c>
      <c r="N12" s="2">
        <v>2.1611974560411529</v>
      </c>
      <c r="O12" s="2">
        <v>-6.8608989081923593</v>
      </c>
      <c r="P12" s="2">
        <v>-2.618099791722639</v>
      </c>
      <c r="Q12" s="2">
        <v>-0.52855753878578993</v>
      </c>
      <c r="R12" s="2">
        <v>4.4653793521612917</v>
      </c>
      <c r="S12" s="2">
        <v>13.993747160833326</v>
      </c>
      <c r="T12" s="2">
        <v>-98.587225104352072</v>
      </c>
      <c r="U12" s="23">
        <v>23.778439421175147</v>
      </c>
    </row>
    <row r="13" spans="1:23" x14ac:dyDescent="0.25">
      <c r="A13" s="103"/>
      <c r="B13" s="100"/>
      <c r="C13" s="19" t="s">
        <v>30</v>
      </c>
      <c r="D13" s="2">
        <v>1.5703311184800617</v>
      </c>
      <c r="E13" s="2">
        <v>0.90861476291852483</v>
      </c>
      <c r="F13" s="2">
        <v>3.7422814859962017</v>
      </c>
      <c r="G13" s="2">
        <v>9.8457064776590553</v>
      </c>
      <c r="H13" s="2">
        <v>3.1812851704937195</v>
      </c>
      <c r="I13" s="2">
        <v>8.3036331595057078</v>
      </c>
      <c r="J13" s="2">
        <v>4.5584759167460076</v>
      </c>
      <c r="K13" s="2">
        <v>1.6838249505549907</v>
      </c>
      <c r="L13" s="2">
        <v>2.0650579342288644</v>
      </c>
      <c r="M13" s="2">
        <v>1.6216610291611921</v>
      </c>
      <c r="N13" s="2">
        <v>3.412174560496406</v>
      </c>
      <c r="O13" s="2">
        <v>39.074920682731062</v>
      </c>
      <c r="P13" s="2">
        <v>9.9184833464238018</v>
      </c>
      <c r="Q13" s="2">
        <v>-6.1460463253764086</v>
      </c>
      <c r="R13" s="2">
        <v>1.9475076585577566</v>
      </c>
      <c r="S13" s="2">
        <v>-13.822140864869914</v>
      </c>
      <c r="T13" s="2">
        <v>2.7462469029540859</v>
      </c>
      <c r="U13" s="23">
        <v>2.0633714877285048</v>
      </c>
    </row>
    <row r="14" spans="1:23" x14ac:dyDescent="0.25">
      <c r="A14" s="103"/>
      <c r="B14" s="101"/>
      <c r="C14" s="52" t="s">
        <v>31</v>
      </c>
      <c r="D14" s="20">
        <v>1.8947415690002467</v>
      </c>
      <c r="E14" s="20">
        <v>-3.6200376274606705</v>
      </c>
      <c r="F14" s="20">
        <v>2.9071010870640457E-2</v>
      </c>
      <c r="G14" s="20">
        <v>-1.419303313851461</v>
      </c>
      <c r="H14" s="20">
        <v>0.37873868416715695</v>
      </c>
      <c r="I14" s="20">
        <v>-7.0976562173589279</v>
      </c>
      <c r="J14" s="20">
        <v>3.5440271538831114</v>
      </c>
      <c r="K14" s="20">
        <v>3.9988749187039652</v>
      </c>
      <c r="L14" s="20">
        <v>-3.1028331688967015</v>
      </c>
      <c r="M14" s="20">
        <v>2.0489064092130915</v>
      </c>
      <c r="N14" s="20">
        <v>0.48979880407227228</v>
      </c>
      <c r="O14" s="20">
        <v>18.742782327318164</v>
      </c>
      <c r="P14" s="20">
        <v>-5.0588462513646686</v>
      </c>
      <c r="Q14" s="20">
        <v>-0.24724719432982489</v>
      </c>
      <c r="R14" s="20">
        <v>3.0281794857067279</v>
      </c>
      <c r="S14" s="20">
        <v>49.825456747021548</v>
      </c>
      <c r="T14" s="20">
        <v>8.763946398173438</v>
      </c>
      <c r="U14" s="24">
        <v>4.7470163919342001</v>
      </c>
    </row>
    <row r="15" spans="1:23" x14ac:dyDescent="0.25">
      <c r="A15" s="103"/>
      <c r="B15" s="99">
        <v>2005</v>
      </c>
      <c r="C15" s="19" t="s">
        <v>28</v>
      </c>
      <c r="D15" s="2">
        <v>-0.93019815724263433</v>
      </c>
      <c r="E15" s="2">
        <v>2.0909501137029718</v>
      </c>
      <c r="F15" s="2">
        <v>27.040517915688</v>
      </c>
      <c r="G15" s="2">
        <v>-23.258846629212993</v>
      </c>
      <c r="H15" s="2">
        <v>2.0160883547660546</v>
      </c>
      <c r="I15" s="2">
        <v>3.4968546348560725</v>
      </c>
      <c r="J15" s="2">
        <v>2.5268792644520088</v>
      </c>
      <c r="K15" s="2">
        <v>4.1220388674573227</v>
      </c>
      <c r="L15" s="2">
        <v>0.60158427492105204</v>
      </c>
      <c r="M15" s="2">
        <v>3.325244644982317</v>
      </c>
      <c r="N15" s="2">
        <v>-8.478590763576122</v>
      </c>
      <c r="O15" s="2">
        <v>-34.921234573874727</v>
      </c>
      <c r="P15" s="2">
        <v>15.273500013440056</v>
      </c>
      <c r="Q15" s="2">
        <v>9.5169830057749039</v>
      </c>
      <c r="R15" s="2">
        <v>-0.31198510660574996</v>
      </c>
      <c r="S15" s="2">
        <v>-19.814857118349604</v>
      </c>
      <c r="T15" s="2">
        <v>77.327039447309829</v>
      </c>
      <c r="U15" s="23">
        <v>4.7143350441470666</v>
      </c>
    </row>
    <row r="16" spans="1:23" x14ac:dyDescent="0.25">
      <c r="A16" s="103"/>
      <c r="B16" s="100"/>
      <c r="C16" s="19" t="s">
        <v>29</v>
      </c>
      <c r="D16" s="2">
        <v>0.8999565164104828</v>
      </c>
      <c r="E16" s="2">
        <v>2.9586868410012457</v>
      </c>
      <c r="F16" s="2">
        <v>-4.1360717071204478</v>
      </c>
      <c r="G16" s="2">
        <v>9.6562176269348488</v>
      </c>
      <c r="H16" s="2">
        <v>1.9746495390744023</v>
      </c>
      <c r="I16" s="2">
        <v>-0.57132051536507023</v>
      </c>
      <c r="J16" s="2">
        <v>2.5541369343090148</v>
      </c>
      <c r="K16" s="2">
        <v>1.3406481923304847</v>
      </c>
      <c r="L16" s="2">
        <v>-5.9417961492116316</v>
      </c>
      <c r="M16" s="2">
        <v>2.7665545904179689</v>
      </c>
      <c r="N16" s="2">
        <v>-12.055517446635921</v>
      </c>
      <c r="O16" s="2">
        <v>22.278692570425275</v>
      </c>
      <c r="P16" s="2">
        <v>-3.0244674872169863</v>
      </c>
      <c r="Q16" s="2">
        <v>0.57071392592178416</v>
      </c>
      <c r="R16" s="2">
        <v>0.42874129820256179</v>
      </c>
      <c r="S16" s="2">
        <v>1.5969186571856087</v>
      </c>
      <c r="T16" s="2">
        <v>6.2778532817927779</v>
      </c>
      <c r="U16" s="23">
        <v>2.4805820641979004</v>
      </c>
    </row>
    <row r="17" spans="1:21" x14ac:dyDescent="0.25">
      <c r="A17" s="103"/>
      <c r="B17" s="100"/>
      <c r="C17" s="19" t="s">
        <v>30</v>
      </c>
      <c r="D17" s="2">
        <v>2.4534016394299085</v>
      </c>
      <c r="E17" s="2">
        <v>4.1079064686671662</v>
      </c>
      <c r="F17" s="2">
        <v>2.6606713410286975</v>
      </c>
      <c r="G17" s="2">
        <v>1.5414231078681118</v>
      </c>
      <c r="H17" s="2">
        <v>1.8159554879893625</v>
      </c>
      <c r="I17" s="2">
        <v>2.4319926611358511</v>
      </c>
      <c r="J17" s="2">
        <v>2.3965586264210526</v>
      </c>
      <c r="K17" s="2">
        <v>0.31048240793758453</v>
      </c>
      <c r="L17" s="2">
        <v>-4.9275546746106009</v>
      </c>
      <c r="M17" s="2">
        <v>1.9527652891011771</v>
      </c>
      <c r="N17" s="2">
        <v>-10.279307981194396</v>
      </c>
      <c r="O17" s="2">
        <v>28.492418097096106</v>
      </c>
      <c r="P17" s="2">
        <v>-3.9501273549374383</v>
      </c>
      <c r="Q17" s="2">
        <v>-2.3996726467167662</v>
      </c>
      <c r="R17" s="2">
        <v>2.2846425068097309</v>
      </c>
      <c r="S17" s="2">
        <v>-4.615090223513274</v>
      </c>
      <c r="T17" s="2">
        <v>-2.0568457883705871</v>
      </c>
      <c r="U17" s="23">
        <v>0.78733285415875098</v>
      </c>
    </row>
    <row r="18" spans="1:21" x14ac:dyDescent="0.25">
      <c r="A18" s="103"/>
      <c r="B18" s="101"/>
      <c r="C18" s="52" t="s">
        <v>31</v>
      </c>
      <c r="D18" s="20">
        <v>4.2546772871105087</v>
      </c>
      <c r="E18" s="20">
        <v>1.0970539088074105</v>
      </c>
      <c r="F18" s="20">
        <v>-1.6380084599657341</v>
      </c>
      <c r="G18" s="20">
        <v>-15.552559804402044</v>
      </c>
      <c r="H18" s="20">
        <v>1.0577238377694975</v>
      </c>
      <c r="I18" s="20">
        <v>9.3211860594857967</v>
      </c>
      <c r="J18" s="20">
        <v>2.2310943917196679</v>
      </c>
      <c r="K18" s="20">
        <v>0.81560867035699314</v>
      </c>
      <c r="L18" s="20">
        <v>0.76762545213506783</v>
      </c>
      <c r="M18" s="20">
        <v>1.4260553429257916</v>
      </c>
      <c r="N18" s="20">
        <v>-2.543952027332419</v>
      </c>
      <c r="O18" s="20">
        <v>24.360171327463576</v>
      </c>
      <c r="P18" s="20">
        <v>7.0320695627724028</v>
      </c>
      <c r="Q18" s="20">
        <v>-9.9048816211666502E-2</v>
      </c>
      <c r="R18" s="20">
        <v>5.1503008592879151</v>
      </c>
      <c r="S18" s="20">
        <v>36.475255914488081</v>
      </c>
      <c r="T18" s="20">
        <v>3441.9989238163203</v>
      </c>
      <c r="U18" s="24">
        <v>-11.116274062542452</v>
      </c>
    </row>
    <row r="19" spans="1:21" x14ac:dyDescent="0.25">
      <c r="A19" s="103"/>
      <c r="B19" s="99">
        <v>2006</v>
      </c>
      <c r="C19" s="19" t="s">
        <v>28</v>
      </c>
      <c r="D19" s="2">
        <v>3.9632101377194306</v>
      </c>
      <c r="E19" s="2">
        <v>10.364063420685499</v>
      </c>
      <c r="F19" s="2">
        <v>16.113878106066636</v>
      </c>
      <c r="G19" s="2">
        <v>36.124402613314309</v>
      </c>
      <c r="H19" s="2">
        <v>3.0738346940921923</v>
      </c>
      <c r="I19" s="2">
        <v>6.5374935522692912</v>
      </c>
      <c r="J19" s="2">
        <v>2.0248721198595332</v>
      </c>
      <c r="K19" s="2">
        <v>3.4880694603085072</v>
      </c>
      <c r="L19" s="2">
        <v>21.923694026646757</v>
      </c>
      <c r="M19" s="2">
        <v>1.9489947497116633</v>
      </c>
      <c r="N19" s="2">
        <v>11.329864921694032</v>
      </c>
      <c r="O19" s="2">
        <v>-44.009402400435739</v>
      </c>
      <c r="P19" s="2">
        <v>3.8301280136745497</v>
      </c>
      <c r="Q19" s="2">
        <v>5.0341996517772047</v>
      </c>
      <c r="R19" s="2">
        <v>7.9777935954551848</v>
      </c>
      <c r="S19" s="2">
        <v>-30.824930512316406</v>
      </c>
      <c r="T19" s="2">
        <v>-76.743193588526964</v>
      </c>
      <c r="U19" s="23">
        <v>16.306503519910475</v>
      </c>
    </row>
    <row r="20" spans="1:21" x14ac:dyDescent="0.25">
      <c r="A20" s="103"/>
      <c r="B20" s="100"/>
      <c r="C20" s="19" t="s">
        <v>29</v>
      </c>
      <c r="D20" s="2">
        <v>3.1229682456605401</v>
      </c>
      <c r="E20" s="2">
        <v>4.7942370507341403</v>
      </c>
      <c r="F20" s="2">
        <v>-4.8553538865360739</v>
      </c>
      <c r="G20" s="2">
        <v>-2.8987179170802513</v>
      </c>
      <c r="H20" s="2">
        <v>2.12962019756604</v>
      </c>
      <c r="I20" s="2">
        <v>-0.57583784065721177</v>
      </c>
      <c r="J20" s="2">
        <v>3.0178342945064829</v>
      </c>
      <c r="K20" s="2">
        <v>-1.6976766958106349</v>
      </c>
      <c r="L20" s="2">
        <v>5.3494723350014262</v>
      </c>
      <c r="M20" s="2">
        <v>2.005388151417975</v>
      </c>
      <c r="N20" s="2">
        <v>9.2789911477645823</v>
      </c>
      <c r="O20" s="2">
        <v>9.302229307929565</v>
      </c>
      <c r="P20" s="2">
        <v>14.596714441933267</v>
      </c>
      <c r="Q20" s="2">
        <v>0.73107854274310213</v>
      </c>
      <c r="R20" s="2">
        <v>2.733021348648923</v>
      </c>
      <c r="S20" s="2">
        <v>8.3317561042065122</v>
      </c>
      <c r="T20" s="2">
        <v>5.2165559714170362</v>
      </c>
      <c r="U20" s="23">
        <v>3.0102709977535502</v>
      </c>
    </row>
    <row r="21" spans="1:21" x14ac:dyDescent="0.25">
      <c r="A21" s="103"/>
      <c r="B21" s="100"/>
      <c r="C21" s="19" t="s">
        <v>30</v>
      </c>
      <c r="D21" s="2">
        <v>2.2453775818506827</v>
      </c>
      <c r="E21" s="2">
        <v>3.8734034948672447</v>
      </c>
      <c r="F21" s="2">
        <v>4.2378375127137602</v>
      </c>
      <c r="G21" s="2">
        <v>14.980696891847023</v>
      </c>
      <c r="H21" s="2">
        <v>1.5602117721235764</v>
      </c>
      <c r="I21" s="2">
        <v>4.4961455302604314</v>
      </c>
      <c r="J21" s="2">
        <v>3.702266263609344</v>
      </c>
      <c r="K21" s="2">
        <v>0.50475571058694602</v>
      </c>
      <c r="L21" s="2">
        <v>5.8085964911013477</v>
      </c>
      <c r="M21" s="2">
        <v>0.84544432364550559</v>
      </c>
      <c r="N21" s="2">
        <v>5.8645938472085435</v>
      </c>
      <c r="O21" s="2">
        <v>50.379389886181599</v>
      </c>
      <c r="P21" s="2">
        <v>-18.470529238796153</v>
      </c>
      <c r="Q21" s="2">
        <v>-1.3832998902362004</v>
      </c>
      <c r="R21" s="2">
        <v>-0.81220363786509431</v>
      </c>
      <c r="S21" s="2">
        <v>15.46203134878057</v>
      </c>
      <c r="T21" s="2">
        <v>7.6386728069539167</v>
      </c>
      <c r="U21" s="23">
        <v>1.5972162412525304</v>
      </c>
    </row>
    <row r="22" spans="1:21" x14ac:dyDescent="0.25">
      <c r="A22" s="103"/>
      <c r="B22" s="101"/>
      <c r="C22" s="52" t="s">
        <v>31</v>
      </c>
      <c r="D22" s="20">
        <v>2.0381642379191156</v>
      </c>
      <c r="E22" s="20">
        <v>5.1756278071394712</v>
      </c>
      <c r="F22" s="20">
        <v>-0.4438129639595112</v>
      </c>
      <c r="G22" s="20">
        <v>-3.1364943834278347</v>
      </c>
      <c r="H22" s="20">
        <v>0.97599848007814405</v>
      </c>
      <c r="I22" s="20">
        <v>13.227388809278629</v>
      </c>
      <c r="J22" s="20">
        <v>4.3728799006598207</v>
      </c>
      <c r="K22" s="20">
        <v>2.4873895344632357</v>
      </c>
      <c r="L22" s="20">
        <v>2.6585185823248203</v>
      </c>
      <c r="M22" s="20">
        <v>0.61598762056203071</v>
      </c>
      <c r="N22" s="20">
        <v>1.6723877213155491</v>
      </c>
      <c r="O22" s="20">
        <v>47.172188929640079</v>
      </c>
      <c r="P22" s="20">
        <v>20.106442506379807</v>
      </c>
      <c r="Q22" s="20">
        <v>9.6555891254575634</v>
      </c>
      <c r="R22" s="20">
        <v>-3.6930950987765665</v>
      </c>
      <c r="S22" s="20">
        <v>33.888220555204398</v>
      </c>
      <c r="T22" s="20">
        <v>77.485078688509404</v>
      </c>
      <c r="U22" s="24">
        <v>3.569681939154834</v>
      </c>
    </row>
    <row r="23" spans="1:21" x14ac:dyDescent="0.25">
      <c r="A23" s="103"/>
      <c r="B23" s="99">
        <v>2007</v>
      </c>
      <c r="C23" s="19" t="s">
        <v>28</v>
      </c>
      <c r="D23" s="2">
        <v>0.22397434652736692</v>
      </c>
      <c r="E23" s="2">
        <v>-0.60399567653087738</v>
      </c>
      <c r="F23" s="2">
        <v>23.440288263230901</v>
      </c>
      <c r="G23" s="2">
        <v>3.7626517700240614</v>
      </c>
      <c r="H23" s="2">
        <v>0.38775763634408822</v>
      </c>
      <c r="I23" s="2">
        <v>-43.873183593882317</v>
      </c>
      <c r="J23" s="2">
        <v>4.8534851639541854</v>
      </c>
      <c r="K23" s="2">
        <v>6.0270715198079472</v>
      </c>
      <c r="L23" s="2">
        <v>0.73878802891094164</v>
      </c>
      <c r="M23" s="2">
        <v>2.030357582663278</v>
      </c>
      <c r="N23" s="2">
        <v>-1.8030757067168501</v>
      </c>
      <c r="O23" s="2">
        <v>-47.541291287292452</v>
      </c>
      <c r="P23" s="2">
        <v>5.5756270959880894</v>
      </c>
      <c r="Q23" s="2">
        <v>-1.8979360502139553</v>
      </c>
      <c r="R23" s="2">
        <v>-4.6038054189016631</v>
      </c>
      <c r="S23" s="2">
        <v>-14.13022017709592</v>
      </c>
      <c r="T23" s="2">
        <v>-29.044603024483028</v>
      </c>
      <c r="U23" s="23">
        <v>5.0653862687457529</v>
      </c>
    </row>
    <row r="24" spans="1:21" x14ac:dyDescent="0.25">
      <c r="A24" s="103"/>
      <c r="B24" s="100"/>
      <c r="C24" s="19" t="s">
        <v>29</v>
      </c>
      <c r="D24" s="2">
        <v>0.51601593606003249</v>
      </c>
      <c r="E24" s="2">
        <v>-0.41394543952459895</v>
      </c>
      <c r="F24" s="2">
        <v>-4.6798237040396984</v>
      </c>
      <c r="G24" s="2">
        <v>-15.110650223243749</v>
      </c>
      <c r="H24" s="2">
        <v>0.58262270873097322</v>
      </c>
      <c r="I24" s="2">
        <v>96.817787592129974</v>
      </c>
      <c r="J24" s="2">
        <v>4.2123020278354906</v>
      </c>
      <c r="K24" s="2">
        <v>2.16946843286423</v>
      </c>
      <c r="L24" s="2">
        <v>3.5978935111026011</v>
      </c>
      <c r="M24" s="2">
        <v>2.5601830018583627</v>
      </c>
      <c r="N24" s="2">
        <v>0.90051206223131786</v>
      </c>
      <c r="O24" s="2">
        <v>9.5310017711612396</v>
      </c>
      <c r="P24" s="2">
        <v>0.86451393325832626</v>
      </c>
      <c r="Q24" s="2">
        <v>0.28493570495142784</v>
      </c>
      <c r="R24" s="2">
        <v>-5.6681355473203858</v>
      </c>
      <c r="S24" s="2">
        <v>-2.794560145132885</v>
      </c>
      <c r="T24" s="2">
        <v>-48.132934776878741</v>
      </c>
      <c r="U24" s="23">
        <v>2.7481967584226386</v>
      </c>
    </row>
    <row r="25" spans="1:21" x14ac:dyDescent="0.25">
      <c r="A25" s="103"/>
      <c r="B25" s="100"/>
      <c r="C25" s="19" t="s">
        <v>30</v>
      </c>
      <c r="D25" s="2">
        <v>1.0617613373458346</v>
      </c>
      <c r="E25" s="2">
        <v>0.83303816736588487</v>
      </c>
      <c r="F25" s="2">
        <v>3.3607587748019307</v>
      </c>
      <c r="G25" s="2">
        <v>33.631519527239107</v>
      </c>
      <c r="H25" s="2">
        <v>0.81416466163239942</v>
      </c>
      <c r="I25" s="2">
        <v>1.6735297701801377</v>
      </c>
      <c r="J25" s="2">
        <v>3.5211135017306994</v>
      </c>
      <c r="K25" s="2">
        <v>3.5012840576712057</v>
      </c>
      <c r="L25" s="2">
        <v>1.1376992638285843</v>
      </c>
      <c r="M25" s="2">
        <v>2.8498581550940205</v>
      </c>
      <c r="N25" s="2">
        <v>4.1795262652697396</v>
      </c>
      <c r="O25" s="2">
        <v>27.387218141880943</v>
      </c>
      <c r="P25" s="2">
        <v>-0.63925519201568637</v>
      </c>
      <c r="Q25" s="2">
        <v>-0.2713097373752027</v>
      </c>
      <c r="R25" s="2">
        <v>-2.8264765664618108</v>
      </c>
      <c r="S25" s="2">
        <v>4.0562548254848174</v>
      </c>
      <c r="T25" s="2">
        <v>-89.486777806500811</v>
      </c>
      <c r="U25" s="23">
        <v>2.9277902385753896</v>
      </c>
    </row>
    <row r="26" spans="1:21" x14ac:dyDescent="0.25">
      <c r="A26" s="103"/>
      <c r="B26" s="101"/>
      <c r="C26" s="52" t="s">
        <v>31</v>
      </c>
      <c r="D26" s="20">
        <v>2.0609911885420606</v>
      </c>
      <c r="E26" s="20">
        <v>0.38123714760041061</v>
      </c>
      <c r="F26" s="20">
        <v>-4.6577382013623936E-2</v>
      </c>
      <c r="G26" s="20">
        <v>27.090958400460764</v>
      </c>
      <c r="H26" s="20">
        <v>1.6327659916157256</v>
      </c>
      <c r="I26" s="20">
        <v>-1.7322030791076859</v>
      </c>
      <c r="J26" s="20">
        <v>2.8067403428067905</v>
      </c>
      <c r="K26" s="20">
        <v>4.2700128199937293</v>
      </c>
      <c r="L26" s="20">
        <v>-0.22096819397271483</v>
      </c>
      <c r="M26" s="20">
        <v>4.9122975914452027</v>
      </c>
      <c r="N26" s="20">
        <v>7.9468097106156765</v>
      </c>
      <c r="O26" s="20">
        <v>16.866115829464224</v>
      </c>
      <c r="P26" s="20">
        <v>-7.076663151266005</v>
      </c>
      <c r="Q26" s="20">
        <v>0.99733587921855271</v>
      </c>
      <c r="R26" s="20">
        <v>1.8618200860446077</v>
      </c>
      <c r="S26" s="20">
        <v>-3.2421278621634242</v>
      </c>
      <c r="T26" s="20">
        <v>4227.3972429076775</v>
      </c>
      <c r="U26" s="24">
        <v>-1.3264953132186452</v>
      </c>
    </row>
    <row r="27" spans="1:21" x14ac:dyDescent="0.25">
      <c r="A27" s="103"/>
      <c r="B27" s="99">
        <v>2008</v>
      </c>
      <c r="C27" s="19" t="s">
        <v>28</v>
      </c>
      <c r="D27" s="2">
        <v>1.8542163535959055</v>
      </c>
      <c r="E27" s="2">
        <v>-0.27524737607605987</v>
      </c>
      <c r="F27" s="2">
        <v>12.26065162536305</v>
      </c>
      <c r="G27" s="2">
        <v>-20.835478136050945</v>
      </c>
      <c r="H27" s="2">
        <v>1.0398725820048638</v>
      </c>
      <c r="I27" s="2">
        <v>0.73775131421782714</v>
      </c>
      <c r="J27" s="2">
        <v>2.0009200800920279</v>
      </c>
      <c r="K27" s="2">
        <v>6.0971404953666264</v>
      </c>
      <c r="L27" s="2">
        <v>4.1365763656887822</v>
      </c>
      <c r="M27" s="2">
        <v>6.393962639237083</v>
      </c>
      <c r="N27" s="2">
        <v>12.147912913795667</v>
      </c>
      <c r="O27" s="2">
        <v>-43.260063376084247</v>
      </c>
      <c r="P27" s="2">
        <v>-5.1690881803332918</v>
      </c>
      <c r="Q27" s="2">
        <v>6.1647020980804212</v>
      </c>
      <c r="R27" s="2">
        <v>4.7338395105855025</v>
      </c>
      <c r="S27" s="2">
        <v>-7.1693358476150664</v>
      </c>
      <c r="T27" s="2">
        <v>-67.516838175632586</v>
      </c>
      <c r="U27" s="23">
        <v>5.0414728045414581</v>
      </c>
    </row>
    <row r="28" spans="1:21" x14ac:dyDescent="0.25">
      <c r="A28" s="103"/>
      <c r="B28" s="100"/>
      <c r="C28" s="19" t="s">
        <v>29</v>
      </c>
      <c r="D28" s="2">
        <v>1.1740660219689225</v>
      </c>
      <c r="E28" s="2">
        <v>0.91558675093812436</v>
      </c>
      <c r="F28" s="2">
        <v>-4.3674617299735647</v>
      </c>
      <c r="G28" s="2">
        <v>5.4349134305715197</v>
      </c>
      <c r="H28" s="2">
        <v>0.26915958994950806</v>
      </c>
      <c r="I28" s="2">
        <v>-18.956535919180517</v>
      </c>
      <c r="J28" s="2">
        <v>1.6176683000952874</v>
      </c>
      <c r="K28" s="2">
        <v>3.2673449004685162</v>
      </c>
      <c r="L28" s="2">
        <v>3.2549855126782212</v>
      </c>
      <c r="M28" s="2">
        <v>4.9330917250072437</v>
      </c>
      <c r="N28" s="2">
        <v>10.212577950423274</v>
      </c>
      <c r="O28" s="2">
        <v>8.4453451913041544</v>
      </c>
      <c r="P28" s="2">
        <v>9.8967325500210137</v>
      </c>
      <c r="Q28" s="2">
        <v>1.7639269725473916</v>
      </c>
      <c r="R28" s="2">
        <v>1.4865877259266247</v>
      </c>
      <c r="S28" s="2">
        <v>31.323576029143396</v>
      </c>
      <c r="T28" s="2">
        <v>108.04253302334831</v>
      </c>
      <c r="U28" s="23">
        <v>-0.49086048967170726</v>
      </c>
    </row>
    <row r="29" spans="1:21" x14ac:dyDescent="0.25">
      <c r="A29" s="103"/>
      <c r="B29" s="100"/>
      <c r="C29" s="19" t="s">
        <v>30</v>
      </c>
      <c r="D29" s="2">
        <v>1.0985592564372482</v>
      </c>
      <c r="E29" s="2">
        <v>2.0547297221118477</v>
      </c>
      <c r="F29" s="2">
        <v>2.5749656402502374</v>
      </c>
      <c r="G29" s="2">
        <v>0.91294770437744255</v>
      </c>
      <c r="H29" s="2">
        <v>0.44835266791867223</v>
      </c>
      <c r="I29" s="2">
        <v>25.603548307718338</v>
      </c>
      <c r="J29" s="2">
        <v>1.23274641580573</v>
      </c>
      <c r="K29" s="2">
        <v>3.0814422526511676</v>
      </c>
      <c r="L29" s="2">
        <v>1.7635475176929427</v>
      </c>
      <c r="M29" s="2">
        <v>3.5413159328418597</v>
      </c>
      <c r="N29" s="2">
        <v>7.9181996661954468</v>
      </c>
      <c r="O29" s="2">
        <v>42.599346152603367</v>
      </c>
      <c r="P29" s="2">
        <v>12.874480299126635</v>
      </c>
      <c r="Q29" s="2">
        <v>2.1234167007947891</v>
      </c>
      <c r="R29" s="2">
        <v>1.4951516775714602</v>
      </c>
      <c r="S29" s="2">
        <v>7.0218902703853558</v>
      </c>
      <c r="T29" s="2">
        <v>-19.739424967367679</v>
      </c>
      <c r="U29" s="23">
        <v>3.36187763041782</v>
      </c>
    </row>
    <row r="30" spans="1:21" x14ac:dyDescent="0.25">
      <c r="A30" s="103"/>
      <c r="B30" s="101"/>
      <c r="C30" s="52" t="s">
        <v>31</v>
      </c>
      <c r="D30" s="20">
        <v>1.5234928417100058</v>
      </c>
      <c r="E30" s="20">
        <v>0.61001613393376619</v>
      </c>
      <c r="F30" s="20">
        <v>-0.86676176122644222</v>
      </c>
      <c r="G30" s="20">
        <v>-35.543908828459195</v>
      </c>
      <c r="H30" s="20">
        <v>2.5056716297447323</v>
      </c>
      <c r="I30" s="20">
        <v>-0.46195960567623207</v>
      </c>
      <c r="J30" s="20">
        <v>0.95290054192684881</v>
      </c>
      <c r="K30" s="20">
        <v>2.1005420258036755</v>
      </c>
      <c r="L30" s="20">
        <v>1.6831806139215866</v>
      </c>
      <c r="M30" s="20">
        <v>1.0579261301557175</v>
      </c>
      <c r="N30" s="20">
        <v>5.7578114095681254</v>
      </c>
      <c r="O30" s="20">
        <v>60.282806198650583</v>
      </c>
      <c r="P30" s="20">
        <v>6.1240501091851085</v>
      </c>
      <c r="Q30" s="20">
        <v>3.2971810568340087</v>
      </c>
      <c r="R30" s="20">
        <v>1.261061019235421</v>
      </c>
      <c r="S30" s="20">
        <v>-2.5003671163582264</v>
      </c>
      <c r="T30" s="20">
        <v>-81.743684308556169</v>
      </c>
      <c r="U30" s="24">
        <v>11.501129053176307</v>
      </c>
    </row>
    <row r="31" spans="1:21" x14ac:dyDescent="0.25">
      <c r="A31" s="103"/>
      <c r="B31" s="99">
        <v>2009</v>
      </c>
      <c r="C31" s="19" t="s">
        <v>28</v>
      </c>
      <c r="D31" s="2">
        <v>0.78557365625742115</v>
      </c>
      <c r="E31" s="2">
        <v>3.3383216574315311</v>
      </c>
      <c r="F31" s="2">
        <v>-4.6905489541370198</v>
      </c>
      <c r="G31" s="2">
        <v>12.653582130009088</v>
      </c>
      <c r="H31" s="2">
        <v>3.9061981877607899</v>
      </c>
      <c r="I31" s="2">
        <v>-13.082791545097272</v>
      </c>
      <c r="J31" s="2">
        <v>0.57477942463330933</v>
      </c>
      <c r="K31" s="2">
        <v>1.2398642724848141</v>
      </c>
      <c r="L31" s="2">
        <v>3.3829295915932978</v>
      </c>
      <c r="M31" s="2">
        <v>-1.1927401676296023</v>
      </c>
      <c r="N31" s="2">
        <v>4.8381066850825993</v>
      </c>
      <c r="O31" s="2">
        <v>-41.428442731898095</v>
      </c>
      <c r="P31" s="2">
        <v>0.27812433468390463</v>
      </c>
      <c r="Q31" s="2">
        <v>-6.1911938441503889</v>
      </c>
      <c r="R31" s="2">
        <v>0.8741485682299821</v>
      </c>
      <c r="S31" s="2">
        <v>2.875148622558199</v>
      </c>
      <c r="T31" s="2">
        <v>23.895153396787784</v>
      </c>
      <c r="U31" s="23">
        <v>-11.409707599134332</v>
      </c>
    </row>
    <row r="32" spans="1:21" x14ac:dyDescent="0.25">
      <c r="A32" s="103"/>
      <c r="B32" s="100"/>
      <c r="C32" s="19" t="s">
        <v>29</v>
      </c>
      <c r="D32" s="2">
        <v>0.99635505527628787</v>
      </c>
      <c r="E32" s="2">
        <v>2.0588388802037949</v>
      </c>
      <c r="F32" s="2">
        <v>-3.4259230785759542</v>
      </c>
      <c r="G32" s="2">
        <v>50.190558794053942</v>
      </c>
      <c r="H32" s="2">
        <v>2.1008500185294432</v>
      </c>
      <c r="I32" s="2">
        <v>20.392158736501329</v>
      </c>
      <c r="J32" s="2">
        <v>1.7458041719878636</v>
      </c>
      <c r="K32" s="2">
        <v>1.5078087958884545</v>
      </c>
      <c r="L32" s="2">
        <v>5.6021229204898271</v>
      </c>
      <c r="M32" s="2">
        <v>0.56263387513888485</v>
      </c>
      <c r="N32" s="2">
        <v>4.5116813559076041</v>
      </c>
      <c r="O32" s="2">
        <v>-3.6720693808756755</v>
      </c>
      <c r="P32" s="2">
        <v>4.4278774495488227</v>
      </c>
      <c r="Q32" s="2">
        <v>10.757129306783586</v>
      </c>
      <c r="R32" s="2">
        <v>0.39668367869392096</v>
      </c>
      <c r="S32" s="2">
        <v>-20.031406596467171</v>
      </c>
      <c r="T32" s="2">
        <v>92.266189140007285</v>
      </c>
      <c r="U32" s="23">
        <v>4.0847274915482679</v>
      </c>
    </row>
    <row r="33" spans="1:21" x14ac:dyDescent="0.25">
      <c r="A33" s="103"/>
      <c r="B33" s="100"/>
      <c r="C33" s="19" t="s">
        <v>30</v>
      </c>
      <c r="D33" s="2">
        <v>2.0912562438130777</v>
      </c>
      <c r="E33" s="2">
        <v>1.4689641749847659</v>
      </c>
      <c r="F33" s="2">
        <v>3.2581272692742802</v>
      </c>
      <c r="G33" s="2">
        <v>-8.6566985701885706</v>
      </c>
      <c r="H33" s="2">
        <v>2.2592904141246928</v>
      </c>
      <c r="I33" s="2">
        <v>-0.56527023184634873</v>
      </c>
      <c r="J33" s="2">
        <v>2.5500901552325761</v>
      </c>
      <c r="K33" s="2">
        <v>1.8553347950572174</v>
      </c>
      <c r="L33" s="2">
        <v>3.040866621968763</v>
      </c>
      <c r="M33" s="2">
        <v>0.9478381200135555</v>
      </c>
      <c r="N33" s="2">
        <v>2.4645946594659796</v>
      </c>
      <c r="O33" s="2">
        <v>40.753042032081389</v>
      </c>
      <c r="P33" s="2">
        <v>-6.3354364998361561</v>
      </c>
      <c r="Q33" s="2">
        <v>3.4422563822287033</v>
      </c>
      <c r="R33" s="2">
        <v>1.4974472400580918</v>
      </c>
      <c r="S33" s="2">
        <v>17.01400211706996</v>
      </c>
      <c r="T33" s="2">
        <v>-4.8551998942378045</v>
      </c>
      <c r="U33" s="23">
        <v>1.562592042263522</v>
      </c>
    </row>
    <row r="34" spans="1:21" x14ac:dyDescent="0.25">
      <c r="A34" s="103"/>
      <c r="B34" s="101"/>
      <c r="C34" s="52" t="s">
        <v>31</v>
      </c>
      <c r="D34" s="20">
        <v>3.5445429856889143</v>
      </c>
      <c r="E34" s="20">
        <v>-1.7265639900610474</v>
      </c>
      <c r="F34" s="20">
        <v>-0.40330603735571069</v>
      </c>
      <c r="G34" s="20">
        <v>-7.976819202754271</v>
      </c>
      <c r="H34" s="20">
        <v>1.6037419001744491</v>
      </c>
      <c r="I34" s="20">
        <v>1.9996300541105239</v>
      </c>
      <c r="J34" s="20">
        <v>3.4648873348373854</v>
      </c>
      <c r="K34" s="20">
        <v>1.7019043013995816</v>
      </c>
      <c r="L34" s="20">
        <v>2.6452594032340571</v>
      </c>
      <c r="M34" s="20">
        <v>2.9016771488751703</v>
      </c>
      <c r="N34" s="20">
        <v>-1.0581188733614355</v>
      </c>
      <c r="O34" s="20">
        <v>-18.227922690197772</v>
      </c>
      <c r="P34" s="20">
        <v>14.765302466826192</v>
      </c>
      <c r="Q34" s="20">
        <v>1.5063904574842191</v>
      </c>
      <c r="R34" s="20">
        <v>2.873329001397118</v>
      </c>
      <c r="S34" s="20">
        <v>-6.5411705962709839</v>
      </c>
      <c r="T34" s="20">
        <v>371.89851245356112</v>
      </c>
      <c r="U34" s="24">
        <v>3.1509737424618711</v>
      </c>
    </row>
    <row r="35" spans="1:21" x14ac:dyDescent="0.25">
      <c r="A35" s="103"/>
      <c r="B35" s="99">
        <v>2010</v>
      </c>
      <c r="C35" s="19" t="s">
        <v>28</v>
      </c>
      <c r="D35" s="2">
        <v>3.6731748542954579</v>
      </c>
      <c r="E35" s="2">
        <v>-0.9579018497413494</v>
      </c>
      <c r="F35" s="2">
        <v>2.0679391931056834</v>
      </c>
      <c r="G35" s="2">
        <v>-0.34132761687241109</v>
      </c>
      <c r="H35" s="2">
        <v>2.0522911085284701</v>
      </c>
      <c r="I35" s="2">
        <v>1.5944587572377156</v>
      </c>
      <c r="J35" s="2">
        <v>4.0285607959447134</v>
      </c>
      <c r="K35" s="2">
        <v>1.5135149791957403</v>
      </c>
      <c r="L35" s="2">
        <v>-1.5035808109040039</v>
      </c>
      <c r="M35" s="2">
        <v>2.2519444189062598</v>
      </c>
      <c r="N35" s="2">
        <v>-4.6496242212419769</v>
      </c>
      <c r="O35" s="2">
        <v>-23.173955418566059</v>
      </c>
      <c r="P35" s="2">
        <v>-4.3922724685103827</v>
      </c>
      <c r="Q35" s="2">
        <v>-1.2172270345170322</v>
      </c>
      <c r="R35" s="2">
        <v>2.4748013033624616</v>
      </c>
      <c r="S35" s="2">
        <v>-17.245420149803369</v>
      </c>
      <c r="T35" s="2">
        <v>-97.657968210057362</v>
      </c>
      <c r="U35" s="23">
        <v>-0.86643131552970321</v>
      </c>
    </row>
    <row r="36" spans="1:21" x14ac:dyDescent="0.25">
      <c r="A36" s="103"/>
      <c r="B36" s="100"/>
      <c r="C36" s="19" t="s">
        <v>29</v>
      </c>
      <c r="D36" s="2">
        <v>2.5756728311098653</v>
      </c>
      <c r="E36" s="2">
        <v>1.4015805682638272</v>
      </c>
      <c r="F36" s="2">
        <v>-2.9944528236043877</v>
      </c>
      <c r="G36" s="2">
        <v>-9.0504704890609347</v>
      </c>
      <c r="H36" s="2">
        <v>2.8837664413059905</v>
      </c>
      <c r="I36" s="2">
        <v>-5.3621750838194648</v>
      </c>
      <c r="J36" s="2">
        <v>3.1142202270490138</v>
      </c>
      <c r="K36" s="2">
        <v>2.4566061073035383</v>
      </c>
      <c r="L36" s="2">
        <v>7.0352693342943473</v>
      </c>
      <c r="M36" s="2">
        <v>2.3587963093069764</v>
      </c>
      <c r="N36" s="2">
        <v>0.39985428900926046</v>
      </c>
      <c r="O36" s="2">
        <v>15.382690352428829</v>
      </c>
      <c r="P36" s="2">
        <v>8.5534234967097547</v>
      </c>
      <c r="Q36" s="2">
        <v>1.7345170307115687</v>
      </c>
      <c r="R36" s="2">
        <v>3.3451260548260642</v>
      </c>
      <c r="S36" s="2">
        <v>19.873410420302683</v>
      </c>
      <c r="T36" s="2">
        <v>237.11221121445888</v>
      </c>
      <c r="U36" s="23">
        <v>6.003402086407772</v>
      </c>
    </row>
    <row r="37" spans="1:21" x14ac:dyDescent="0.25">
      <c r="A37" s="103"/>
      <c r="B37" s="100"/>
      <c r="C37" s="19" t="s">
        <v>30</v>
      </c>
      <c r="D37" s="2">
        <v>2.1862019307700598</v>
      </c>
      <c r="E37" s="2">
        <v>2.9996777751297499</v>
      </c>
      <c r="F37" s="2">
        <v>-0.95070911073270592</v>
      </c>
      <c r="G37" s="2">
        <v>6.089964420599614</v>
      </c>
      <c r="H37" s="2">
        <v>2.5947122500063369</v>
      </c>
      <c r="I37" s="2">
        <v>9.0647534461526291</v>
      </c>
      <c r="J37" s="2">
        <v>2.1202288778626066</v>
      </c>
      <c r="K37" s="2">
        <v>3.0881059819560797</v>
      </c>
      <c r="L37" s="2">
        <v>3.363527487853446</v>
      </c>
      <c r="M37" s="2">
        <v>2.730759406727179</v>
      </c>
      <c r="N37" s="2">
        <v>8.568473769467456</v>
      </c>
      <c r="O37" s="2">
        <v>18.322298435809703</v>
      </c>
      <c r="P37" s="2">
        <v>-6.99238561410559</v>
      </c>
      <c r="Q37" s="2">
        <v>1.0711028535570488</v>
      </c>
      <c r="R37" s="2">
        <v>3.4745846699298477</v>
      </c>
      <c r="S37" s="2">
        <v>28.134142962523011</v>
      </c>
      <c r="T37" s="2">
        <v>-40.732528098824574</v>
      </c>
      <c r="U37" s="23">
        <v>-0.29021807856148829</v>
      </c>
    </row>
    <row r="38" spans="1:21" x14ac:dyDescent="0.25">
      <c r="A38" s="103"/>
      <c r="B38" s="101"/>
      <c r="C38" s="52" t="s">
        <v>31</v>
      </c>
      <c r="D38" s="20">
        <v>2.3059429951418187</v>
      </c>
      <c r="E38" s="20">
        <v>-1.1929973291893603</v>
      </c>
      <c r="F38" s="20">
        <v>-8.272281684811567</v>
      </c>
      <c r="G38" s="20">
        <v>-5.0574974850314369</v>
      </c>
      <c r="H38" s="20">
        <v>1.7879134213727443</v>
      </c>
      <c r="I38" s="20">
        <v>8.1556726037633744</v>
      </c>
      <c r="J38" s="20">
        <v>1.2003135845994439</v>
      </c>
      <c r="K38" s="20">
        <v>2.9041491777163753</v>
      </c>
      <c r="L38" s="20">
        <v>3.0995026750617383</v>
      </c>
      <c r="M38" s="20">
        <v>4.5590875721431834</v>
      </c>
      <c r="N38" s="20">
        <v>18.75177058028099</v>
      </c>
      <c r="O38" s="20">
        <v>31.921771069402528</v>
      </c>
      <c r="P38" s="20">
        <v>-9.1949748323723934</v>
      </c>
      <c r="Q38" s="20">
        <v>0.34039195202120176</v>
      </c>
      <c r="R38" s="20">
        <v>3.3866838805273858</v>
      </c>
      <c r="S38" s="20">
        <v>2.8065766711191431</v>
      </c>
      <c r="T38" s="20">
        <v>3603.9273702354676</v>
      </c>
      <c r="U38" s="24">
        <v>-9.1280409764978092</v>
      </c>
    </row>
    <row r="39" spans="1:21" x14ac:dyDescent="0.25">
      <c r="A39" s="103"/>
      <c r="B39" s="99">
        <v>2011</v>
      </c>
      <c r="C39" s="19" t="s">
        <v>28</v>
      </c>
      <c r="D39" s="2">
        <v>1.2098562082862419</v>
      </c>
      <c r="E39" s="2">
        <v>7.1272824608075602</v>
      </c>
      <c r="F39" s="2">
        <v>2.6984166598843951</v>
      </c>
      <c r="G39" s="2">
        <v>2.8576046325179405E-2</v>
      </c>
      <c r="H39" s="2">
        <v>2.7204393927636517</v>
      </c>
      <c r="I39" s="2">
        <v>-3.411855903937322</v>
      </c>
      <c r="J39" s="2">
        <v>0.19613634493373944</v>
      </c>
      <c r="K39" s="2">
        <v>1.5395365634567115</v>
      </c>
      <c r="L39" s="2">
        <v>-5.0404506842671726</v>
      </c>
      <c r="M39" s="2">
        <v>-0.25001280320700037</v>
      </c>
      <c r="N39" s="2">
        <v>26.267330262240552</v>
      </c>
      <c r="O39" s="2">
        <v>-34.591253830334686</v>
      </c>
      <c r="P39" s="2">
        <v>8.9745655977461869</v>
      </c>
      <c r="Q39" s="2">
        <v>0.36657183636072954</v>
      </c>
      <c r="R39" s="2">
        <v>0.76220580922974346</v>
      </c>
      <c r="S39" s="2">
        <v>-25.500735803291697</v>
      </c>
      <c r="T39" s="2">
        <v>-98.316620387863239</v>
      </c>
      <c r="U39" s="23">
        <v>6.4870071510023886</v>
      </c>
    </row>
    <row r="40" spans="1:21" x14ac:dyDescent="0.25">
      <c r="A40" s="103"/>
      <c r="B40" s="100"/>
      <c r="C40" s="19" t="s">
        <v>29</v>
      </c>
      <c r="D40" s="2">
        <v>0.85402833709751214</v>
      </c>
      <c r="E40" s="2">
        <v>4.3663261560537681</v>
      </c>
      <c r="F40" s="2">
        <v>-9.4992592320755307</v>
      </c>
      <c r="G40" s="2">
        <v>20.900774374960186</v>
      </c>
      <c r="H40" s="2">
        <v>2.4440481854102858</v>
      </c>
      <c r="I40" s="2">
        <v>0.44548806114783623</v>
      </c>
      <c r="J40" s="2">
        <v>2.4451270771458589</v>
      </c>
      <c r="K40" s="2">
        <v>2.1391452750210371</v>
      </c>
      <c r="L40" s="2">
        <v>7.3912066827008571</v>
      </c>
      <c r="M40" s="2">
        <v>1.1882390923648289</v>
      </c>
      <c r="N40" s="2">
        <v>18.652925652817377</v>
      </c>
      <c r="O40" s="2">
        <v>-14.438411856201117</v>
      </c>
      <c r="P40" s="2">
        <v>-2.6733482058735936</v>
      </c>
      <c r="Q40" s="2">
        <v>0.74556091231499089</v>
      </c>
      <c r="R40" s="2">
        <v>2.4701143106259149</v>
      </c>
      <c r="S40" s="2">
        <v>13.199451609375989</v>
      </c>
      <c r="T40" s="2">
        <v>-4.1431913574654029</v>
      </c>
      <c r="U40" s="23">
        <v>0.88769691709111864</v>
      </c>
    </row>
    <row r="41" spans="1:21" x14ac:dyDescent="0.25">
      <c r="A41" s="103"/>
      <c r="B41" s="100"/>
      <c r="C41" s="19" t="s">
        <v>30</v>
      </c>
      <c r="D41" s="2">
        <v>1.3452778305572455</v>
      </c>
      <c r="E41" s="2">
        <v>3.8806461670895409</v>
      </c>
      <c r="F41" s="2">
        <v>12.483314154769754</v>
      </c>
      <c r="G41" s="2">
        <v>-23.863006379110818</v>
      </c>
      <c r="H41" s="2">
        <v>2.1031651665784024</v>
      </c>
      <c r="I41" s="2">
        <v>-1.5947041441425336</v>
      </c>
      <c r="J41" s="2">
        <v>3.9666998957018196</v>
      </c>
      <c r="K41" s="2">
        <v>1.7802815038170827</v>
      </c>
      <c r="L41" s="2">
        <v>1.3966647471578719</v>
      </c>
      <c r="M41" s="2">
        <v>5.5136989211704623</v>
      </c>
      <c r="N41" s="2">
        <v>10.782193690362462</v>
      </c>
      <c r="O41" s="2">
        <v>58.130043517485895</v>
      </c>
      <c r="P41" s="2">
        <v>2.0375031512326558</v>
      </c>
      <c r="Q41" s="2">
        <v>3.5483342597061984</v>
      </c>
      <c r="R41" s="2">
        <v>1.9858432521896008</v>
      </c>
      <c r="S41" s="2">
        <v>-2.6712827853470067</v>
      </c>
      <c r="T41" s="2">
        <v>95.197016315019283</v>
      </c>
      <c r="U41" s="23">
        <v>5.8111050483575788</v>
      </c>
    </row>
    <row r="42" spans="1:21" x14ac:dyDescent="0.25">
      <c r="A42" s="103"/>
      <c r="B42" s="101"/>
      <c r="C42" s="52" t="s">
        <v>31</v>
      </c>
      <c r="D42" s="20">
        <v>2.0466575051976577</v>
      </c>
      <c r="E42" s="20">
        <v>3.9357770183735541</v>
      </c>
      <c r="F42" s="20">
        <v>5.5267058552945336</v>
      </c>
      <c r="G42" s="20">
        <v>24.508158936383985</v>
      </c>
      <c r="H42" s="20">
        <v>1.9611611398079543</v>
      </c>
      <c r="I42" s="20">
        <v>-4.4420922903488647</v>
      </c>
      <c r="J42" s="20">
        <v>5.6195093245184458</v>
      </c>
      <c r="K42" s="20">
        <v>0.9613046766382638</v>
      </c>
      <c r="L42" s="20">
        <v>-2.2248675473794832</v>
      </c>
      <c r="M42" s="20">
        <v>8.9649495521570302</v>
      </c>
      <c r="N42" s="20">
        <v>2.7889012191352203</v>
      </c>
      <c r="O42" s="20">
        <v>3.9270681518390971</v>
      </c>
      <c r="P42" s="20">
        <v>2.5810617607987973</v>
      </c>
      <c r="Q42" s="20">
        <v>5.9237814404845546</v>
      </c>
      <c r="R42" s="20">
        <v>1.7511002025606404</v>
      </c>
      <c r="S42" s="20">
        <v>-0.59247590248253656</v>
      </c>
      <c r="T42" s="20">
        <v>3648.8395673786831</v>
      </c>
      <c r="U42" s="24">
        <v>-1.4282731954364469</v>
      </c>
    </row>
    <row r="43" spans="1:21" x14ac:dyDescent="0.25">
      <c r="A43" s="103"/>
      <c r="B43" s="99">
        <v>2012</v>
      </c>
      <c r="C43" s="19" t="s">
        <v>28</v>
      </c>
      <c r="D43" s="2">
        <v>1.3766842106084809</v>
      </c>
      <c r="E43" s="2">
        <v>1.4306840945760069</v>
      </c>
      <c r="F43" s="2">
        <v>2.4985302099198359</v>
      </c>
      <c r="G43" s="2">
        <v>-9.2748221634179728</v>
      </c>
      <c r="H43" s="2">
        <v>0.51428650264120357</v>
      </c>
      <c r="I43" s="2">
        <v>12.872078737204218</v>
      </c>
      <c r="J43" s="2">
        <v>6.7341755752865051</v>
      </c>
      <c r="K43" s="2">
        <v>3.7132241657303222</v>
      </c>
      <c r="L43" s="2">
        <v>-5.81427828784149</v>
      </c>
      <c r="M43" s="2">
        <v>-0.15977067133944312</v>
      </c>
      <c r="N43" s="2">
        <v>-4.7241078810451365</v>
      </c>
      <c r="O43" s="2">
        <v>-37.234105827137412</v>
      </c>
      <c r="P43" s="2">
        <v>-5.0234838137659832</v>
      </c>
      <c r="Q43" s="2">
        <v>7.7162709986910105</v>
      </c>
      <c r="R43" s="2">
        <v>2.329296646304746</v>
      </c>
      <c r="S43" s="2">
        <v>-12.952349900640847</v>
      </c>
      <c r="T43" s="2">
        <v>-97.384948278548805</v>
      </c>
      <c r="U43" s="23">
        <v>2.7689461271423133</v>
      </c>
    </row>
    <row r="44" spans="1:21" x14ac:dyDescent="0.25">
      <c r="A44" s="103"/>
      <c r="B44" s="100"/>
      <c r="C44" s="19" t="s">
        <v>29</v>
      </c>
      <c r="D44" s="2">
        <v>1.0457021889081375</v>
      </c>
      <c r="E44" s="2">
        <v>1.0017647830652177</v>
      </c>
      <c r="F44" s="2">
        <v>-4.0938244460671953</v>
      </c>
      <c r="G44" s="2">
        <v>-2.3060773278686941</v>
      </c>
      <c r="H44" s="2">
        <v>2.8289321496071329</v>
      </c>
      <c r="I44" s="2">
        <v>4.7321632387290924</v>
      </c>
      <c r="J44" s="2">
        <v>6.2607961740026585</v>
      </c>
      <c r="K44" s="2">
        <v>1.2973796378746627</v>
      </c>
      <c r="L44" s="2">
        <v>-2.9718543411977771</v>
      </c>
      <c r="M44" s="2">
        <v>-0.74437501098866266</v>
      </c>
      <c r="N44" s="2">
        <v>-1.917915897629463</v>
      </c>
      <c r="O44" s="2">
        <v>15.322828670122091</v>
      </c>
      <c r="P44" s="2">
        <v>-0.93730400607270337</v>
      </c>
      <c r="Q44" s="2">
        <v>4.0822832520227337</v>
      </c>
      <c r="R44" s="2">
        <v>1.7025674233266175</v>
      </c>
      <c r="S44" s="2">
        <v>18.205339150532886</v>
      </c>
      <c r="T44" s="2">
        <v>-6.2686590003618203</v>
      </c>
      <c r="U44" s="23">
        <v>5.7535112775011443</v>
      </c>
    </row>
    <row r="45" spans="1:21" x14ac:dyDescent="0.25">
      <c r="A45" s="103"/>
      <c r="B45" s="100"/>
      <c r="C45" s="19" t="s">
        <v>30</v>
      </c>
      <c r="D45" s="2">
        <v>1.6768123365193288</v>
      </c>
      <c r="E45" s="2">
        <v>1.1298981628868443</v>
      </c>
      <c r="F45" s="2">
        <v>0.41236927212475738</v>
      </c>
      <c r="G45" s="2">
        <v>3.736958317270056</v>
      </c>
      <c r="H45" s="2">
        <v>2.590646851603462</v>
      </c>
      <c r="I45" s="2">
        <v>-0.27705059786728992</v>
      </c>
      <c r="J45" s="2">
        <v>5.2859036344470756</v>
      </c>
      <c r="K45" s="2">
        <v>0.33398174312335716</v>
      </c>
      <c r="L45" s="2">
        <v>-1.3189339097118058</v>
      </c>
      <c r="M45" s="2">
        <v>2.8071932943907196</v>
      </c>
      <c r="N45" s="2">
        <v>0.50344871418834813</v>
      </c>
      <c r="O45" s="2">
        <v>50.303387151051446</v>
      </c>
      <c r="P45" s="2">
        <v>13.278552567220437</v>
      </c>
      <c r="Q45" s="2">
        <v>3.0888405847988576</v>
      </c>
      <c r="R45" s="2">
        <v>0.50479717336633367</v>
      </c>
      <c r="S45" s="2">
        <v>-9.6809919124236199</v>
      </c>
      <c r="T45" s="2">
        <v>-6.4670997630682177</v>
      </c>
      <c r="U45" s="23">
        <v>-1.1811700758135535</v>
      </c>
    </row>
    <row r="46" spans="1:21" x14ac:dyDescent="0.25">
      <c r="A46" s="103"/>
      <c r="B46" s="101"/>
      <c r="C46" s="52" t="s">
        <v>31</v>
      </c>
      <c r="D46" s="20">
        <v>2.1111835344691077</v>
      </c>
      <c r="E46" s="20">
        <v>3.2351127799062906</v>
      </c>
      <c r="F46" s="20">
        <v>5.5774630276921977</v>
      </c>
      <c r="G46" s="20">
        <v>2.1087051144419222</v>
      </c>
      <c r="H46" s="20">
        <v>2.9648344232757085</v>
      </c>
      <c r="I46" s="20">
        <v>-6.3840826575771832</v>
      </c>
      <c r="J46" s="20">
        <v>4.5661520809111567</v>
      </c>
      <c r="K46" s="20">
        <v>-0.43562197642751377</v>
      </c>
      <c r="L46" s="20">
        <v>5.4174645504972307</v>
      </c>
      <c r="M46" s="20">
        <v>1.0849397984282083</v>
      </c>
      <c r="N46" s="20">
        <v>3.4536322540750675</v>
      </c>
      <c r="O46" s="20">
        <v>-21.313737921777776</v>
      </c>
      <c r="P46" s="20">
        <v>0.19701112926431286</v>
      </c>
      <c r="Q46" s="20">
        <v>2.0765740006445377</v>
      </c>
      <c r="R46" s="20">
        <v>-0.18689358400072464</v>
      </c>
      <c r="S46" s="20">
        <v>12.142890744129332</v>
      </c>
      <c r="T46" s="20">
        <v>4533.8554039211785</v>
      </c>
      <c r="U46" s="24">
        <v>-0.68719040926035202</v>
      </c>
    </row>
    <row r="47" spans="1:21" x14ac:dyDescent="0.25">
      <c r="A47" s="103"/>
      <c r="B47" s="99">
        <v>2013</v>
      </c>
      <c r="C47" s="19" t="s">
        <v>28</v>
      </c>
      <c r="D47" s="2">
        <v>1.6021669561841811</v>
      </c>
      <c r="E47" s="2">
        <v>-0.68987444033790091</v>
      </c>
      <c r="F47" s="2">
        <v>-3.7919274946793258</v>
      </c>
      <c r="G47" s="2">
        <v>-4.3034603512948859</v>
      </c>
      <c r="H47" s="2">
        <v>0.86217349270238941</v>
      </c>
      <c r="I47" s="2">
        <v>22.865313979275847</v>
      </c>
      <c r="J47" s="2">
        <v>3.9091792361516164</v>
      </c>
      <c r="K47" s="2">
        <v>3.2239282760623045</v>
      </c>
      <c r="L47" s="2">
        <v>4.6026475126615729</v>
      </c>
      <c r="M47" s="2">
        <v>15.219133817775798</v>
      </c>
      <c r="N47" s="2">
        <v>6.7892165073214938</v>
      </c>
      <c r="O47" s="2">
        <v>-35.952477355968426</v>
      </c>
      <c r="P47" s="2">
        <v>1.3251735139552689</v>
      </c>
      <c r="Q47" s="2">
        <v>0.26516433485981317</v>
      </c>
      <c r="R47" s="2">
        <v>-0.17030403202927813</v>
      </c>
      <c r="S47" s="2">
        <v>-0.15318770018605266</v>
      </c>
      <c r="T47" s="2">
        <v>-98.161575798983719</v>
      </c>
      <c r="U47" s="23">
        <v>8.6785455445621995</v>
      </c>
    </row>
    <row r="48" spans="1:21" x14ac:dyDescent="0.25">
      <c r="A48" s="103"/>
      <c r="B48" s="100"/>
      <c r="C48" s="19" t="s">
        <v>29</v>
      </c>
      <c r="D48" s="2">
        <v>4.4592852550273676E-2</v>
      </c>
      <c r="E48" s="2">
        <v>-0.29909897499872384</v>
      </c>
      <c r="F48" s="2">
        <v>1.0106341092617876</v>
      </c>
      <c r="G48" s="2">
        <v>2.7975782270161398</v>
      </c>
      <c r="H48" s="2">
        <v>2.5154037562067133</v>
      </c>
      <c r="I48" s="2">
        <v>14.549627541218491</v>
      </c>
      <c r="J48" s="2">
        <v>3.3191666849343271</v>
      </c>
      <c r="K48" s="2">
        <v>1.7464890206105865</v>
      </c>
      <c r="L48" s="2">
        <v>6.9408994347065489</v>
      </c>
      <c r="M48" s="2">
        <v>-3.112898306095635</v>
      </c>
      <c r="N48" s="2">
        <v>6.7737228655476489</v>
      </c>
      <c r="O48" s="2">
        <v>28.851046814390656</v>
      </c>
      <c r="P48" s="2">
        <v>-1.8603226758618363</v>
      </c>
      <c r="Q48" s="2">
        <v>-0.72217324405676742</v>
      </c>
      <c r="R48" s="2">
        <v>1.8787984885973552</v>
      </c>
      <c r="S48" s="2">
        <v>2.6640751805015794</v>
      </c>
      <c r="T48" s="2">
        <v>226.88501071403172</v>
      </c>
      <c r="U48" s="23">
        <v>1.0750141077681574</v>
      </c>
    </row>
    <row r="49" spans="1:21" x14ac:dyDescent="0.25">
      <c r="A49" s="103"/>
      <c r="B49" s="100"/>
      <c r="C49" s="19" t="s">
        <v>30</v>
      </c>
      <c r="D49" s="2">
        <v>-0.25801787076796812</v>
      </c>
      <c r="E49" s="2">
        <v>-0.56907643701212818</v>
      </c>
      <c r="F49" s="2">
        <v>0.57106551897567748</v>
      </c>
      <c r="G49" s="2">
        <v>6.790618569358875</v>
      </c>
      <c r="H49" s="2">
        <v>1.1490207395448815</v>
      </c>
      <c r="I49" s="2">
        <v>-12.394821670929268</v>
      </c>
      <c r="J49" s="2">
        <v>2.0840442554893368</v>
      </c>
      <c r="K49" s="2">
        <v>1.1219405802180837</v>
      </c>
      <c r="L49" s="2">
        <v>6.2189023767762475</v>
      </c>
      <c r="M49" s="2">
        <v>-10.693801159998573</v>
      </c>
      <c r="N49" s="2">
        <v>4.5940663964517681</v>
      </c>
      <c r="O49" s="2">
        <v>39.755324082837376</v>
      </c>
      <c r="P49" s="2">
        <v>7.5266916409799656E-2</v>
      </c>
      <c r="Q49" s="2">
        <v>-0.96809619088353838</v>
      </c>
      <c r="R49" s="2">
        <v>3.4168294312231895</v>
      </c>
      <c r="S49" s="2">
        <v>2.5658985304810589</v>
      </c>
      <c r="T49" s="2">
        <v>1352.1840362667979</v>
      </c>
      <c r="U49" s="23">
        <v>-16.223763824907255</v>
      </c>
    </row>
    <row r="50" spans="1:21" x14ac:dyDescent="0.25">
      <c r="A50" s="103"/>
      <c r="B50" s="101"/>
      <c r="C50" s="52" t="s">
        <v>31</v>
      </c>
      <c r="D50" s="20">
        <v>-0.7922923120042058</v>
      </c>
      <c r="E50" s="20">
        <v>1.6129320880571951</v>
      </c>
      <c r="F50" s="20">
        <v>-4.7940862871923891</v>
      </c>
      <c r="G50" s="20">
        <v>0.58501514021820356</v>
      </c>
      <c r="H50" s="20">
        <v>0.65143910282599027</v>
      </c>
      <c r="I50" s="20">
        <v>8.6258594097728292</v>
      </c>
      <c r="J50" s="20">
        <v>1.1038544611520873</v>
      </c>
      <c r="K50" s="20">
        <v>0.80983900344551163</v>
      </c>
      <c r="L50" s="20">
        <v>6.771605146299664</v>
      </c>
      <c r="M50" s="20">
        <v>-11.515406534566274</v>
      </c>
      <c r="N50" s="20">
        <v>1.5370518005549227</v>
      </c>
      <c r="O50" s="20">
        <v>-4.5017639073228644</v>
      </c>
      <c r="P50" s="20">
        <v>3.0054160173601963</v>
      </c>
      <c r="Q50" s="20">
        <v>-1.3004988096033898</v>
      </c>
      <c r="R50" s="20">
        <v>3.2243212939724764</v>
      </c>
      <c r="S50" s="20">
        <v>25.488562481197597</v>
      </c>
      <c r="T50" s="20">
        <v>-68.340660647239233</v>
      </c>
      <c r="U50" s="24">
        <v>16.907912577531391</v>
      </c>
    </row>
    <row r="51" spans="1:21" x14ac:dyDescent="0.25">
      <c r="A51" s="103"/>
      <c r="B51" s="99">
        <v>2014</v>
      </c>
      <c r="C51" s="19" t="s">
        <v>28</v>
      </c>
      <c r="D51" s="2">
        <v>6.9359838138263408</v>
      </c>
      <c r="E51" s="2">
        <v>39.932361995408591</v>
      </c>
      <c r="F51" s="2">
        <v>-6.6849591910934976</v>
      </c>
      <c r="G51" s="2">
        <v>-13.940485072359976</v>
      </c>
      <c r="H51" s="2">
        <v>-20.672646716373389</v>
      </c>
      <c r="I51" s="2">
        <v>0.78321913750802885</v>
      </c>
      <c r="J51" s="2">
        <v>11.223833136880955</v>
      </c>
      <c r="K51" s="2">
        <v>8.6858845031691168</v>
      </c>
      <c r="L51" s="2">
        <v>-10.028970237075828</v>
      </c>
      <c r="M51" s="2">
        <v>34.168958792138547</v>
      </c>
      <c r="N51" s="2">
        <v>3.6378917465645921</v>
      </c>
      <c r="O51" s="2">
        <v>-43.006156553657924</v>
      </c>
      <c r="P51" s="2">
        <v>4.4315177647517467</v>
      </c>
      <c r="Q51" s="2">
        <v>-0.65931272714685463</v>
      </c>
      <c r="R51" s="2">
        <v>1.0618101294290749</v>
      </c>
      <c r="S51" s="2">
        <v>-13.657391846886513</v>
      </c>
      <c r="T51" s="2">
        <v>59.484628093406869</v>
      </c>
      <c r="U51" s="23">
        <v>-7.1621612018120455</v>
      </c>
    </row>
    <row r="52" spans="1:21" x14ac:dyDescent="0.25">
      <c r="A52" s="103"/>
      <c r="B52" s="100"/>
      <c r="C52" s="19" t="s">
        <v>29</v>
      </c>
      <c r="D52" s="2">
        <v>-0.91670912008459116</v>
      </c>
      <c r="E52" s="2">
        <v>-0.59518686160411338</v>
      </c>
      <c r="F52" s="2">
        <v>4.3547507842226052</v>
      </c>
      <c r="G52" s="2">
        <v>12.935343206506511</v>
      </c>
      <c r="H52" s="2">
        <v>13.34928718816526</v>
      </c>
      <c r="I52" s="2">
        <v>-4.4137944283539348</v>
      </c>
      <c r="J52" s="2">
        <v>-14.808488593985603</v>
      </c>
      <c r="K52" s="2">
        <v>8.981041822090873</v>
      </c>
      <c r="L52" s="2">
        <v>-1.2705004237892559</v>
      </c>
      <c r="M52" s="2">
        <v>0.50292033612358011</v>
      </c>
      <c r="N52" s="2">
        <v>-2.6939727771329913</v>
      </c>
      <c r="O52" s="2">
        <v>14.688049049020391</v>
      </c>
      <c r="P52" s="2">
        <v>0.93242537868396536</v>
      </c>
      <c r="Q52" s="2">
        <v>-1.1867612324778509</v>
      </c>
      <c r="R52" s="2">
        <v>12.040485136393485</v>
      </c>
      <c r="S52" s="2">
        <v>22.434629509119986</v>
      </c>
      <c r="T52" s="2">
        <v>4.8262305865963695</v>
      </c>
      <c r="U52" s="23">
        <v>3.4859964384575948</v>
      </c>
    </row>
    <row r="53" spans="1:21" x14ac:dyDescent="0.25">
      <c r="A53" s="103"/>
      <c r="B53" s="100"/>
      <c r="C53" s="19" t="s">
        <v>30</v>
      </c>
      <c r="D53" s="2">
        <v>-0.6293196901257847</v>
      </c>
      <c r="E53" s="2">
        <v>-16.183982305006406</v>
      </c>
      <c r="F53" s="2">
        <v>8.1942713617385809</v>
      </c>
      <c r="G53" s="2">
        <v>9.3589646841140564</v>
      </c>
      <c r="H53" s="2">
        <v>7.0134738252320306</v>
      </c>
      <c r="I53" s="2">
        <v>4.6600755867632682</v>
      </c>
      <c r="J53" s="2">
        <v>3.9002517868476971</v>
      </c>
      <c r="K53" s="2">
        <v>6.8651490897308376</v>
      </c>
      <c r="L53" s="2">
        <v>5.461038455101952</v>
      </c>
      <c r="M53" s="2">
        <v>-11.337693275547988</v>
      </c>
      <c r="N53" s="2">
        <v>2.9338398307676483</v>
      </c>
      <c r="O53" s="2">
        <v>-0.86253261410765836</v>
      </c>
      <c r="P53" s="2">
        <v>0.63733844430919895</v>
      </c>
      <c r="Q53" s="2">
        <v>-0.7297491839547976</v>
      </c>
      <c r="R53" s="2">
        <v>2.5202191692472509</v>
      </c>
      <c r="S53" s="2">
        <v>-3.2667521623715112</v>
      </c>
      <c r="T53" s="2">
        <v>-49.497748566169463</v>
      </c>
      <c r="U53" s="23">
        <v>8.1907223547850414</v>
      </c>
    </row>
    <row r="54" spans="1:21" x14ac:dyDescent="0.25">
      <c r="A54" s="103"/>
      <c r="B54" s="101"/>
      <c r="C54" s="52" t="s">
        <v>31</v>
      </c>
      <c r="D54" s="20">
        <v>2.2187009054722262</v>
      </c>
      <c r="E54" s="20">
        <v>4.9434294834219683</v>
      </c>
      <c r="F54" s="20">
        <v>1.1742031733850355</v>
      </c>
      <c r="G54" s="20">
        <v>-9.5760967082539779</v>
      </c>
      <c r="H54" s="20">
        <v>8.9223103124413505</v>
      </c>
      <c r="I54" s="20">
        <v>3.9191075964399635</v>
      </c>
      <c r="J54" s="20">
        <v>-6.9633020646521215</v>
      </c>
      <c r="K54" s="20">
        <v>7.5630239810472455</v>
      </c>
      <c r="L54" s="20">
        <v>1.8424107229095155</v>
      </c>
      <c r="M54" s="20">
        <v>15.834492513888998</v>
      </c>
      <c r="N54" s="20">
        <v>2.5286890181825283</v>
      </c>
      <c r="O54" s="20">
        <v>74.102257777849218</v>
      </c>
      <c r="P54" s="20">
        <v>3.2496507477085101</v>
      </c>
      <c r="Q54" s="20">
        <v>-0.27849019081959137</v>
      </c>
      <c r="R54" s="20">
        <v>-5.6347514368844553</v>
      </c>
      <c r="S54" s="20">
        <v>-37.687251811567968</v>
      </c>
      <c r="T54" s="20">
        <v>-38.843051505012383</v>
      </c>
      <c r="U54" s="24">
        <v>10.280064374853648</v>
      </c>
    </row>
    <row r="55" spans="1:21" x14ac:dyDescent="0.25">
      <c r="A55" s="103"/>
      <c r="B55" s="99">
        <v>2015</v>
      </c>
      <c r="C55" s="19" t="s">
        <v>28</v>
      </c>
      <c r="D55" s="2">
        <v>1.0192266049530385</v>
      </c>
      <c r="E55" s="2">
        <v>39.743763564240943</v>
      </c>
      <c r="F55" s="2">
        <v>1.6324134282124758</v>
      </c>
      <c r="G55" s="2">
        <v>-5.6414767557607659</v>
      </c>
      <c r="H55" s="2">
        <v>-6.1722854432434193</v>
      </c>
      <c r="I55" s="2">
        <v>2.8955165374435987</v>
      </c>
      <c r="J55" s="2">
        <v>-7.0349832992545158</v>
      </c>
      <c r="K55" s="2">
        <v>-15.093152971755597</v>
      </c>
      <c r="L55" s="2">
        <v>-0.85319221121403777</v>
      </c>
      <c r="M55" s="2">
        <v>2.4461202010795047</v>
      </c>
      <c r="N55" s="2">
        <v>-6.125651493112505</v>
      </c>
      <c r="O55" s="2">
        <v>-26.009106905817003</v>
      </c>
      <c r="P55" s="2">
        <v>-1.9790319315704519</v>
      </c>
      <c r="Q55" s="2">
        <v>0.4013706615671353</v>
      </c>
      <c r="R55" s="2">
        <v>-5.4037518901896897</v>
      </c>
      <c r="S55" s="2">
        <v>24.518999636649141</v>
      </c>
      <c r="T55" s="2">
        <v>393.82003386811891</v>
      </c>
      <c r="U55" s="23">
        <v>-12.890128261436551</v>
      </c>
    </row>
    <row r="56" spans="1:21" x14ac:dyDescent="0.25">
      <c r="A56" s="103"/>
      <c r="B56" s="100"/>
      <c r="C56" s="19" t="s">
        <v>29</v>
      </c>
      <c r="D56" s="2">
        <v>-0.55418236822131206</v>
      </c>
      <c r="E56" s="2">
        <v>-17.203229327737589</v>
      </c>
      <c r="F56" s="2">
        <v>3.321034107723575</v>
      </c>
      <c r="G56" s="2">
        <v>13.467250105498763</v>
      </c>
      <c r="H56" s="2">
        <v>0.78520744574273049</v>
      </c>
      <c r="I56" s="2">
        <v>2.9833647739063718</v>
      </c>
      <c r="J56" s="2">
        <v>7.7867351608994051</v>
      </c>
      <c r="K56" s="2">
        <v>2.0923955577928366</v>
      </c>
      <c r="L56" s="2">
        <v>5.533760054460779</v>
      </c>
      <c r="M56" s="2">
        <v>0.99537080161344882</v>
      </c>
      <c r="N56" s="2">
        <v>1.8966337883192796</v>
      </c>
      <c r="O56" s="2">
        <v>1.413142851788507</v>
      </c>
      <c r="P56" s="2">
        <v>1.7546009822734909</v>
      </c>
      <c r="Q56" s="2">
        <v>0.65141240999935235</v>
      </c>
      <c r="R56" s="2">
        <v>-3.2460652486286823</v>
      </c>
      <c r="S56" s="2">
        <v>-22.458003076388867</v>
      </c>
      <c r="T56" s="2">
        <v>-83.550457970821697</v>
      </c>
      <c r="U56" s="23">
        <v>4.8380029908630773</v>
      </c>
    </row>
    <row r="57" spans="1:21" x14ac:dyDescent="0.25">
      <c r="A57" s="103"/>
      <c r="B57" s="100"/>
      <c r="C57" s="19" t="s">
        <v>30</v>
      </c>
      <c r="D57" s="2">
        <v>-1.5183596201647553</v>
      </c>
      <c r="E57" s="2">
        <v>-2.3754462982037317</v>
      </c>
      <c r="F57" s="2">
        <v>1.7717871684051367</v>
      </c>
      <c r="G57" s="2">
        <v>3.328284419030525</v>
      </c>
      <c r="H57" s="2">
        <v>-3.8608867594606466</v>
      </c>
      <c r="I57" s="2">
        <v>0.88242970881440286</v>
      </c>
      <c r="J57" s="2">
        <v>3.2963539378345397</v>
      </c>
      <c r="K57" s="2">
        <v>7.7806983149453224E-2</v>
      </c>
      <c r="L57" s="2">
        <v>-8.5382045237036852</v>
      </c>
      <c r="M57" s="2">
        <v>-0.45596329833672566</v>
      </c>
      <c r="N57" s="2">
        <v>0.82726022120633846</v>
      </c>
      <c r="O57" s="2">
        <v>9.2558274633215643</v>
      </c>
      <c r="P57" s="2">
        <v>-11.276548912423156</v>
      </c>
      <c r="Q57" s="2">
        <v>0.63479531002677003</v>
      </c>
      <c r="R57" s="2">
        <v>-1.4375943094482313</v>
      </c>
      <c r="S57" s="2">
        <v>3.9962002500250282</v>
      </c>
      <c r="T57" s="2">
        <v>-58.283439885352252</v>
      </c>
      <c r="U57" s="23">
        <v>-1.5349961742145535</v>
      </c>
    </row>
    <row r="58" spans="1:21" x14ac:dyDescent="0.25">
      <c r="A58" s="103"/>
      <c r="B58" s="101"/>
      <c r="C58" s="52" t="s">
        <v>31</v>
      </c>
      <c r="D58" s="20">
        <v>9.5214479260273155</v>
      </c>
      <c r="E58" s="20">
        <v>2.0151949778525857</v>
      </c>
      <c r="F58" s="20">
        <v>-1.0683428856293142</v>
      </c>
      <c r="G58" s="20">
        <v>4.3804829640422982</v>
      </c>
      <c r="H58" s="20">
        <v>-0.59594429076837985</v>
      </c>
      <c r="I58" s="20">
        <v>0.66937910264586176</v>
      </c>
      <c r="J58" s="20">
        <v>-17.553905615693321</v>
      </c>
      <c r="K58" s="20">
        <v>3.7642138047337292</v>
      </c>
      <c r="L58" s="20">
        <v>-7.0871010531718177</v>
      </c>
      <c r="M58" s="20">
        <v>-0.97113827148089804</v>
      </c>
      <c r="N58" s="20">
        <v>6.7156063593694526</v>
      </c>
      <c r="O58" s="20">
        <v>-2.0014088852914447</v>
      </c>
      <c r="P58" s="20">
        <v>2.8919027432952715</v>
      </c>
      <c r="Q58" s="20">
        <v>0.42998270958043427</v>
      </c>
      <c r="R58" s="20">
        <v>-1.126992044076236</v>
      </c>
      <c r="S58" s="20">
        <v>82.49337183642136</v>
      </c>
      <c r="T58" s="20">
        <v>1155.4875068726608</v>
      </c>
      <c r="U58" s="24">
        <v>-0.32035526923984703</v>
      </c>
    </row>
    <row r="59" spans="1:21" x14ac:dyDescent="0.25">
      <c r="A59" s="103"/>
      <c r="B59" s="99">
        <v>2016</v>
      </c>
      <c r="C59" s="19" t="s">
        <v>28</v>
      </c>
      <c r="D59" s="2">
        <v>-4.3394560325160869</v>
      </c>
      <c r="E59" s="2">
        <v>-5.5191435537286111</v>
      </c>
      <c r="F59" s="2">
        <v>0.52457299795489742</v>
      </c>
      <c r="G59" s="2">
        <v>-9.2123894856311335</v>
      </c>
      <c r="H59" s="2">
        <v>5.9072120463429467</v>
      </c>
      <c r="I59" s="2">
        <v>4.5037800312889953</v>
      </c>
      <c r="J59" s="2">
        <v>32.016989159612955</v>
      </c>
      <c r="K59" s="2">
        <v>-2.9949292281598927</v>
      </c>
      <c r="L59" s="2">
        <v>15.448546433914846</v>
      </c>
      <c r="M59" s="2">
        <v>3.039447157864883</v>
      </c>
      <c r="N59" s="2">
        <v>-6.9826807738226027</v>
      </c>
      <c r="O59" s="2">
        <v>-4.7623570290468926</v>
      </c>
      <c r="P59" s="2">
        <v>-6.0992339966524645</v>
      </c>
      <c r="Q59" s="2">
        <v>0.54866077389310597</v>
      </c>
      <c r="R59" s="2">
        <v>7.570582343934773</v>
      </c>
      <c r="S59" s="2">
        <v>-39.402079835609904</v>
      </c>
      <c r="T59" s="2">
        <v>-94.184165529695463</v>
      </c>
      <c r="U59" s="23">
        <v>2.5339288825857009</v>
      </c>
    </row>
    <row r="60" spans="1:21" x14ac:dyDescent="0.25">
      <c r="A60" s="103"/>
      <c r="B60" s="100"/>
      <c r="C60" s="19" t="s">
        <v>29</v>
      </c>
      <c r="D60" s="2">
        <v>-6.4012902331145316E-2</v>
      </c>
      <c r="E60" s="2">
        <v>8.0489543224991245</v>
      </c>
      <c r="F60" s="2">
        <v>-2.429046190996087</v>
      </c>
      <c r="G60" s="2">
        <v>-7.4176683565986723</v>
      </c>
      <c r="H60" s="2">
        <v>2.3880968515188616</v>
      </c>
      <c r="I60" s="2">
        <v>2.4979420726265911</v>
      </c>
      <c r="J60" s="2">
        <v>-0.41197933486816218</v>
      </c>
      <c r="K60" s="2">
        <v>-4.1174160903028607</v>
      </c>
      <c r="L60" s="2">
        <v>-16.441189326809624</v>
      </c>
      <c r="M60" s="2">
        <v>1.3671738590685933</v>
      </c>
      <c r="N60" s="2">
        <v>-2.8329932942805836</v>
      </c>
      <c r="O60" s="2">
        <v>-0.26396864191203795</v>
      </c>
      <c r="P60" s="2">
        <v>-5.4094668258438343</v>
      </c>
      <c r="Q60" s="2">
        <v>1.4893794420628437</v>
      </c>
      <c r="R60" s="2">
        <v>2.6617589007113196</v>
      </c>
      <c r="S60" s="2">
        <v>8.4998180822316591</v>
      </c>
      <c r="T60" s="2">
        <v>262.56610382370036</v>
      </c>
      <c r="U60" s="23">
        <v>-1.1591443590231232</v>
      </c>
    </row>
    <row r="61" spans="1:21" x14ac:dyDescent="0.25">
      <c r="A61" s="103"/>
      <c r="B61" s="100"/>
      <c r="C61" s="19" t="s">
        <v>30</v>
      </c>
      <c r="D61" s="2">
        <v>-0.63509398324678168</v>
      </c>
      <c r="E61" s="2">
        <v>19.398644736862526</v>
      </c>
      <c r="F61" s="2">
        <v>-0.50400818622846622</v>
      </c>
      <c r="G61" s="2">
        <v>20.400601632287916</v>
      </c>
      <c r="H61" s="2">
        <v>0.7320487834697964</v>
      </c>
      <c r="I61" s="2">
        <v>1.3847055109383666</v>
      </c>
      <c r="J61" s="2">
        <v>-23.538579651832059</v>
      </c>
      <c r="K61" s="2">
        <v>-3.0363040755562065</v>
      </c>
      <c r="L61" s="2">
        <v>15.368497168422213</v>
      </c>
      <c r="M61" s="2">
        <v>3.8831483201742456</v>
      </c>
      <c r="N61" s="2">
        <v>-3.4607390606019361</v>
      </c>
      <c r="O61" s="2">
        <v>3.484508615663473</v>
      </c>
      <c r="P61" s="2">
        <v>-4.7458116635411223</v>
      </c>
      <c r="Q61" s="2">
        <v>0.86571452624639722</v>
      </c>
      <c r="R61" s="2">
        <v>2.3760625690969928</v>
      </c>
      <c r="S61" s="2">
        <v>4.9509704196193161</v>
      </c>
      <c r="T61" s="2">
        <v>-14.629806666583445</v>
      </c>
      <c r="U61" s="23">
        <v>-3.9199672720756862</v>
      </c>
    </row>
    <row r="62" spans="1:21" x14ac:dyDescent="0.25">
      <c r="A62" s="103"/>
      <c r="B62" s="101"/>
      <c r="C62" s="52" t="s">
        <v>31</v>
      </c>
      <c r="D62" s="20">
        <v>-2.9867636429212752</v>
      </c>
      <c r="E62" s="20">
        <v>10.112263432935498</v>
      </c>
      <c r="F62" s="20">
        <v>-7.5329740522644855</v>
      </c>
      <c r="G62" s="20">
        <v>-6.8228758905554461</v>
      </c>
      <c r="H62" s="20">
        <v>-2.8846182769571627</v>
      </c>
      <c r="I62" s="20">
        <v>0.79603889688999452</v>
      </c>
      <c r="J62" s="20">
        <v>1.9293879538716308</v>
      </c>
      <c r="K62" s="20">
        <v>-4.0299286827353402</v>
      </c>
      <c r="L62" s="20">
        <v>5.3589530853200174</v>
      </c>
      <c r="M62" s="20">
        <v>-6.8335966110096624</v>
      </c>
      <c r="N62" s="20">
        <v>1.969847887713061</v>
      </c>
      <c r="O62" s="20">
        <v>8.2442788706434289</v>
      </c>
      <c r="P62" s="20">
        <v>-2.4546127855898936</v>
      </c>
      <c r="Q62" s="20">
        <v>0.25708810729376808</v>
      </c>
      <c r="R62" s="20">
        <v>6.8892955715519788</v>
      </c>
      <c r="S62" s="20">
        <v>22.364097759761272</v>
      </c>
      <c r="T62" s="20">
        <v>4.8195344828424691</v>
      </c>
      <c r="U62" s="24">
        <v>-0.46865773036905978</v>
      </c>
    </row>
    <row r="63" spans="1:21" x14ac:dyDescent="0.25">
      <c r="A63" s="103"/>
      <c r="B63" s="99">
        <v>2017</v>
      </c>
      <c r="C63" s="19" t="s">
        <v>28</v>
      </c>
      <c r="D63" s="2">
        <v>1.419934914425891</v>
      </c>
      <c r="E63" s="2">
        <v>-21.111644226040017</v>
      </c>
      <c r="F63" s="2">
        <v>-2.1077216753027317</v>
      </c>
      <c r="G63" s="2">
        <v>-2.416128919530891</v>
      </c>
      <c r="H63" s="2">
        <v>4.3713486584222583</v>
      </c>
      <c r="I63" s="2">
        <v>-5.0756982444421839</v>
      </c>
      <c r="J63" s="2">
        <v>6.8202244995681616</v>
      </c>
      <c r="K63" s="2">
        <v>4.7826667269811329</v>
      </c>
      <c r="L63" s="2">
        <v>-6.3949142804813004</v>
      </c>
      <c r="M63" s="2">
        <v>1.1668101654502827</v>
      </c>
      <c r="N63" s="2">
        <v>4.8528868060700558</v>
      </c>
      <c r="O63" s="2">
        <v>-20.707844849924882</v>
      </c>
      <c r="P63" s="2">
        <v>2.7940731451216561</v>
      </c>
      <c r="Q63" s="2">
        <v>0.38384898308883031</v>
      </c>
      <c r="R63" s="2">
        <v>1.8314283507958384</v>
      </c>
      <c r="S63" s="2">
        <v>-19.000941915926393</v>
      </c>
      <c r="T63" s="2">
        <v>-83.473076625743587</v>
      </c>
      <c r="U63" s="23">
        <v>0.94221528571720725</v>
      </c>
    </row>
    <row r="64" spans="1:21" x14ac:dyDescent="0.25">
      <c r="A64" s="103"/>
      <c r="B64" s="100"/>
      <c r="C64" s="19" t="s">
        <v>29</v>
      </c>
      <c r="D64" s="2">
        <v>2.783924514209879</v>
      </c>
      <c r="E64" s="2">
        <v>8.5925497796957693</v>
      </c>
      <c r="F64" s="2">
        <v>-0.30396566025657767</v>
      </c>
      <c r="G64" s="2">
        <v>1.4562726953590177</v>
      </c>
      <c r="H64" s="2">
        <v>-1.1054461535383031</v>
      </c>
      <c r="I64" s="2">
        <v>-4.1676222011060693</v>
      </c>
      <c r="J64" s="2">
        <v>12.63584762063752</v>
      </c>
      <c r="K64" s="2">
        <v>4.3105855404123927</v>
      </c>
      <c r="L64" s="2">
        <v>-1.1543952064524188</v>
      </c>
      <c r="M64" s="2">
        <v>5.7858646772058098</v>
      </c>
      <c r="N64" s="2">
        <v>-3.4653081532061258</v>
      </c>
      <c r="O64" s="2">
        <v>2.1875994707516444</v>
      </c>
      <c r="P64" s="2">
        <v>4.6581792512982112</v>
      </c>
      <c r="Q64" s="2">
        <v>2.5751818250689062</v>
      </c>
      <c r="R64" s="2">
        <v>1.2814841792486709</v>
      </c>
      <c r="S64" s="2">
        <v>16.463998230135179</v>
      </c>
      <c r="T64" s="2">
        <v>342.96510952751493</v>
      </c>
      <c r="U64" s="23">
        <v>2.7865974907372193</v>
      </c>
    </row>
    <row r="65" spans="1:21" x14ac:dyDescent="0.25">
      <c r="A65" s="103"/>
      <c r="B65" s="100"/>
      <c r="C65" s="19" t="s">
        <v>30</v>
      </c>
      <c r="D65" s="2">
        <v>-0.34112038366248543</v>
      </c>
      <c r="E65" s="2">
        <v>5.6277511956226212</v>
      </c>
      <c r="F65" s="2">
        <v>2.9196264133047434</v>
      </c>
      <c r="G65" s="2">
        <v>-13.683240059595647</v>
      </c>
      <c r="H65" s="2">
        <v>1.173438873657906</v>
      </c>
      <c r="I65" s="2">
        <v>11.958092056439117</v>
      </c>
      <c r="J65" s="2">
        <v>1.4949642104708616</v>
      </c>
      <c r="K65" s="2">
        <v>-2.2908471524415663</v>
      </c>
      <c r="L65" s="2">
        <v>1.5049347333006224</v>
      </c>
      <c r="M65" s="2">
        <v>7.2828251886212891</v>
      </c>
      <c r="N65" s="2">
        <v>-2.2395792013167659</v>
      </c>
      <c r="O65" s="2">
        <v>7.5900894522609175</v>
      </c>
      <c r="P65" s="2">
        <v>-2.1705932170749676</v>
      </c>
      <c r="Q65" s="2">
        <v>0.22650613063710523</v>
      </c>
      <c r="R65" s="2">
        <v>-1.0188346332898224</v>
      </c>
      <c r="S65" s="2">
        <v>-14.058636189876662</v>
      </c>
      <c r="T65" s="2">
        <v>9.0802592020342807</v>
      </c>
      <c r="U65" s="23">
        <v>0.91915684636165729</v>
      </c>
    </row>
    <row r="66" spans="1:21" x14ac:dyDescent="0.25">
      <c r="A66" s="103"/>
      <c r="B66" s="101"/>
      <c r="C66" s="52" t="s">
        <v>31</v>
      </c>
      <c r="D66" s="20">
        <v>-0.89274918550436011</v>
      </c>
      <c r="E66" s="20">
        <v>-11.356947479321899</v>
      </c>
      <c r="F66" s="20">
        <v>-4.9179415046088355</v>
      </c>
      <c r="G66" s="20">
        <v>25.946452024561474</v>
      </c>
      <c r="H66" s="20">
        <v>-5.2368156759587725</v>
      </c>
      <c r="I66" s="20">
        <v>-3.4117646077240438</v>
      </c>
      <c r="J66" s="20">
        <v>-11.970696056996911</v>
      </c>
      <c r="K66" s="20">
        <v>-3.7113423891374508</v>
      </c>
      <c r="L66" s="20">
        <v>-0.75719055954472925</v>
      </c>
      <c r="M66" s="20">
        <v>-13.204123429476534</v>
      </c>
      <c r="N66" s="20">
        <v>3.7791038962693646</v>
      </c>
      <c r="O66" s="20">
        <v>-3.6403696939816488</v>
      </c>
      <c r="P66" s="20">
        <v>2.0819021685862138</v>
      </c>
      <c r="Q66" s="20">
        <v>-1.7373659993809909</v>
      </c>
      <c r="R66" s="20">
        <v>0.72142664057124328</v>
      </c>
      <c r="S66" s="20">
        <v>-9.4120669384769151</v>
      </c>
      <c r="T66" s="20">
        <v>-54.237235213996996</v>
      </c>
      <c r="U66" s="24">
        <v>-3.7829921139519884</v>
      </c>
    </row>
    <row r="67" spans="1:21" x14ac:dyDescent="0.25">
      <c r="A67" s="103"/>
      <c r="B67" s="99">
        <v>2018</v>
      </c>
      <c r="C67" s="19" t="s">
        <v>28</v>
      </c>
      <c r="D67" s="2">
        <v>0.9030469733513069</v>
      </c>
      <c r="E67" s="2">
        <v>-2.4962723961065691</v>
      </c>
      <c r="F67" s="2">
        <v>-4.4629914270415512</v>
      </c>
      <c r="G67" s="2">
        <v>-12.137006838348086</v>
      </c>
      <c r="H67" s="2">
        <v>6.6802199242737004</v>
      </c>
      <c r="I67" s="2">
        <v>1.769093933636734</v>
      </c>
      <c r="J67" s="2">
        <v>-27.46897920791924</v>
      </c>
      <c r="K67" s="2">
        <v>3.0185403119202148</v>
      </c>
      <c r="L67" s="2">
        <v>-8.2300132733414966E-2</v>
      </c>
      <c r="M67" s="2">
        <v>2.5035800162293453</v>
      </c>
      <c r="N67" s="2">
        <v>0.84125442511653326</v>
      </c>
      <c r="O67" s="2">
        <v>11.376159172706735</v>
      </c>
      <c r="P67" s="2">
        <v>0.5710114435695024</v>
      </c>
      <c r="Q67" s="2">
        <v>-1.4922732933715932</v>
      </c>
      <c r="R67" s="2">
        <v>2.6512875428336136</v>
      </c>
      <c r="S67" s="2">
        <v>19.354654804153348</v>
      </c>
      <c r="T67" s="2">
        <v>-99.990786770011439</v>
      </c>
      <c r="U67" s="23">
        <v>-1.0809955533269022</v>
      </c>
    </row>
    <row r="68" spans="1:21" x14ac:dyDescent="0.25">
      <c r="A68" s="103"/>
      <c r="B68" s="100"/>
      <c r="C68" s="19" t="s">
        <v>29</v>
      </c>
      <c r="D68" s="2">
        <v>-1.454598478070579</v>
      </c>
      <c r="E68" s="2">
        <v>11.670878451839073</v>
      </c>
      <c r="F68" s="2">
        <v>-1.1313878718391623</v>
      </c>
      <c r="G68" s="2">
        <v>1.7361283647493675</v>
      </c>
      <c r="H68" s="2">
        <v>-2.9595121762523546</v>
      </c>
      <c r="I68" s="2">
        <v>1.0516581311044826</v>
      </c>
      <c r="J68" s="2">
        <v>54.736439552217611</v>
      </c>
      <c r="K68" s="2">
        <v>-0.40928661229846508</v>
      </c>
      <c r="L68" s="2">
        <v>0.14363949126634523</v>
      </c>
      <c r="M68" s="2">
        <v>11.180911055402397</v>
      </c>
      <c r="N68" s="2">
        <v>1.1154592705103328</v>
      </c>
      <c r="O68" s="2">
        <v>-0.21975956510400518</v>
      </c>
      <c r="P68" s="2">
        <v>-1.6246735687482583</v>
      </c>
      <c r="Q68" s="2">
        <v>4.74488449089705</v>
      </c>
      <c r="R68" s="2">
        <v>-7.6548846793870524</v>
      </c>
      <c r="S68" s="2">
        <v>-2.8076141701481205</v>
      </c>
      <c r="T68" s="2">
        <v>841458.81336887961</v>
      </c>
      <c r="U68" s="23">
        <v>1.8200547713179915</v>
      </c>
    </row>
    <row r="69" spans="1:21" x14ac:dyDescent="0.25">
      <c r="A69" s="103"/>
      <c r="B69" s="100"/>
      <c r="C69" s="19" t="s">
        <v>30</v>
      </c>
      <c r="D69" s="2">
        <v>-0.55814739128906554</v>
      </c>
      <c r="E69" s="2">
        <v>-8.1143889177389354</v>
      </c>
      <c r="F69" s="2">
        <v>-2.2400193327169693</v>
      </c>
      <c r="G69" s="2">
        <v>-22.777786652125943</v>
      </c>
      <c r="H69" s="2">
        <v>0.11037883742002208</v>
      </c>
      <c r="I69" s="2">
        <v>-2.47810921253242</v>
      </c>
      <c r="J69" s="2">
        <v>0.20504426399186038</v>
      </c>
      <c r="K69" s="2">
        <v>-0.96943440982886209</v>
      </c>
      <c r="L69" s="2">
        <v>1.0995474393405313</v>
      </c>
      <c r="M69" s="2">
        <v>1.1371089933498224</v>
      </c>
      <c r="N69" s="2">
        <v>9.0197707675354621E-2</v>
      </c>
      <c r="O69" s="2">
        <v>6.5811578783580016</v>
      </c>
      <c r="P69" s="2">
        <v>1.8206040550198921</v>
      </c>
      <c r="Q69" s="2">
        <v>-0.58533499559881852</v>
      </c>
      <c r="R69" s="2">
        <v>7.0919543880663127</v>
      </c>
      <c r="S69" s="2">
        <v>-0.37577398649939475</v>
      </c>
      <c r="T69" s="2">
        <v>-49.452226821946013</v>
      </c>
      <c r="U69" s="23">
        <v>1.499215083434069</v>
      </c>
    </row>
    <row r="70" spans="1:21" x14ac:dyDescent="0.25">
      <c r="A70" s="103"/>
      <c r="B70" s="101"/>
      <c r="C70" s="52" t="s">
        <v>31</v>
      </c>
      <c r="D70" s="20">
        <v>1.0212131763020826</v>
      </c>
      <c r="E70" s="20">
        <v>-2.6379582128534307</v>
      </c>
      <c r="F70" s="20">
        <v>-2.6819002630756206</v>
      </c>
      <c r="G70" s="20">
        <v>51.524377350494156</v>
      </c>
      <c r="H70" s="20">
        <v>2.4519346167221734</v>
      </c>
      <c r="I70" s="20">
        <v>-0.54922262945028555</v>
      </c>
      <c r="J70" s="20">
        <v>5.363725440524969</v>
      </c>
      <c r="K70" s="20">
        <v>0.66330654535093903</v>
      </c>
      <c r="L70" s="20">
        <v>-0.676744419056452</v>
      </c>
      <c r="M70" s="20">
        <v>-21.590306337540234</v>
      </c>
      <c r="N70" s="20">
        <v>-10.572407561136233</v>
      </c>
      <c r="O70" s="20">
        <v>40.721323060064549</v>
      </c>
      <c r="P70" s="20">
        <v>0.77169527129754556</v>
      </c>
      <c r="Q70" s="20">
        <v>-3.2118183868228956</v>
      </c>
      <c r="R70" s="20">
        <v>-0.25535927833705285</v>
      </c>
      <c r="S70" s="20">
        <v>5.9652500632318084</v>
      </c>
      <c r="T70" s="20">
        <v>634.04276477370456</v>
      </c>
      <c r="U70" s="24">
        <v>0.80056899561140593</v>
      </c>
    </row>
    <row r="71" spans="1:21" x14ac:dyDescent="0.25">
      <c r="A71" s="103"/>
      <c r="B71" s="99">
        <v>2019</v>
      </c>
      <c r="C71" s="19" t="s">
        <v>28</v>
      </c>
      <c r="D71" s="2">
        <v>3.9342252314553239</v>
      </c>
      <c r="E71" s="2">
        <v>0.34671583057663824</v>
      </c>
      <c r="F71" s="2">
        <v>-1.6890868469854103</v>
      </c>
      <c r="G71" s="2">
        <v>-12.932952925740803</v>
      </c>
      <c r="H71" s="2">
        <v>-8.9508319142600161</v>
      </c>
      <c r="I71" s="2">
        <v>3.1218889849223164</v>
      </c>
      <c r="J71" s="2">
        <v>-0.7016443611273071</v>
      </c>
      <c r="K71" s="2">
        <v>3.0639648319369828</v>
      </c>
      <c r="L71" s="2">
        <v>-2.8274155015457048</v>
      </c>
      <c r="M71" s="2">
        <v>8.6674526315307467</v>
      </c>
      <c r="N71" s="2">
        <v>11.821307037588792</v>
      </c>
      <c r="O71" s="2">
        <v>-37.347049118865229</v>
      </c>
      <c r="P71" s="2">
        <v>-0.55605953375866823</v>
      </c>
      <c r="Q71" s="2">
        <v>-0.85654713630149981</v>
      </c>
      <c r="R71" s="2">
        <v>-3.9889564357608265</v>
      </c>
      <c r="S71" s="2">
        <v>-41.168888775208778</v>
      </c>
      <c r="T71" s="2">
        <v>-99.997362063442267</v>
      </c>
      <c r="U71" s="23">
        <v>-1.8531432280523452</v>
      </c>
    </row>
    <row r="72" spans="1:21" x14ac:dyDescent="0.25">
      <c r="A72" s="103"/>
      <c r="B72" s="100"/>
      <c r="C72" s="19" t="s">
        <v>29</v>
      </c>
      <c r="D72" s="2">
        <v>-2.5766335644644367</v>
      </c>
      <c r="E72" s="2">
        <v>-11.316882005682006</v>
      </c>
      <c r="F72" s="2">
        <v>-7.6852069748667429E-2</v>
      </c>
      <c r="G72" s="2">
        <v>-3.4762499993204354</v>
      </c>
      <c r="H72" s="2">
        <v>11.036547545452047</v>
      </c>
      <c r="I72" s="2">
        <v>0.49156775089691518</v>
      </c>
      <c r="J72" s="2">
        <v>-8.8642876976000817</v>
      </c>
      <c r="K72" s="2">
        <v>2.1753365362957355</v>
      </c>
      <c r="L72" s="2">
        <v>-0.64341365136403317</v>
      </c>
      <c r="M72" s="2">
        <v>20.366286422080226</v>
      </c>
      <c r="N72" s="2">
        <v>-3.6868546802307889</v>
      </c>
      <c r="O72" s="2">
        <v>-10.916725657342951</v>
      </c>
      <c r="P72" s="2">
        <v>1.3076490980966637</v>
      </c>
      <c r="Q72" s="2">
        <v>9.5419851580955459</v>
      </c>
      <c r="R72" s="2">
        <v>8.4691719642707941</v>
      </c>
      <c r="S72" s="2">
        <v>-3.0126481460953092</v>
      </c>
      <c r="T72" s="2">
        <v>1535973.1429251116</v>
      </c>
      <c r="U72" s="23">
        <v>-2.4584192172926067</v>
      </c>
    </row>
    <row r="73" spans="1:21" x14ac:dyDescent="0.25">
      <c r="A73" s="103"/>
      <c r="B73" s="100"/>
      <c r="C73" s="19" t="s">
        <v>30</v>
      </c>
      <c r="D73" s="2">
        <v>-0.97013698785297642</v>
      </c>
      <c r="E73" s="2">
        <v>-7.5410924015386183</v>
      </c>
      <c r="F73" s="2">
        <v>-3.6422922357990273</v>
      </c>
      <c r="G73" s="2">
        <v>12.699752573749334</v>
      </c>
      <c r="H73" s="2">
        <v>-7.0971283701498518</v>
      </c>
      <c r="I73" s="2">
        <v>2.3967918754406625</v>
      </c>
      <c r="J73" s="2">
        <v>6.1724167832242216</v>
      </c>
      <c r="K73" s="2">
        <v>-2.4484689909713531</v>
      </c>
      <c r="L73" s="2">
        <v>7.9675345235902251</v>
      </c>
      <c r="M73" s="2">
        <v>4.8555237955607344</v>
      </c>
      <c r="N73" s="2">
        <v>-0.29018363150852267</v>
      </c>
      <c r="O73" s="2">
        <v>-9.6262901520442483</v>
      </c>
      <c r="P73" s="2">
        <v>2.5832450726511302</v>
      </c>
      <c r="Q73" s="2">
        <v>-1.2349421908483094</v>
      </c>
      <c r="R73" s="2">
        <v>2.8549330910712101</v>
      </c>
      <c r="S73" s="2">
        <v>4.5194813017432223</v>
      </c>
      <c r="T73" s="2">
        <v>1.7265352778457643</v>
      </c>
      <c r="U73" s="23">
        <v>1.5279438667435308</v>
      </c>
    </row>
    <row r="74" spans="1:21" x14ac:dyDescent="0.25">
      <c r="A74" s="103"/>
      <c r="B74" s="101"/>
      <c r="C74" s="52" t="s">
        <v>31</v>
      </c>
      <c r="D74" s="20">
        <v>-4.8346692773253981</v>
      </c>
      <c r="E74" s="20">
        <v>-0.54137120825104024</v>
      </c>
      <c r="F74" s="20">
        <v>-1.5703575347571608</v>
      </c>
      <c r="G74" s="20">
        <v>-10.270114959856446</v>
      </c>
      <c r="H74" s="20">
        <v>4.4425120892333192</v>
      </c>
      <c r="I74" s="20">
        <v>4.7069371326416976</v>
      </c>
      <c r="J74" s="20">
        <v>-7.9796439796031349</v>
      </c>
      <c r="K74" s="20">
        <v>-6.2266659415289087</v>
      </c>
      <c r="L74" s="20">
        <v>0.74533041316531268</v>
      </c>
      <c r="M74" s="20">
        <v>-10.60259781699494</v>
      </c>
      <c r="N74" s="20">
        <v>-7.2387315409753956</v>
      </c>
      <c r="O74" s="20">
        <v>124.69856987041945</v>
      </c>
      <c r="P74" s="20">
        <v>-1.1204438387116822</v>
      </c>
      <c r="Q74" s="20">
        <v>-5.4030873846142686</v>
      </c>
      <c r="R74" s="20">
        <v>2.8188039198373538</v>
      </c>
      <c r="S74" s="20">
        <v>74.225212627064181</v>
      </c>
      <c r="T74" s="20">
        <v>-86.84023067919783</v>
      </c>
      <c r="U74" s="24">
        <v>0.61513716643557537</v>
      </c>
    </row>
    <row r="75" spans="1:21" x14ac:dyDescent="0.25">
      <c r="A75" s="103"/>
      <c r="B75" s="99">
        <v>2020</v>
      </c>
      <c r="C75" s="19" t="s">
        <v>28</v>
      </c>
      <c r="D75" s="2">
        <v>20.590101534853346</v>
      </c>
      <c r="E75" s="2">
        <v>12.28144796625925</v>
      </c>
      <c r="F75" s="2">
        <v>4.2236197920290763</v>
      </c>
      <c r="G75" s="2">
        <v>-3.4719259381036371</v>
      </c>
      <c r="H75" s="2">
        <v>1.4751093598746268</v>
      </c>
      <c r="I75" s="2">
        <v>-1.7176151032388454</v>
      </c>
      <c r="J75" s="2">
        <v>-8.3260950253198462</v>
      </c>
      <c r="K75" s="2">
        <v>12.114446472346586</v>
      </c>
      <c r="L75" s="2">
        <v>-12.482565843159154</v>
      </c>
      <c r="M75" s="2">
        <v>-19.21492768696238</v>
      </c>
      <c r="N75" s="2">
        <v>0.7404404693137856</v>
      </c>
      <c r="O75" s="2">
        <v>-5.0215733659643043</v>
      </c>
      <c r="P75" s="2">
        <v>-4.4845774282510469</v>
      </c>
      <c r="Q75" s="2">
        <v>-0.91656638815904579</v>
      </c>
      <c r="R75" s="2">
        <v>8.7902992853864159</v>
      </c>
      <c r="S75" s="2">
        <v>1.1482108894383947</v>
      </c>
      <c r="T75" s="2">
        <v>7311.6769674988927</v>
      </c>
      <c r="U75" s="23">
        <v>1.9624157052012148</v>
      </c>
    </row>
    <row r="76" spans="1:21" x14ac:dyDescent="0.25">
      <c r="A76" s="103"/>
      <c r="B76" s="100"/>
      <c r="C76" s="19" t="s">
        <v>29</v>
      </c>
      <c r="D76" s="2">
        <v>-13.509285227549107</v>
      </c>
      <c r="E76" s="2">
        <v>-20.388495740775149</v>
      </c>
      <c r="F76" s="2">
        <v>-7.9899644056152681</v>
      </c>
      <c r="G76" s="2">
        <v>-14.720112688396558</v>
      </c>
      <c r="H76" s="2">
        <v>-1.8594882080090747</v>
      </c>
      <c r="I76" s="2">
        <v>0.11887522826612429</v>
      </c>
      <c r="J76" s="2">
        <v>-13.027889386742309</v>
      </c>
      <c r="K76" s="2">
        <v>-13.804880107719397</v>
      </c>
      <c r="L76" s="2">
        <v>6.6297751770099334</v>
      </c>
      <c r="M76" s="2">
        <v>-50.901610750902492</v>
      </c>
      <c r="N76" s="2">
        <v>-5.2532047112913709</v>
      </c>
      <c r="O76" s="2">
        <v>-35.123104377931227</v>
      </c>
      <c r="P76" s="2">
        <v>-2.7457055042963141</v>
      </c>
      <c r="Q76" s="2">
        <v>-7.3995700949156973</v>
      </c>
      <c r="R76" s="2">
        <v>-28.16646753605405</v>
      </c>
      <c r="S76" s="2">
        <v>-4.9778409684753218</v>
      </c>
      <c r="T76" s="2">
        <v>-60.870087085963661</v>
      </c>
      <c r="U76" s="23">
        <v>-14.592098419929345</v>
      </c>
    </row>
    <row r="77" spans="1:21" x14ac:dyDescent="0.25">
      <c r="A77" s="103"/>
      <c r="B77" s="100"/>
      <c r="C77" s="19" t="s">
        <v>30</v>
      </c>
      <c r="D77" s="2">
        <v>7.9894440408007084</v>
      </c>
      <c r="E77" s="2">
        <v>3.3460810351777948</v>
      </c>
      <c r="F77" s="2">
        <v>-0.11865691947966495</v>
      </c>
      <c r="G77" s="2">
        <v>2.287402805560057</v>
      </c>
      <c r="H77" s="2">
        <v>1.9878800498320803</v>
      </c>
      <c r="I77" s="2">
        <v>0.12423412563211667</v>
      </c>
      <c r="J77" s="2">
        <v>-3.2478487244654519</v>
      </c>
      <c r="K77" s="2">
        <v>14.507709765670263</v>
      </c>
      <c r="L77" s="2">
        <v>10.641300329341652</v>
      </c>
      <c r="M77" s="2">
        <v>11.069210820359899</v>
      </c>
      <c r="N77" s="2">
        <v>-2.8422030134431009</v>
      </c>
      <c r="O77" s="2">
        <v>-31.697508699540332</v>
      </c>
      <c r="P77" s="2">
        <v>1.703244450229513</v>
      </c>
      <c r="Q77" s="2">
        <v>7.7642151608800614</v>
      </c>
      <c r="R77" s="2">
        <v>31.4331853002064</v>
      </c>
      <c r="S77" s="2">
        <v>12.335437719297593</v>
      </c>
      <c r="T77" s="2">
        <v>80.315015726505948</v>
      </c>
      <c r="U77" s="23">
        <v>7.5676538992428988</v>
      </c>
    </row>
    <row r="78" spans="1:21" x14ac:dyDescent="0.25">
      <c r="A78" s="103"/>
      <c r="B78" s="101"/>
      <c r="C78" s="52" t="s">
        <v>31</v>
      </c>
      <c r="D78" s="20">
        <v>0.99217609305290999</v>
      </c>
      <c r="E78" s="20">
        <v>18.913350486362958</v>
      </c>
      <c r="F78" s="20">
        <v>-7.2047732267591202</v>
      </c>
      <c r="G78" s="20">
        <v>23.856453545112501</v>
      </c>
      <c r="H78" s="20">
        <v>6.66310470529341</v>
      </c>
      <c r="I78" s="20">
        <v>-0.95060178827334196</v>
      </c>
      <c r="J78" s="20">
        <v>-8.0910912858400241</v>
      </c>
      <c r="K78" s="20">
        <v>4.8666176189380739</v>
      </c>
      <c r="L78" s="20">
        <v>-3.1847272088486922</v>
      </c>
      <c r="M78" s="20">
        <v>90.274553564148903</v>
      </c>
      <c r="N78" s="20">
        <v>5.5049665915389179</v>
      </c>
      <c r="O78" s="20">
        <v>-9.4751488729451498</v>
      </c>
      <c r="P78" s="20">
        <v>-0.24054468457171962</v>
      </c>
      <c r="Q78" s="20">
        <v>2.5115279791241285</v>
      </c>
      <c r="R78" s="20">
        <v>-3.0644370242069008</v>
      </c>
      <c r="S78" s="20">
        <v>3.1533858093411915</v>
      </c>
      <c r="T78" s="20">
        <v>17.412772122994546</v>
      </c>
      <c r="U78" s="24">
        <v>0.50009207523404875</v>
      </c>
    </row>
    <row r="79" spans="1:21" x14ac:dyDescent="0.25">
      <c r="A79" s="103"/>
      <c r="B79" s="99">
        <v>2021</v>
      </c>
      <c r="C79" s="19" t="s">
        <v>28</v>
      </c>
      <c r="D79" s="2">
        <v>0.4549388138553212</v>
      </c>
      <c r="E79" s="2">
        <v>36.705768732047851</v>
      </c>
      <c r="F79" s="2">
        <v>-5.2315348302717108</v>
      </c>
      <c r="G79" s="2">
        <v>17.781278857290861</v>
      </c>
      <c r="H79" s="2">
        <v>-4.7171269637777407</v>
      </c>
      <c r="I79" s="2">
        <v>1.2986608398396493</v>
      </c>
      <c r="J79" s="2">
        <v>-3.8226651100467635</v>
      </c>
      <c r="K79" s="2">
        <v>-2.6923892627378931</v>
      </c>
      <c r="L79" s="2">
        <v>-17.702330197840244</v>
      </c>
      <c r="M79" s="2">
        <v>-18.853460991901127</v>
      </c>
      <c r="N79" s="2">
        <v>0.45739238843345298</v>
      </c>
      <c r="O79" s="2">
        <v>20.416490852156087</v>
      </c>
      <c r="P79" s="2">
        <v>3.452346515700655</v>
      </c>
      <c r="Q79" s="2">
        <v>-0.49472270417473263</v>
      </c>
      <c r="R79" s="2">
        <v>7.2773687742586191</v>
      </c>
      <c r="S79" s="2">
        <v>-13.917200721305999</v>
      </c>
      <c r="T79" s="2">
        <v>21.353392645028492</v>
      </c>
      <c r="U79" s="23">
        <v>0.44350354950670745</v>
      </c>
    </row>
    <row r="80" spans="1:21" x14ac:dyDescent="0.25">
      <c r="A80" s="103"/>
      <c r="B80" s="100"/>
      <c r="C80" s="19" t="s">
        <v>29</v>
      </c>
      <c r="D80" s="2">
        <v>-3.5099262596361203</v>
      </c>
      <c r="E80" s="2">
        <v>-4.9536467847267289</v>
      </c>
      <c r="F80" s="2">
        <v>-0.1305099796876763</v>
      </c>
      <c r="G80" s="2">
        <v>-39.530676251603779</v>
      </c>
      <c r="H80" s="2">
        <v>2.3422189752652312</v>
      </c>
      <c r="I80" s="2">
        <v>1.6660294797904429</v>
      </c>
      <c r="J80" s="2">
        <v>-17.941022321478194</v>
      </c>
      <c r="K80" s="2">
        <v>-5.4531058440358997</v>
      </c>
      <c r="L80" s="2">
        <v>-5.2004478495459967</v>
      </c>
      <c r="M80" s="2">
        <v>-4.2791302277166876</v>
      </c>
      <c r="N80" s="2">
        <v>1.8178685657722626</v>
      </c>
      <c r="O80" s="2">
        <v>10.903759152838077</v>
      </c>
      <c r="P80" s="2">
        <v>4.0760514417192972E-2</v>
      </c>
      <c r="Q80" s="2">
        <v>-4.0873204699173211</v>
      </c>
      <c r="R80" s="2">
        <v>-2.6516236290615613</v>
      </c>
      <c r="S80" s="2">
        <v>0.81966808608198161</v>
      </c>
      <c r="T80" s="2">
        <v>16.196562938071434</v>
      </c>
      <c r="U80" s="23">
        <v>-7.2951636463611802</v>
      </c>
    </row>
    <row r="81" spans="1:21" x14ac:dyDescent="0.25">
      <c r="A81" s="103"/>
      <c r="B81" s="100"/>
      <c r="C81" s="19" t="s">
        <v>30</v>
      </c>
      <c r="D81" s="2">
        <v>15.492751957450279</v>
      </c>
      <c r="E81" s="2">
        <v>4.1413649491166327</v>
      </c>
      <c r="F81" s="2">
        <v>1.6184072486464363</v>
      </c>
      <c r="G81" s="2">
        <v>10.443837126047594</v>
      </c>
      <c r="H81" s="2">
        <v>8.2878696589011369</v>
      </c>
      <c r="I81" s="2">
        <v>0.24659087035687755</v>
      </c>
      <c r="J81" s="2">
        <v>26.351231226334647</v>
      </c>
      <c r="K81" s="2">
        <v>29.041233574224567</v>
      </c>
      <c r="L81" s="2">
        <v>-14.754682604476033</v>
      </c>
      <c r="M81" s="2">
        <v>19.773780955114951</v>
      </c>
      <c r="N81" s="2">
        <v>-1.6149749515482981</v>
      </c>
      <c r="O81" s="2">
        <v>2.2638154196219507</v>
      </c>
      <c r="P81" s="2">
        <v>-1.6859366192856551</v>
      </c>
      <c r="Q81" s="2">
        <v>5.5322950157778772</v>
      </c>
      <c r="R81" s="2">
        <v>-1.8092547174777485</v>
      </c>
      <c r="S81" s="2">
        <v>-2.3193498578782945</v>
      </c>
      <c r="T81" s="2">
        <v>7.8508191932779026</v>
      </c>
      <c r="U81" s="23">
        <v>11.069473103761274</v>
      </c>
    </row>
    <row r="82" spans="1:21" x14ac:dyDescent="0.25">
      <c r="A82" s="103"/>
      <c r="B82" s="101"/>
      <c r="C82" s="52" t="s">
        <v>31</v>
      </c>
      <c r="D82" s="20">
        <v>4.2622787681506624</v>
      </c>
      <c r="E82" s="20">
        <v>-1.6077056122723143</v>
      </c>
      <c r="F82" s="20">
        <v>1.6423923568227083</v>
      </c>
      <c r="G82" s="20">
        <v>54.213894074508694</v>
      </c>
      <c r="H82" s="20">
        <v>-1.392118521244412</v>
      </c>
      <c r="I82" s="20">
        <v>-0.9789529386486473</v>
      </c>
      <c r="J82" s="20">
        <v>19.747029231666467</v>
      </c>
      <c r="K82" s="20">
        <v>0.4232303589573716</v>
      </c>
      <c r="L82" s="20">
        <v>7.3950247508711264</v>
      </c>
      <c r="M82" s="20">
        <v>42.611520079043387</v>
      </c>
      <c r="N82" s="20">
        <v>-4.5505893445813133</v>
      </c>
      <c r="O82" s="20">
        <v>-3.5166699079075103</v>
      </c>
      <c r="P82" s="20">
        <v>-0.11665762615405972</v>
      </c>
      <c r="Q82" s="20">
        <v>1.0620177160705513</v>
      </c>
      <c r="R82" s="20">
        <v>4.6660305106507538</v>
      </c>
      <c r="S82" s="20">
        <v>1.9260705805402845</v>
      </c>
      <c r="T82" s="20">
        <v>9.4719347543045238</v>
      </c>
      <c r="U82" s="24">
        <v>4.5070919462782966</v>
      </c>
    </row>
    <row r="83" spans="1:21" x14ac:dyDescent="0.25">
      <c r="A83" s="103"/>
      <c r="B83" s="99">
        <v>2022</v>
      </c>
      <c r="C83" s="19" t="s">
        <v>28</v>
      </c>
      <c r="D83" s="2">
        <v>-11.363310150446882</v>
      </c>
      <c r="E83" s="2">
        <v>6.1520760490908488</v>
      </c>
      <c r="F83" s="2">
        <v>3.7467697620322316</v>
      </c>
      <c r="G83" s="2">
        <v>-28.691465168245944</v>
      </c>
      <c r="H83" s="2">
        <v>1.801131667002176</v>
      </c>
      <c r="I83" s="2">
        <v>1.3528237283781719</v>
      </c>
      <c r="J83" s="2">
        <v>-8.5302137938653715</v>
      </c>
      <c r="K83" s="2">
        <v>-9.55516826432088</v>
      </c>
      <c r="L83" s="2">
        <v>14.230749423514389</v>
      </c>
      <c r="M83" s="2">
        <v>-22.009145700017065</v>
      </c>
      <c r="N83" s="2">
        <v>1.6084365599036365</v>
      </c>
      <c r="O83" s="2">
        <v>1.5709777666918834</v>
      </c>
      <c r="P83" s="2">
        <v>6.4833825261979783</v>
      </c>
      <c r="Q83" s="2">
        <v>-0.12356042970089742</v>
      </c>
      <c r="R83" s="2">
        <v>-3.724823274418898</v>
      </c>
      <c r="S83" s="2">
        <v>-16.086888969416812</v>
      </c>
      <c r="T83" s="2">
        <v>5.6592185656391125</v>
      </c>
      <c r="U83" s="23">
        <v>-2.6460708363964636</v>
      </c>
    </row>
    <row r="84" spans="1:21" x14ac:dyDescent="0.25">
      <c r="A84" s="103"/>
      <c r="B84" s="100"/>
      <c r="C84" s="19" t="s">
        <v>29</v>
      </c>
      <c r="D84" s="2">
        <v>10.443007248320836</v>
      </c>
      <c r="E84" s="2">
        <v>-1.6950314506110509</v>
      </c>
      <c r="F84" s="2">
        <v>0.20438611803657025</v>
      </c>
      <c r="G84" s="2">
        <v>22.383311300941067</v>
      </c>
      <c r="H84" s="2">
        <v>-3.8041083421243238</v>
      </c>
      <c r="I84" s="2">
        <v>1.982482923214457</v>
      </c>
      <c r="J84" s="2">
        <v>-21.523287929183066</v>
      </c>
      <c r="K84" s="2">
        <v>2.785287151466509</v>
      </c>
      <c r="L84" s="2">
        <v>-0.52499166620745275</v>
      </c>
      <c r="M84" s="2">
        <v>2.3861155695560132</v>
      </c>
      <c r="N84" s="2">
        <v>-1.6751470351880071</v>
      </c>
      <c r="O84" s="2">
        <v>-0.47230563074902587</v>
      </c>
      <c r="P84" s="2">
        <v>-1.5447939696516144</v>
      </c>
      <c r="Q84" s="2">
        <v>-1.6963611841980364</v>
      </c>
      <c r="R84" s="2">
        <v>1.6469317623027724</v>
      </c>
      <c r="S84" s="2">
        <v>-5.6471340444733791</v>
      </c>
      <c r="T84" s="2">
        <v>17.924787351220584</v>
      </c>
      <c r="U84" s="23">
        <v>-1.9232270955798381</v>
      </c>
    </row>
    <row r="85" spans="1:21" x14ac:dyDescent="0.25">
      <c r="A85" s="103"/>
      <c r="B85" s="100"/>
      <c r="C85" s="19" t="s">
        <v>30</v>
      </c>
      <c r="D85" s="2">
        <v>-12.173419745148351</v>
      </c>
      <c r="E85" s="2">
        <v>-6.6744412941262325</v>
      </c>
      <c r="F85" s="2">
        <v>2.1096355413875223</v>
      </c>
      <c r="G85" s="2">
        <v>-15.136835642293834</v>
      </c>
      <c r="H85" s="2">
        <v>2.1174477828255878</v>
      </c>
      <c r="I85" s="2">
        <v>3.2231709030399847</v>
      </c>
      <c r="J85" s="2">
        <v>7.0150832948668862</v>
      </c>
      <c r="K85" s="2">
        <v>-2.8566921957807856</v>
      </c>
      <c r="L85" s="2">
        <v>-9.2711384489418069</v>
      </c>
      <c r="M85" s="2">
        <v>14.967027833054903</v>
      </c>
      <c r="N85" s="2">
        <v>1.7364568591005103</v>
      </c>
      <c r="O85" s="2">
        <v>-15.561673332506675</v>
      </c>
      <c r="P85" s="2">
        <v>4.0555312192319448</v>
      </c>
      <c r="Q85" s="2">
        <v>3.7605832204856693</v>
      </c>
      <c r="R85" s="2">
        <v>7.8877048129267546</v>
      </c>
      <c r="S85" s="2">
        <v>16.577874108039303</v>
      </c>
      <c r="T85" s="2">
        <v>-4.3244492970606618E-2</v>
      </c>
      <c r="U85" s="23">
        <v>-0.66905950696319882</v>
      </c>
    </row>
    <row r="86" spans="1:21" x14ac:dyDescent="0.25">
      <c r="A86" s="103"/>
      <c r="B86" s="101"/>
      <c r="C86" s="52" t="s">
        <v>31</v>
      </c>
      <c r="D86" s="20">
        <v>3.4903830487943877</v>
      </c>
      <c r="E86" s="20">
        <v>12.609394488590908</v>
      </c>
      <c r="F86" s="20">
        <v>-7.7341134778378784</v>
      </c>
      <c r="G86" s="20">
        <v>42.35392453834352</v>
      </c>
      <c r="H86" s="20">
        <v>-1.292309728701091</v>
      </c>
      <c r="I86" s="20">
        <v>2.7315262846964394</v>
      </c>
      <c r="J86" s="20">
        <v>45.474354644174127</v>
      </c>
      <c r="K86" s="20">
        <v>2.0907944344770613</v>
      </c>
      <c r="L86" s="20">
        <v>1.0800731730500113</v>
      </c>
      <c r="M86" s="20">
        <v>49.087680759718964</v>
      </c>
      <c r="N86" s="20">
        <v>-8.9175130821660726</v>
      </c>
      <c r="O86" s="20">
        <v>-6.07541222462965</v>
      </c>
      <c r="P86" s="20">
        <v>2.0264274921017345</v>
      </c>
      <c r="Q86" s="20">
        <v>0.44863163651105431</v>
      </c>
      <c r="R86" s="20">
        <v>6.7218132911379902</v>
      </c>
      <c r="S86" s="20">
        <v>39.426628197763193</v>
      </c>
      <c r="T86" s="20">
        <v>-7.5843842326441031</v>
      </c>
      <c r="U86" s="24">
        <v>6.3244654144633872</v>
      </c>
    </row>
    <row r="87" spans="1:21" x14ac:dyDescent="0.25">
      <c r="A87" s="103"/>
      <c r="B87" s="99">
        <v>2023</v>
      </c>
      <c r="C87" s="19" t="s">
        <v>28</v>
      </c>
      <c r="D87" s="2">
        <v>0.92127293729771242</v>
      </c>
      <c r="E87" s="2">
        <v>1.3200321479392096</v>
      </c>
      <c r="F87" s="2">
        <v>-0.6801687431813086</v>
      </c>
      <c r="G87" s="2">
        <v>-14.643440766370219</v>
      </c>
      <c r="H87" s="2">
        <v>5.3874959286344559</v>
      </c>
      <c r="I87" s="2">
        <v>-3.1943856472238519E-2</v>
      </c>
      <c r="J87" s="2">
        <v>-21.244454549792025</v>
      </c>
      <c r="K87" s="2">
        <v>0.32908247328957696</v>
      </c>
      <c r="L87" s="2">
        <v>2.7297757173787129</v>
      </c>
      <c r="M87" s="2">
        <v>-31.064040417954619</v>
      </c>
      <c r="N87" s="2">
        <v>20.473610071820382</v>
      </c>
      <c r="O87" s="2">
        <v>9.1068693467992077</v>
      </c>
      <c r="P87" s="2">
        <v>-0.48355163169665483</v>
      </c>
      <c r="Q87" s="2">
        <v>0.19084197249341628</v>
      </c>
      <c r="R87" s="2">
        <v>-1.6192030603554231</v>
      </c>
      <c r="S87" s="2">
        <v>-40.069289258663346</v>
      </c>
      <c r="T87" s="2">
        <v>-6.3600152210914418</v>
      </c>
      <c r="U87" s="23">
        <v>-3.0673750028844982</v>
      </c>
    </row>
    <row r="88" spans="1:21" x14ac:dyDescent="0.25">
      <c r="A88" s="103"/>
      <c r="B88" s="100"/>
      <c r="C88" s="19" t="s">
        <v>29</v>
      </c>
      <c r="D88" s="2">
        <v>7.2098781784957211</v>
      </c>
      <c r="E88" s="2">
        <v>-3.2148807344669406</v>
      </c>
      <c r="F88" s="2">
        <v>4.6965314245160261</v>
      </c>
      <c r="G88" s="2">
        <v>-19.366671228127863</v>
      </c>
      <c r="H88" s="2">
        <v>1.5101795870671619</v>
      </c>
      <c r="I88" s="2">
        <v>-1.0041066291992307</v>
      </c>
      <c r="J88" s="2">
        <v>12.985871983532027</v>
      </c>
      <c r="K88" s="2">
        <v>0.90651223207658393</v>
      </c>
      <c r="L88" s="2">
        <v>-13.894501543595394</v>
      </c>
      <c r="M88" s="2">
        <v>-3.7757397435926432</v>
      </c>
      <c r="N88" s="2">
        <v>-13.761675449943345</v>
      </c>
      <c r="O88" s="2">
        <v>1.9454958630833019</v>
      </c>
      <c r="P88" s="2">
        <v>1.1787694394280068</v>
      </c>
      <c r="Q88" s="2">
        <v>-0.35239950745546977</v>
      </c>
      <c r="R88" s="2">
        <v>0.29932795402405343</v>
      </c>
      <c r="S88" s="2">
        <v>-4.1625848871690962</v>
      </c>
      <c r="T88" s="2">
        <v>-57.242680930765722</v>
      </c>
      <c r="U88" s="23">
        <v>2.3466774558802861</v>
      </c>
    </row>
    <row r="89" spans="1:21" x14ac:dyDescent="0.25">
      <c r="A89" s="103"/>
      <c r="B89" s="100"/>
      <c r="C89" s="19" t="s">
        <v>30</v>
      </c>
      <c r="D89" s="2">
        <v>-2.8027499487750851</v>
      </c>
      <c r="E89" s="2">
        <v>-1.6793600058842117</v>
      </c>
      <c r="F89" s="2">
        <v>1.3271518845819674</v>
      </c>
      <c r="G89" s="2">
        <v>48.336001255203186</v>
      </c>
      <c r="H89" s="2">
        <v>-0.85455974111650068</v>
      </c>
      <c r="I89" s="2">
        <v>3.453019663276935</v>
      </c>
      <c r="J89" s="2">
        <v>-4.8378482874798179</v>
      </c>
      <c r="K89" s="2">
        <v>0.43995826694183116</v>
      </c>
      <c r="L89" s="2">
        <v>18.371450499545382</v>
      </c>
      <c r="M89" s="2">
        <v>7.3211783299052202</v>
      </c>
      <c r="N89" s="2">
        <v>1.7322154976362247</v>
      </c>
      <c r="O89" s="2">
        <v>-6.7932133675851265</v>
      </c>
      <c r="P89" s="2">
        <v>0.67916385110859956</v>
      </c>
      <c r="Q89" s="2">
        <v>2.0014832265362159</v>
      </c>
      <c r="R89" s="2">
        <v>-3.8070449611640855</v>
      </c>
      <c r="S89" s="2">
        <v>29.348929791239819</v>
      </c>
      <c r="T89" s="2">
        <v>173.16333140040371</v>
      </c>
      <c r="U89" s="23">
        <v>-1.4487280157842175</v>
      </c>
    </row>
    <row r="90" spans="1:21" x14ac:dyDescent="0.25">
      <c r="A90" s="103"/>
      <c r="B90" s="101"/>
      <c r="C90" s="52" t="s">
        <v>31</v>
      </c>
      <c r="D90" s="20">
        <v>7.1096798645443604</v>
      </c>
      <c r="E90" s="20">
        <v>-1.1370828402530564</v>
      </c>
      <c r="F90" s="20">
        <v>-3.5502285795947386</v>
      </c>
      <c r="G90" s="20">
        <v>1.5127412954150321</v>
      </c>
      <c r="H90" s="20">
        <v>0.94124102267154619</v>
      </c>
      <c r="I90" s="20">
        <v>0.61803847551247237</v>
      </c>
      <c r="J90" s="20">
        <v>-10.035562899168305</v>
      </c>
      <c r="K90" s="20">
        <v>2.2697235800172022</v>
      </c>
      <c r="L90" s="20">
        <v>-0.65633057391146776</v>
      </c>
      <c r="M90" s="20">
        <v>10.57759943960399</v>
      </c>
      <c r="N90" s="20">
        <v>-0.34805565570107388</v>
      </c>
      <c r="O90" s="20">
        <v>11.930231911938517</v>
      </c>
      <c r="P90" s="20">
        <v>0.67000542677608799</v>
      </c>
      <c r="Q90" s="20">
        <v>0.60917985494750582</v>
      </c>
      <c r="R90" s="20">
        <v>-4.4105344852905182</v>
      </c>
      <c r="S90" s="20">
        <v>1.1071536997033782</v>
      </c>
      <c r="T90" s="20">
        <v>46.967060424545906</v>
      </c>
      <c r="U90" s="24">
        <v>-0.90776194565598267</v>
      </c>
    </row>
    <row r="91" spans="1:21" x14ac:dyDescent="0.25">
      <c r="A91" s="103"/>
      <c r="B91" s="99">
        <v>2024</v>
      </c>
      <c r="C91" s="19" t="s">
        <v>28</v>
      </c>
      <c r="D91" s="2">
        <v>-0.424281299862872</v>
      </c>
      <c r="E91" s="2">
        <v>-0.72293806809555772</v>
      </c>
      <c r="F91" s="2">
        <v>3.5535964082579863</v>
      </c>
      <c r="G91" s="2">
        <v>-15.838434696696313</v>
      </c>
      <c r="H91" s="2">
        <v>0.8207691048533805</v>
      </c>
      <c r="I91" s="2">
        <v>1.6573097669031478</v>
      </c>
      <c r="J91" s="2">
        <v>6.3729732828583296</v>
      </c>
      <c r="K91" s="2">
        <v>0.47239934783276372</v>
      </c>
      <c r="L91" s="2">
        <v>4.2518572564617552</v>
      </c>
      <c r="M91" s="2">
        <v>11.394237694288044</v>
      </c>
      <c r="N91" s="2">
        <v>2.7759886569716175</v>
      </c>
      <c r="O91" s="2">
        <v>-4.0786693209206355</v>
      </c>
      <c r="P91" s="2">
        <v>0.91075391822958984</v>
      </c>
      <c r="Q91" s="2">
        <v>0.12225015706850417</v>
      </c>
      <c r="R91" s="2">
        <v>8.6000413798934972</v>
      </c>
      <c r="S91" s="2">
        <v>-16.426543785547707</v>
      </c>
      <c r="T91" s="2">
        <v>-30.999927341820666</v>
      </c>
      <c r="U91" s="23">
        <v>4.0648008858536144</v>
      </c>
    </row>
    <row r="92" spans="1:21" x14ac:dyDescent="0.25">
      <c r="A92" s="103"/>
      <c r="B92" s="100"/>
      <c r="C92" s="19" t="s">
        <v>29</v>
      </c>
      <c r="D92" s="2">
        <v>1.7714740898650216</v>
      </c>
      <c r="E92" s="2">
        <v>6.5535175609350738</v>
      </c>
      <c r="F92" s="2">
        <v>1.8152877536032674</v>
      </c>
      <c r="G92" s="2">
        <v>28.015884028973502</v>
      </c>
      <c r="H92" s="2">
        <v>4.3160070798956562</v>
      </c>
      <c r="I92" s="2">
        <v>1.0368630086591724</v>
      </c>
      <c r="J92" s="2">
        <v>9.8275544731721176</v>
      </c>
      <c r="K92" s="2">
        <v>0.59721046813718814</v>
      </c>
      <c r="L92" s="2">
        <v>-3.1510621470796196</v>
      </c>
      <c r="M92" s="2">
        <v>-12.445250842467059</v>
      </c>
      <c r="N92" s="2">
        <v>5.837070556776558</v>
      </c>
      <c r="O92" s="2">
        <v>0.64176977668564117</v>
      </c>
      <c r="P92" s="2">
        <v>3.8303058322795902</v>
      </c>
      <c r="Q92" s="2">
        <v>0.32300759194092699</v>
      </c>
      <c r="R92" s="2">
        <v>9.8152725088976212</v>
      </c>
      <c r="S92" s="2">
        <v>-11.428668674362264</v>
      </c>
      <c r="T92" s="2">
        <v>-33.113015113059383</v>
      </c>
      <c r="U92" s="23">
        <v>3.5573602196756537</v>
      </c>
    </row>
    <row r="93" spans="1:21" x14ac:dyDescent="0.25">
      <c r="A93" s="103"/>
      <c r="B93" s="100"/>
      <c r="C93" s="19" t="s">
        <v>30</v>
      </c>
      <c r="D93" s="2">
        <v>-1.5779885918299708</v>
      </c>
      <c r="E93" s="2">
        <v>7.2682421964956445</v>
      </c>
      <c r="F93" s="2">
        <v>2.4168909833060415</v>
      </c>
      <c r="G93" s="2">
        <v>31.023369476299933</v>
      </c>
      <c r="H93" s="2">
        <v>-0.62700546060502349</v>
      </c>
      <c r="I93" s="2">
        <v>-1.465180648067621</v>
      </c>
      <c r="J93" s="2">
        <v>-5.1008320630205102</v>
      </c>
      <c r="K93" s="2">
        <v>-2.0604939411779766</v>
      </c>
      <c r="L93" s="2">
        <v>4.18880808675961</v>
      </c>
      <c r="M93" s="2">
        <v>5.8025287558016503</v>
      </c>
      <c r="N93" s="2">
        <v>6.7173383536487608</v>
      </c>
      <c r="O93" s="2">
        <v>-1.7009015446743492</v>
      </c>
      <c r="P93" s="2">
        <v>-1.642374103537958</v>
      </c>
      <c r="Q93" s="2">
        <v>0.77466059685220579</v>
      </c>
      <c r="R93" s="2">
        <v>-6.568983756515367</v>
      </c>
      <c r="S93" s="2">
        <v>24.982230860053043</v>
      </c>
      <c r="T93" s="2">
        <v>15.586786450103673</v>
      </c>
      <c r="U93" s="23">
        <v>-1.258226280148389</v>
      </c>
    </row>
    <row r="94" spans="1:21" x14ac:dyDescent="0.25">
      <c r="A94" s="103"/>
      <c r="B94" s="101"/>
      <c r="C94" s="52" t="s">
        <v>31</v>
      </c>
      <c r="D94" s="20">
        <v>0.45477795970234602</v>
      </c>
      <c r="E94" s="20">
        <v>-7.2505184848593585</v>
      </c>
      <c r="F94" s="20">
        <v>-7.1499908210799994</v>
      </c>
      <c r="G94" s="20">
        <v>18.542417061875561</v>
      </c>
      <c r="H94" s="20">
        <v>-0.73774324375944778</v>
      </c>
      <c r="I94" s="20">
        <v>1.4211437654921388</v>
      </c>
      <c r="J94" s="20">
        <v>-5.1265551569994461</v>
      </c>
      <c r="K94" s="20">
        <v>-1.2757271198375331</v>
      </c>
      <c r="L94" s="20">
        <v>-0.1028324879685627</v>
      </c>
      <c r="M94" s="20">
        <v>6.5256583869922835</v>
      </c>
      <c r="N94" s="20">
        <v>15.796841427874341</v>
      </c>
      <c r="O94" s="20">
        <v>5.6753913147483237</v>
      </c>
      <c r="P94" s="20">
        <v>1.3928158144909997</v>
      </c>
      <c r="Q94" s="20">
        <v>1.0937915739606563</v>
      </c>
      <c r="R94" s="20">
        <v>1.6361068507179555</v>
      </c>
      <c r="S94" s="20">
        <v>-4.5481320623451005</v>
      </c>
      <c r="T94" s="20">
        <v>15.619465503433872</v>
      </c>
      <c r="U94" s="24">
        <v>-1.430393147466047</v>
      </c>
    </row>
    <row r="95" spans="1:21" x14ac:dyDescent="0.25">
      <c r="A95" s="103"/>
      <c r="B95" s="99">
        <v>2025</v>
      </c>
      <c r="C95" s="19" t="s">
        <v>28</v>
      </c>
      <c r="D95" s="2">
        <v>3.6891857421019747</v>
      </c>
      <c r="E95" s="2">
        <v>-2.0047628649733307</v>
      </c>
      <c r="F95" s="2">
        <v>-0.89960684659016188</v>
      </c>
      <c r="G95" s="2">
        <v>-24.113303900928017</v>
      </c>
      <c r="H95" s="2">
        <v>2.9175633894096942</v>
      </c>
      <c r="I95" s="2">
        <v>-1.1826764810960011</v>
      </c>
      <c r="J95" s="2">
        <v>6.2727266308073792</v>
      </c>
      <c r="K95" s="2">
        <v>3.9284851162301848</v>
      </c>
      <c r="L95" s="2">
        <v>-0.98456241504727426</v>
      </c>
      <c r="M95" s="2">
        <v>4.2914941970703557</v>
      </c>
      <c r="N95" s="2">
        <v>13.375503042271575</v>
      </c>
      <c r="O95" s="2">
        <v>2.7775726825939318</v>
      </c>
      <c r="P95" s="2">
        <v>5.2315359174033071</v>
      </c>
      <c r="Q95" s="2">
        <v>0.48610326328719644</v>
      </c>
      <c r="R95" s="2">
        <v>-0.42160114936703463</v>
      </c>
      <c r="S95" s="2">
        <v>-7.5701870400418532</v>
      </c>
      <c r="T95" s="2">
        <v>-23.181229949404958</v>
      </c>
      <c r="U95" s="23">
        <v>2.5343869489079074</v>
      </c>
    </row>
    <row r="96" spans="1:21" x14ac:dyDescent="0.25">
      <c r="A96" s="103"/>
      <c r="B96" s="100"/>
      <c r="C96" s="19" t="s">
        <v>29</v>
      </c>
      <c r="D96" s="2">
        <v>0.27825550983873182</v>
      </c>
      <c r="E96" s="2">
        <v>2.155622859160311</v>
      </c>
      <c r="F96" s="2">
        <v>-2.8446198623645835</v>
      </c>
      <c r="G96" s="2">
        <v>-8.9555747740861609</v>
      </c>
      <c r="H96" s="2">
        <v>3.8792482394675698</v>
      </c>
      <c r="I96" s="2">
        <v>3.1752695737162551</v>
      </c>
      <c r="J96" s="2">
        <v>2.3129552188185132</v>
      </c>
      <c r="K96" s="2">
        <v>0.18507789512360873</v>
      </c>
      <c r="L96" s="2">
        <v>8.495631745098331</v>
      </c>
      <c r="M96" s="2">
        <v>-7.4203822185090811</v>
      </c>
      <c r="N96" s="2">
        <v>13.228103931258817</v>
      </c>
      <c r="O96" s="2">
        <v>0.36863863013263387</v>
      </c>
      <c r="P96" s="2">
        <v>-8.5712425799476684</v>
      </c>
      <c r="Q96" s="2">
        <v>0.59648136431933452</v>
      </c>
      <c r="R96" s="2">
        <v>4.4160819621365421</v>
      </c>
      <c r="S96" s="2">
        <v>-32.267964262839385</v>
      </c>
      <c r="T96" s="2">
        <v>-42.664708352135492</v>
      </c>
      <c r="U96" s="23">
        <v>1.080157965275852</v>
      </c>
    </row>
    <row r="97" spans="1:21" x14ac:dyDescent="0.25">
      <c r="A97" s="103"/>
      <c r="B97" s="100"/>
      <c r="C97" s="19" t="s">
        <v>30</v>
      </c>
      <c r="D97" s="2">
        <v>-6.5767053878140747E-2</v>
      </c>
      <c r="E97" s="2">
        <v>-0.20189340813686618</v>
      </c>
      <c r="F97" s="2">
        <v>4.092841323161478</v>
      </c>
      <c r="G97" s="2">
        <v>24.688762237792439</v>
      </c>
      <c r="H97" s="2">
        <v>4.4456922048375258</v>
      </c>
      <c r="I97" s="2">
        <v>-2.7064394398070735</v>
      </c>
      <c r="J97" s="2">
        <v>-1.6338420817237687</v>
      </c>
      <c r="K97" s="2">
        <v>-0.37677066543638782</v>
      </c>
      <c r="L97" s="2">
        <v>-4.5876652842170351</v>
      </c>
      <c r="M97" s="2">
        <v>5.0279062667311081</v>
      </c>
      <c r="N97" s="2">
        <v>4.5831420091873021</v>
      </c>
      <c r="O97" s="2">
        <v>1.4347523252137062</v>
      </c>
      <c r="P97" s="2">
        <v>7.6130026372931425</v>
      </c>
      <c r="Q97" s="2">
        <v>1.0307939164562852</v>
      </c>
      <c r="R97" s="2">
        <v>-2.0009459414518482</v>
      </c>
      <c r="S97" s="2">
        <v>33.203581838910168</v>
      </c>
      <c r="T97" s="2">
        <v>46.172563142485231</v>
      </c>
      <c r="U97" s="23">
        <v>0.10750723250783079</v>
      </c>
    </row>
    <row r="98" spans="1:21" x14ac:dyDescent="0.25">
      <c r="A98" s="103"/>
      <c r="B98" s="101"/>
      <c r="C98" s="52" t="s">
        <v>31</v>
      </c>
      <c r="D98" s="20">
        <v>7.4067012382150743E-2</v>
      </c>
      <c r="E98" s="20">
        <v>6.1803340779417626</v>
      </c>
      <c r="F98" s="20">
        <v>-1.4409186575138677</v>
      </c>
      <c r="G98" s="20">
        <v>7.9342081748492888</v>
      </c>
      <c r="H98" s="20">
        <v>6.6830258360798922</v>
      </c>
      <c r="I98" s="20">
        <v>2.4263998283711175</v>
      </c>
      <c r="J98" s="20">
        <v>-1.818942432815629</v>
      </c>
      <c r="K98" s="20">
        <v>0.66814165193562758</v>
      </c>
      <c r="L98" s="20">
        <v>11.357076675638078</v>
      </c>
      <c r="M98" s="20">
        <v>4.1304790208081199</v>
      </c>
      <c r="N98" s="20">
        <v>3.8475711756394304</v>
      </c>
      <c r="O98" s="20">
        <v>0.55022408020499736</v>
      </c>
      <c r="P98" s="20">
        <v>1.2644188484239427</v>
      </c>
      <c r="Q98" s="20">
        <v>1.1871580110495383</v>
      </c>
      <c r="R98" s="20">
        <v>-2.6407429477215416E-2</v>
      </c>
      <c r="S98" s="20">
        <v>29.517049470599567</v>
      </c>
      <c r="T98" s="20">
        <v>-17.122977420013264</v>
      </c>
      <c r="U98" s="24">
        <v>2.0671679421469191</v>
      </c>
    </row>
    <row r="99" spans="1:21" x14ac:dyDescent="0.25">
      <c r="A99" s="103"/>
      <c r="B99" s="99">
        <v>2026</v>
      </c>
      <c r="C99" s="19" t="s">
        <v>28</v>
      </c>
      <c r="D99" s="2">
        <v>1.2337447674327207</v>
      </c>
      <c r="E99" s="2">
        <v>1.6261346102346863</v>
      </c>
      <c r="F99" s="2">
        <v>0.11858570621645637</v>
      </c>
      <c r="G99" s="2">
        <v>-14.817447878277113</v>
      </c>
      <c r="H99" s="2">
        <v>-6.7113109039438346</v>
      </c>
      <c r="I99" s="2">
        <v>5.3410133610102273</v>
      </c>
      <c r="J99" s="2">
        <v>2.2943414944046614</v>
      </c>
      <c r="K99" s="2">
        <v>1.0152437887789745</v>
      </c>
      <c r="L99" s="2">
        <v>-5.1338509767813516</v>
      </c>
      <c r="M99" s="2">
        <v>19.682491617512166</v>
      </c>
      <c r="N99" s="2">
        <v>4.9376881284817431</v>
      </c>
      <c r="O99" s="2">
        <v>5.9104863862577517</v>
      </c>
      <c r="P99" s="2">
        <v>2.1559515868846413</v>
      </c>
      <c r="Q99" s="2">
        <v>0.78883574561747771</v>
      </c>
      <c r="R99" s="2">
        <v>-0.33459548815031326</v>
      </c>
      <c r="S99" s="2">
        <v>-26.152247550906583</v>
      </c>
      <c r="T99" s="2">
        <v>-16.821137828775058</v>
      </c>
      <c r="U99" s="23">
        <v>1.374323430914326</v>
      </c>
    </row>
    <row r="100" spans="1:21" x14ac:dyDescent="0.25">
      <c r="A100" s="103"/>
      <c r="B100" s="100"/>
      <c r="C100" s="19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3">
        <v>0</v>
      </c>
    </row>
    <row r="101" spans="1:21" x14ac:dyDescent="0.25">
      <c r="A101" s="103"/>
      <c r="B101" s="100"/>
      <c r="C101" s="19" t="s">
        <v>30</v>
      </c>
      <c r="D101" s="2" t="s">
        <v>54</v>
      </c>
      <c r="E101" s="2" t="s">
        <v>54</v>
      </c>
      <c r="F101" s="2" t="s">
        <v>54</v>
      </c>
      <c r="G101" s="2" t="s">
        <v>54</v>
      </c>
      <c r="H101" s="2" t="s">
        <v>54</v>
      </c>
      <c r="I101" s="2" t="s">
        <v>54</v>
      </c>
      <c r="J101" s="2" t="s">
        <v>54</v>
      </c>
      <c r="K101" s="2" t="s">
        <v>54</v>
      </c>
      <c r="L101" s="2" t="s">
        <v>54</v>
      </c>
      <c r="M101" s="2" t="s">
        <v>54</v>
      </c>
      <c r="N101" s="2" t="s">
        <v>54</v>
      </c>
      <c r="O101" s="2" t="s">
        <v>54</v>
      </c>
      <c r="P101" s="2" t="s">
        <v>54</v>
      </c>
      <c r="Q101" s="2" t="s">
        <v>54</v>
      </c>
      <c r="R101" s="2" t="s">
        <v>54</v>
      </c>
      <c r="S101" s="2" t="s">
        <v>54</v>
      </c>
      <c r="T101" s="2" t="s">
        <v>54</v>
      </c>
      <c r="U101" s="23" t="s">
        <v>54</v>
      </c>
    </row>
    <row r="102" spans="1:21" x14ac:dyDescent="0.25">
      <c r="A102" s="103"/>
      <c r="B102" s="101"/>
      <c r="C102" s="52" t="s">
        <v>31</v>
      </c>
      <c r="D102" s="20" t="s">
        <v>54</v>
      </c>
      <c r="E102" s="20" t="s">
        <v>54</v>
      </c>
      <c r="F102" s="20" t="s">
        <v>54</v>
      </c>
      <c r="G102" s="20" t="s">
        <v>54</v>
      </c>
      <c r="H102" s="20" t="s">
        <v>54</v>
      </c>
      <c r="I102" s="20" t="s">
        <v>54</v>
      </c>
      <c r="J102" s="20" t="s">
        <v>54</v>
      </c>
      <c r="K102" s="20" t="s">
        <v>54</v>
      </c>
      <c r="L102" s="20" t="s">
        <v>54</v>
      </c>
      <c r="M102" s="20" t="s">
        <v>54</v>
      </c>
      <c r="N102" s="20" t="s">
        <v>54</v>
      </c>
      <c r="O102" s="20" t="s">
        <v>54</v>
      </c>
      <c r="P102" s="20" t="s">
        <v>54</v>
      </c>
      <c r="Q102" s="20" t="s">
        <v>54</v>
      </c>
      <c r="R102" s="20" t="s">
        <v>54</v>
      </c>
      <c r="S102" s="20" t="s">
        <v>54</v>
      </c>
      <c r="T102" s="20" t="s">
        <v>54</v>
      </c>
      <c r="U102" s="24" t="s">
        <v>54</v>
      </c>
    </row>
    <row r="103" spans="1:21" x14ac:dyDescent="0.25">
      <c r="C103" s="17" t="s">
        <v>52</v>
      </c>
    </row>
  </sheetData>
  <mergeCells count="28">
    <mergeCell ref="B99:B102"/>
    <mergeCell ref="A1:A102"/>
    <mergeCell ref="C1:U1"/>
    <mergeCell ref="B2:C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95:B98"/>
    <mergeCell ref="B75:B78"/>
    <mergeCell ref="B79:B82"/>
    <mergeCell ref="B83:B86"/>
    <mergeCell ref="B87:B90"/>
    <mergeCell ref="B91:B9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03"/>
  <sheetViews>
    <sheetView showGridLines="0" zoomScaleNormal="100" workbookViewId="0">
      <pane xSplit="3" ySplit="2" topLeftCell="D81" activePane="bottomRight" state="frozen"/>
      <selection activeCell="B3" sqref="B3:S54"/>
      <selection pane="topRight" activeCell="B3" sqref="B3:S54"/>
      <selection pane="bottomLeft" activeCell="B3" sqref="B3:S54"/>
      <selection pane="bottomRight" activeCell="C1" sqref="C1:U1"/>
    </sheetView>
  </sheetViews>
  <sheetFormatPr defaultRowHeight="15.75" x14ac:dyDescent="0.25"/>
  <cols>
    <col min="2" max="2" width="5" style="18" customWidth="1"/>
    <col min="3" max="3" width="7" style="18" customWidth="1"/>
    <col min="4" max="4" width="13.125" customWidth="1"/>
  </cols>
  <sheetData>
    <row r="1" spans="1:23" x14ac:dyDescent="0.25">
      <c r="A1" s="95"/>
      <c r="C1" s="102" t="s">
        <v>21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61" t="s">
        <v>28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2">
        <v>0</v>
      </c>
    </row>
    <row r="4" spans="1:23" x14ac:dyDescent="0.25">
      <c r="A4" s="95"/>
      <c r="B4" s="100"/>
      <c r="C4" s="19" t="s">
        <v>29</v>
      </c>
      <c r="D4" s="2">
        <v>5.6364473979397325E-2</v>
      </c>
      <c r="E4" s="2">
        <v>4.1063065934530442E-2</v>
      </c>
      <c r="F4" s="2">
        <v>-1.3712752235844035</v>
      </c>
      <c r="G4" s="2">
        <v>-9.8049594270758461E-2</v>
      </c>
      <c r="H4" s="2">
        <v>-7.7366036585972783E-2</v>
      </c>
      <c r="I4" s="2">
        <v>6.5558131588130328E-2</v>
      </c>
      <c r="J4" s="2">
        <v>0.14772090062121779</v>
      </c>
      <c r="K4" s="2">
        <v>1.5330143287508036</v>
      </c>
      <c r="L4" s="2">
        <v>-0.34265066125675314</v>
      </c>
      <c r="M4" s="2">
        <v>-9.2050455844640503E-3</v>
      </c>
      <c r="N4" s="2">
        <v>1.5808123231819859E-2</v>
      </c>
      <c r="O4" s="2">
        <v>0.22486688111609424</v>
      </c>
      <c r="P4" s="2">
        <v>0.97048627060823378</v>
      </c>
      <c r="Q4" s="2">
        <v>0.31433555107552408</v>
      </c>
      <c r="R4" s="2">
        <v>0.41575691246162572</v>
      </c>
      <c r="S4" s="2">
        <v>0.38541429190334359</v>
      </c>
      <c r="T4" s="2">
        <v>-0.18584062444679125</v>
      </c>
      <c r="U4" s="23">
        <v>2.0860017455415778</v>
      </c>
    </row>
    <row r="5" spans="1:23" x14ac:dyDescent="0.25">
      <c r="A5" s="95"/>
      <c r="B5" s="100"/>
      <c r="C5" s="19" t="s">
        <v>30</v>
      </c>
      <c r="D5" s="2">
        <v>0.15791106677783609</v>
      </c>
      <c r="E5" s="2">
        <v>1.8103870395130804E-2</v>
      </c>
      <c r="F5" s="2">
        <v>0.65089448898986968</v>
      </c>
      <c r="G5" s="2">
        <v>0.18372147250130086</v>
      </c>
      <c r="H5" s="2">
        <v>1.6280245094123357E-2</v>
      </c>
      <c r="I5" s="2">
        <v>7.3639862978170892E-2</v>
      </c>
      <c r="J5" s="2">
        <v>0.19845600677452424</v>
      </c>
      <c r="K5" s="2">
        <v>1.4197658391149572</v>
      </c>
      <c r="L5" s="2">
        <v>-0.11069729396110752</v>
      </c>
      <c r="M5" s="2">
        <v>-3.3722042545264223E-2</v>
      </c>
      <c r="N5" s="2">
        <v>7.6483953040991986E-3</v>
      </c>
      <c r="O5" s="2">
        <v>0.63649179711590376</v>
      </c>
      <c r="P5" s="2">
        <v>0.40334057745983731</v>
      </c>
      <c r="Q5" s="2">
        <v>0.1891512508334057</v>
      </c>
      <c r="R5" s="2">
        <v>0.5846653436980549</v>
      </c>
      <c r="S5" s="2">
        <v>0.35675311752148997</v>
      </c>
      <c r="T5" s="2">
        <v>-0.1696333986670604</v>
      </c>
      <c r="U5" s="23">
        <v>4.5827705993852721</v>
      </c>
    </row>
    <row r="6" spans="1:23" x14ac:dyDescent="0.25">
      <c r="A6" s="95"/>
      <c r="B6" s="101"/>
      <c r="C6" s="52" t="s">
        <v>31</v>
      </c>
      <c r="D6" s="20">
        <v>0.18723532680083155</v>
      </c>
      <c r="E6" s="20">
        <v>-6.9548210941593996E-2</v>
      </c>
      <c r="F6" s="20">
        <v>-0.1061397682675015</v>
      </c>
      <c r="G6" s="20">
        <v>-4.0904832457897097E-2</v>
      </c>
      <c r="H6" s="20">
        <v>9.375135558273609E-2</v>
      </c>
      <c r="I6" s="20">
        <v>-4.4074860574647254E-2</v>
      </c>
      <c r="J6" s="20">
        <v>0.28603749049959848</v>
      </c>
      <c r="K6" s="20">
        <v>1.9244796112072255</v>
      </c>
      <c r="L6" s="20">
        <v>-6.9518401864180082E-2</v>
      </c>
      <c r="M6" s="20">
        <v>-4.2386199317138398E-2</v>
      </c>
      <c r="N6" s="20">
        <v>1.0053868029347886E-2</v>
      </c>
      <c r="O6" s="20">
        <v>0.45755680188187792</v>
      </c>
      <c r="P6" s="20">
        <v>1.2132515393697076</v>
      </c>
      <c r="Q6" s="20">
        <v>0.74540282814128767</v>
      </c>
      <c r="R6" s="20">
        <v>0.94683694811067109</v>
      </c>
      <c r="S6" s="20">
        <v>1.0629577560578249</v>
      </c>
      <c r="T6" s="20">
        <v>-0.38627300665768222</v>
      </c>
      <c r="U6" s="24">
        <v>6.1687182456004681</v>
      </c>
    </row>
    <row r="7" spans="1:23" x14ac:dyDescent="0.25">
      <c r="A7" s="95"/>
      <c r="B7" s="99">
        <v>2003</v>
      </c>
      <c r="C7" s="61" t="s">
        <v>28</v>
      </c>
      <c r="D7" s="21">
        <v>0.61527261952313983</v>
      </c>
      <c r="E7" s="21">
        <v>0.12016899002550671</v>
      </c>
      <c r="F7" s="21">
        <v>-0.48446278879713661</v>
      </c>
      <c r="G7" s="21">
        <v>-0.10498997105966638</v>
      </c>
      <c r="H7" s="21">
        <v>0.20148931792345731</v>
      </c>
      <c r="I7" s="21">
        <v>0.13502265842928746</v>
      </c>
      <c r="J7" s="21">
        <v>0.46267182256538514</v>
      </c>
      <c r="K7" s="21">
        <v>-4.7088449380218069</v>
      </c>
      <c r="L7" s="21">
        <v>0.68694481874069457</v>
      </c>
      <c r="M7" s="21">
        <v>0.10295689300212617</v>
      </c>
      <c r="N7" s="21">
        <v>3.8556430956837182E-2</v>
      </c>
      <c r="O7" s="21">
        <v>-1.752032109398846</v>
      </c>
      <c r="P7" s="21">
        <v>-1.5721665250591517</v>
      </c>
      <c r="Q7" s="21">
        <v>-1.8518804411510557</v>
      </c>
      <c r="R7" s="21">
        <v>-2.2428853583767681</v>
      </c>
      <c r="S7" s="21">
        <v>-1.4291933152638536</v>
      </c>
      <c r="T7" s="21">
        <v>0.66732986037843867</v>
      </c>
      <c r="U7" s="22">
        <v>-11.116042035583412</v>
      </c>
    </row>
    <row r="8" spans="1:23" x14ac:dyDescent="0.25">
      <c r="A8" s="95"/>
      <c r="B8" s="100"/>
      <c r="C8" s="19" t="s">
        <v>29</v>
      </c>
      <c r="D8" s="2">
        <v>0.41534593469190068</v>
      </c>
      <c r="E8" s="2">
        <v>5.9616561001915702E-2</v>
      </c>
      <c r="F8" s="2">
        <v>-1.3561314004127751</v>
      </c>
      <c r="G8" s="2">
        <v>0.22567291607134721</v>
      </c>
      <c r="H8" s="2">
        <v>4.6147216005610982E-2</v>
      </c>
      <c r="I8" s="2">
        <v>4.3469849628871224E-3</v>
      </c>
      <c r="J8" s="2">
        <v>0.63925916948100769</v>
      </c>
      <c r="K8" s="2">
        <v>2.3378162033581931</v>
      </c>
      <c r="L8" s="2">
        <v>-0.18096268452888822</v>
      </c>
      <c r="M8" s="2">
        <v>1.8358484577069244E-2</v>
      </c>
      <c r="N8" s="2">
        <v>3.4806079912438836E-2</v>
      </c>
      <c r="O8" s="2">
        <v>0.50760838869746849</v>
      </c>
      <c r="P8" s="2">
        <v>1.1918192923460118</v>
      </c>
      <c r="Q8" s="2">
        <v>0.73741548692034098</v>
      </c>
      <c r="R8" s="2">
        <v>0.65587826036536223</v>
      </c>
      <c r="S8" s="2">
        <v>0.36402148677654139</v>
      </c>
      <c r="T8" s="2">
        <v>2.8318907232052007E-2</v>
      </c>
      <c r="U8" s="23">
        <v>5.7293372874584838</v>
      </c>
    </row>
    <row r="9" spans="1:23" x14ac:dyDescent="0.25">
      <c r="A9" s="95"/>
      <c r="B9" s="100"/>
      <c r="C9" s="19" t="s">
        <v>30</v>
      </c>
      <c r="D9" s="2">
        <v>0.31623098155703505</v>
      </c>
      <c r="E9" s="2">
        <v>2.6965670614153739E-2</v>
      </c>
      <c r="F9" s="2">
        <v>0.66706051030527591</v>
      </c>
      <c r="G9" s="2">
        <v>0.27022581843979204</v>
      </c>
      <c r="H9" s="2">
        <v>0.11502145993529619</v>
      </c>
      <c r="I9" s="2">
        <v>-7.3122261479788106E-2</v>
      </c>
      <c r="J9" s="2">
        <v>0.57431388372961578</v>
      </c>
      <c r="K9" s="2">
        <v>1.0046779452245305</v>
      </c>
      <c r="L9" s="2">
        <v>7.0824296949604341E-3</v>
      </c>
      <c r="M9" s="2">
        <v>-7.7904597443968684E-3</v>
      </c>
      <c r="N9" s="2">
        <v>1.1272695205973571E-2</v>
      </c>
      <c r="O9" s="2">
        <v>0.79028507921153079</v>
      </c>
      <c r="P9" s="2">
        <v>0.26712813564348481</v>
      </c>
      <c r="Q9" s="2">
        <v>0.70990676815818321</v>
      </c>
      <c r="R9" s="2">
        <v>0.54405959570035289</v>
      </c>
      <c r="S9" s="2">
        <v>0.26619976404845358</v>
      </c>
      <c r="T9" s="2">
        <v>2.8864808640825697E-2</v>
      </c>
      <c r="U9" s="23">
        <v>5.5183828248852791</v>
      </c>
    </row>
    <row r="10" spans="1:23" x14ac:dyDescent="0.25">
      <c r="A10" s="95"/>
      <c r="B10" s="101"/>
      <c r="C10" s="52" t="s">
        <v>31</v>
      </c>
      <c r="D10" s="20">
        <v>0.3452432547228253</v>
      </c>
      <c r="E10" s="20">
        <v>-2.0647677951035028E-2</v>
      </c>
      <c r="F10" s="20">
        <v>3.3066660040642973E-2</v>
      </c>
      <c r="G10" s="20">
        <v>-0.19670402839585055</v>
      </c>
      <c r="H10" s="20">
        <v>0.21535354440818233</v>
      </c>
      <c r="I10" s="20">
        <v>4.028212364188808E-2</v>
      </c>
      <c r="J10" s="20">
        <v>0.64724598487050367</v>
      </c>
      <c r="K10" s="20">
        <v>0.73464707817190333</v>
      </c>
      <c r="L10" s="20">
        <v>8.8114935966166832E-2</v>
      </c>
      <c r="M10" s="20">
        <v>3.3230017494275545E-2</v>
      </c>
      <c r="N10" s="20">
        <v>-2.7478031826125961E-3</v>
      </c>
      <c r="O10" s="20">
        <v>0.37358890038288878</v>
      </c>
      <c r="P10" s="20">
        <v>0.65783922743642809</v>
      </c>
      <c r="Q10" s="20">
        <v>0.34150825999530682</v>
      </c>
      <c r="R10" s="20">
        <v>0.56670312115889998</v>
      </c>
      <c r="S10" s="20">
        <v>0.81380815018233377</v>
      </c>
      <c r="T10" s="20">
        <v>-0.13669574865213471</v>
      </c>
      <c r="U10" s="24">
        <v>4.5338360002906128</v>
      </c>
    </row>
    <row r="11" spans="1:23" x14ac:dyDescent="0.25">
      <c r="A11" s="95"/>
      <c r="B11" s="99">
        <v>2004</v>
      </c>
      <c r="C11" s="61" t="s">
        <v>28</v>
      </c>
      <c r="D11" s="21">
        <v>2.5393284137139349</v>
      </c>
      <c r="E11" s="21">
        <v>0.33700709917499089</v>
      </c>
      <c r="F11" s="21">
        <v>15.127840822748746</v>
      </c>
      <c r="G11" s="21">
        <v>-0.18494215943090286</v>
      </c>
      <c r="H11" s="21">
        <v>3.1287356847789383</v>
      </c>
      <c r="I11" s="21">
        <v>0.1936406599612315</v>
      </c>
      <c r="J11" s="21">
        <v>3.7907044373316161</v>
      </c>
      <c r="K11" s="21">
        <v>-6.2704259964111602</v>
      </c>
      <c r="L11" s="21">
        <v>1.6403811638696706</v>
      </c>
      <c r="M11" s="21">
        <v>0.87419268214263302</v>
      </c>
      <c r="N11" s="21">
        <v>-4.9545897398095895E-2</v>
      </c>
      <c r="O11" s="21">
        <v>-5.8095143922329928</v>
      </c>
      <c r="P11" s="21">
        <v>2.3379143589401745</v>
      </c>
      <c r="Q11" s="21">
        <v>-2.2539826313827724</v>
      </c>
      <c r="R11" s="21">
        <v>-1.7328778617342588</v>
      </c>
      <c r="S11" s="21">
        <v>-6.3084323942955951</v>
      </c>
      <c r="T11" s="21">
        <v>-21.335867016567938</v>
      </c>
      <c r="U11" s="22">
        <v>-13.975843026791781</v>
      </c>
    </row>
    <row r="12" spans="1:23" x14ac:dyDescent="0.25">
      <c r="A12" s="95"/>
      <c r="B12" s="100"/>
      <c r="C12" s="19" t="s">
        <v>29</v>
      </c>
      <c r="D12" s="2">
        <v>0.90403214681054334</v>
      </c>
      <c r="E12" s="2">
        <v>9.7382387185848296E-2</v>
      </c>
      <c r="F12" s="2">
        <v>-3.0708311623948887</v>
      </c>
      <c r="G12" s="2">
        <v>0.17594842016427997</v>
      </c>
      <c r="H12" s="2">
        <v>1.1623037106701293</v>
      </c>
      <c r="I12" s="2">
        <v>0.32517916964676646</v>
      </c>
      <c r="J12" s="2">
        <v>2.2930468245281594</v>
      </c>
      <c r="K12" s="2">
        <v>1.741462460041701</v>
      </c>
      <c r="L12" s="2">
        <v>0.49189801455546595</v>
      </c>
      <c r="M12" s="2">
        <v>0.37089650529417711</v>
      </c>
      <c r="N12" s="2">
        <v>0.11015370926800934</v>
      </c>
      <c r="O12" s="2">
        <v>-0.5282843204823171</v>
      </c>
      <c r="P12" s="2">
        <v>-1.3963390191738005</v>
      </c>
      <c r="Q12" s="2">
        <v>-9.908404948475992E-2</v>
      </c>
      <c r="R12" s="2">
        <v>1.0770713965625418</v>
      </c>
      <c r="S12" s="2">
        <v>1.8251734359776826</v>
      </c>
      <c r="T12" s="2">
        <v>18.298429792005617</v>
      </c>
      <c r="U12" s="23">
        <v>23.778439421175158</v>
      </c>
    </row>
    <row r="13" spans="1:23" x14ac:dyDescent="0.25">
      <c r="A13" s="95"/>
      <c r="B13" s="100"/>
      <c r="C13" s="19" t="s">
        <v>30</v>
      </c>
      <c r="D13" s="2">
        <v>0.12564604252793002</v>
      </c>
      <c r="E13" s="2">
        <v>6.8753525652660167E-3</v>
      </c>
      <c r="F13" s="2">
        <v>0.41600999361152152</v>
      </c>
      <c r="G13" s="2">
        <v>5.4507806928205775E-2</v>
      </c>
      <c r="H13" s="2">
        <v>0.11660549956189466</v>
      </c>
      <c r="I13" s="2">
        <v>4.3302747912001199E-2</v>
      </c>
      <c r="J13" s="2">
        <v>0.29769692049858321</v>
      </c>
      <c r="K13" s="2">
        <v>0.12551521935917556</v>
      </c>
      <c r="L13" s="2">
        <v>3.1137586800648483E-2</v>
      </c>
      <c r="M13" s="2">
        <v>4.275780168887041E-2</v>
      </c>
      <c r="N13" s="2">
        <v>2.6363601865165023E-2</v>
      </c>
      <c r="O13" s="2">
        <v>0.4158145659706568</v>
      </c>
      <c r="P13" s="2">
        <v>0.76438303863508161</v>
      </c>
      <c r="Q13" s="2">
        <v>-0.17005467348369482</v>
      </c>
      <c r="R13" s="2">
        <v>7.2814947923407841E-2</v>
      </c>
      <c r="S13" s="2">
        <v>-0.3049364300571088</v>
      </c>
      <c r="T13" s="2">
        <v>-1.0685345790991396E-3</v>
      </c>
      <c r="U13" s="23">
        <v>2.0633714877285052</v>
      </c>
    </row>
    <row r="14" spans="1:23" x14ac:dyDescent="0.25">
      <c r="A14" s="95"/>
      <c r="B14" s="101"/>
      <c r="C14" s="52" t="s">
        <v>31</v>
      </c>
      <c r="D14" s="20">
        <v>0.47064848403288206</v>
      </c>
      <c r="E14" s="20">
        <v>-8.4484832855363401E-2</v>
      </c>
      <c r="F14" s="20">
        <v>1.0247206219096054E-2</v>
      </c>
      <c r="G14" s="20">
        <v>-2.6381067382159531E-2</v>
      </c>
      <c r="H14" s="20">
        <v>4.3780353832548288E-2</v>
      </c>
      <c r="I14" s="20">
        <v>-0.12252579339314816</v>
      </c>
      <c r="J14" s="20">
        <v>0.73966181322962099</v>
      </c>
      <c r="K14" s="20">
        <v>0.92642737314214019</v>
      </c>
      <c r="L14" s="20">
        <v>-0.14595213703444343</v>
      </c>
      <c r="M14" s="20">
        <v>0.16779767317985053</v>
      </c>
      <c r="N14" s="20">
        <v>1.1961485829364901E-2</v>
      </c>
      <c r="O14" s="20">
        <v>0.84782596187406267</v>
      </c>
      <c r="P14" s="20">
        <v>-1.3098157746765835</v>
      </c>
      <c r="Q14" s="20">
        <v>-1.9624514543255128E-2</v>
      </c>
      <c r="R14" s="20">
        <v>0.35279451986979848</v>
      </c>
      <c r="S14" s="20">
        <v>2.8953643446497135</v>
      </c>
      <c r="T14" s="20">
        <v>-1.0708704039938099E-2</v>
      </c>
      <c r="U14" s="24">
        <v>4.7470163919341859</v>
      </c>
    </row>
    <row r="15" spans="1:23" x14ac:dyDescent="0.25">
      <c r="A15" s="95"/>
      <c r="B15" s="99">
        <v>2005</v>
      </c>
      <c r="C15" s="61" t="s">
        <v>28</v>
      </c>
      <c r="D15" s="21">
        <v>-9.5575758291844629E-2</v>
      </c>
      <c r="E15" s="21">
        <v>1.9092812730814403E-2</v>
      </c>
      <c r="F15" s="21">
        <v>3.8704406132079905</v>
      </c>
      <c r="G15" s="21">
        <v>-0.17300992939191298</v>
      </c>
      <c r="H15" s="21">
        <v>9.4965251123532879E-2</v>
      </c>
      <c r="I15" s="21">
        <v>2.2766204757546878E-2</v>
      </c>
      <c r="J15" s="21">
        <v>0.22167643332983306</v>
      </c>
      <c r="K15" s="21">
        <v>0.40316990535561187</v>
      </c>
      <c r="L15" s="21">
        <v>1.1130980243331392E-2</v>
      </c>
      <c r="M15" s="21">
        <v>0.11281571378926493</v>
      </c>
      <c r="N15" s="21">
        <v>-8.4466963996612049E-2</v>
      </c>
      <c r="O15" s="21">
        <v>-0.76145331929108573</v>
      </c>
      <c r="P15" s="21">
        <v>1.5241427170410253</v>
      </c>
      <c r="Q15" s="21">
        <v>0.30589019613317137</v>
      </c>
      <c r="R15" s="21">
        <v>-1.5202112080837991E-2</v>
      </c>
      <c r="S15" s="21">
        <v>-0.70032932700854567</v>
      </c>
      <c r="T15" s="21">
        <v>-4.1718373504220321E-2</v>
      </c>
      <c r="U15" s="22">
        <v>4.7143350441470631</v>
      </c>
    </row>
    <row r="16" spans="1:23" x14ac:dyDescent="0.25">
      <c r="A16" s="95"/>
      <c r="B16" s="100"/>
      <c r="C16" s="19" t="s">
        <v>29</v>
      </c>
      <c r="D16" s="2">
        <v>0.34833558288773536</v>
      </c>
      <c r="E16" s="2">
        <v>0.27644461397846143</v>
      </c>
      <c r="F16" s="2">
        <v>-0.84447255996371384</v>
      </c>
      <c r="G16" s="2">
        <v>0.30736703906392771</v>
      </c>
      <c r="H16" s="2">
        <v>0.35201865670743337</v>
      </c>
      <c r="I16" s="2">
        <v>-4.3224487611281627E-3</v>
      </c>
      <c r="J16" s="2">
        <v>0.50342075928996943</v>
      </c>
      <c r="K16" s="2">
        <v>0.39877637938308164</v>
      </c>
      <c r="L16" s="2">
        <v>-0.12418505355946273</v>
      </c>
      <c r="M16" s="2">
        <v>0.35436934767246908</v>
      </c>
      <c r="N16" s="2">
        <v>-0.12341887690067091</v>
      </c>
      <c r="O16" s="2">
        <v>0.60044667674419894</v>
      </c>
      <c r="P16" s="2">
        <v>-0.39063872163437152</v>
      </c>
      <c r="Q16" s="2">
        <v>0.26803268549072629</v>
      </c>
      <c r="R16" s="2">
        <v>0.26885992662517044</v>
      </c>
      <c r="S16" s="2">
        <v>0.29629165923320006</v>
      </c>
      <c r="T16" s="2">
        <v>-6.7436020591274473E-3</v>
      </c>
      <c r="U16" s="23">
        <v>2.4805820641978991</v>
      </c>
    </row>
    <row r="17" spans="1:21" x14ac:dyDescent="0.25">
      <c r="A17" s="95"/>
      <c r="B17" s="100"/>
      <c r="C17" s="19" t="s">
        <v>30</v>
      </c>
      <c r="D17" s="2">
        <v>0.20361650887607105</v>
      </c>
      <c r="E17" s="2">
        <v>3.1859342844195698E-2</v>
      </c>
      <c r="F17" s="2">
        <v>0.37477783344789872</v>
      </c>
      <c r="G17" s="2">
        <v>7.7966149781060036E-3</v>
      </c>
      <c r="H17" s="2">
        <v>7.1905321504758521E-2</v>
      </c>
      <c r="I17" s="2">
        <v>1.3166002294975976E-2</v>
      </c>
      <c r="J17" s="2">
        <v>0.17862975331369649</v>
      </c>
      <c r="K17" s="2">
        <v>2.5892807847280135E-2</v>
      </c>
      <c r="L17" s="2">
        <v>-6.9712342162709454E-2</v>
      </c>
      <c r="M17" s="2">
        <v>5.6845234585407155E-2</v>
      </c>
      <c r="N17" s="2">
        <v>-6.6603671587309565E-2</v>
      </c>
      <c r="O17" s="2">
        <v>0.39949640975463091</v>
      </c>
      <c r="P17" s="2">
        <v>-0.35606525821417395</v>
      </c>
      <c r="Q17" s="2">
        <v>-6.8645339057880478E-2</v>
      </c>
      <c r="R17" s="2">
        <v>9.0059404899814718E-2</v>
      </c>
      <c r="S17" s="2">
        <v>-0.10737564672400332</v>
      </c>
      <c r="T17" s="2">
        <v>1.689877557986507E-3</v>
      </c>
      <c r="U17" s="23">
        <v>0.7873328541587451</v>
      </c>
    </row>
    <row r="18" spans="1:21" x14ac:dyDescent="0.25">
      <c r="A18" s="95"/>
      <c r="B18" s="101"/>
      <c r="C18" s="52" t="s">
        <v>31</v>
      </c>
      <c r="D18" s="20">
        <v>14.207173815395624</v>
      </c>
      <c r="E18" s="20">
        <v>0.34785503978785287</v>
      </c>
      <c r="F18" s="20">
        <v>-9.3019340433918085</v>
      </c>
      <c r="G18" s="20">
        <v>-3.1368929570434574</v>
      </c>
      <c r="H18" s="20">
        <v>1.6746124570820315</v>
      </c>
      <c r="I18" s="20">
        <v>2.0298727597112616</v>
      </c>
      <c r="J18" s="20">
        <v>6.6871243207209794</v>
      </c>
      <c r="K18" s="20">
        <v>2.6794191328350414</v>
      </c>
      <c r="L18" s="20">
        <v>0.40546428317590638</v>
      </c>
      <c r="M18" s="20">
        <v>1.6620717078446043</v>
      </c>
      <c r="N18" s="20">
        <v>-0.58077267541675115</v>
      </c>
      <c r="O18" s="20">
        <v>17.235018880792417</v>
      </c>
      <c r="P18" s="20">
        <v>23.909407036557155</v>
      </c>
      <c r="Q18" s="20">
        <v>-0.10860003565287392</v>
      </c>
      <c r="R18" s="20">
        <v>8.1550044424159758</v>
      </c>
      <c r="S18" s="20">
        <v>31.788787887794182</v>
      </c>
      <c r="T18" s="20">
        <v>-108.76988611515037</v>
      </c>
      <c r="U18" s="24">
        <v>-11.116274062542232</v>
      </c>
    </row>
    <row r="19" spans="1:21" x14ac:dyDescent="0.25">
      <c r="A19" s="95"/>
      <c r="B19" s="99">
        <v>2006</v>
      </c>
      <c r="C19" s="61" t="s">
        <v>28</v>
      </c>
      <c r="D19" s="21">
        <v>1.1405586135219559</v>
      </c>
      <c r="E19" s="21">
        <v>0.27464568732126443</v>
      </c>
      <c r="F19" s="21">
        <v>7.4407788004388014</v>
      </c>
      <c r="G19" s="21">
        <v>0.50864979517445275</v>
      </c>
      <c r="H19" s="21">
        <v>0.40656120702685428</v>
      </c>
      <c r="I19" s="21">
        <v>0.12866106388387696</v>
      </c>
      <c r="J19" s="21">
        <v>0.51290384491413166</v>
      </c>
      <c r="K19" s="21">
        <v>0.9550049284522053</v>
      </c>
      <c r="L19" s="21">
        <v>0.96465470288370558</v>
      </c>
      <c r="M19" s="21">
        <v>0.19046161937331871</v>
      </c>
      <c r="N19" s="21">
        <v>0.20838414730398749</v>
      </c>
      <c r="O19" s="21">
        <v>-3.2010473585333221</v>
      </c>
      <c r="P19" s="21">
        <v>1.1522500912345512</v>
      </c>
      <c r="Q19" s="21">
        <v>0.45584230535457276</v>
      </c>
      <c r="R19" s="21">
        <v>1.0980416388500063</v>
      </c>
      <c r="S19" s="21">
        <v>-3.0308576248549843</v>
      </c>
      <c r="T19" s="21">
        <v>7.1010100575650545</v>
      </c>
      <c r="U19" s="22">
        <v>16.306503519910429</v>
      </c>
    </row>
    <row r="20" spans="1:21" x14ac:dyDescent="0.25">
      <c r="A20" s="95"/>
      <c r="B20" s="100"/>
      <c r="C20" s="19" t="s">
        <v>29</v>
      </c>
      <c r="D20" s="2">
        <v>0.50788511594129426</v>
      </c>
      <c r="E20" s="2">
        <v>7.6214505407772901E-2</v>
      </c>
      <c r="F20" s="2">
        <v>-1.4150476594425407</v>
      </c>
      <c r="G20" s="2">
        <v>-3.0200064430782061E-2</v>
      </c>
      <c r="H20" s="2">
        <v>0.15781335302129676</v>
      </c>
      <c r="I20" s="2">
        <v>-6.562756160104999E-3</v>
      </c>
      <c r="J20" s="2">
        <v>0.42392353730096133</v>
      </c>
      <c r="K20" s="2">
        <v>-0.26146495565065836</v>
      </c>
      <c r="L20" s="2">
        <v>0.15599293867433783</v>
      </c>
      <c r="M20" s="2">
        <v>0.10859902434180893</v>
      </c>
      <c r="N20" s="2">
        <v>0.10327616800862115</v>
      </c>
      <c r="O20" s="2">
        <v>0.20591903754073648</v>
      </c>
      <c r="P20" s="2">
        <v>2.4783331769649477</v>
      </c>
      <c r="Q20" s="2">
        <v>3.7794333302402353E-2</v>
      </c>
      <c r="R20" s="2">
        <v>0.22078075501975597</v>
      </c>
      <c r="S20" s="2">
        <v>0.30803304546407234</v>
      </c>
      <c r="T20" s="2">
        <v>-6.1018557550349198E-2</v>
      </c>
      <c r="U20" s="23">
        <v>3.0102709977535729</v>
      </c>
    </row>
    <row r="21" spans="1:21" x14ac:dyDescent="0.25">
      <c r="A21" s="95"/>
      <c r="B21" s="100"/>
      <c r="C21" s="19" t="s">
        <v>30</v>
      </c>
      <c r="D21" s="2">
        <v>0.70230239645614312</v>
      </c>
      <c r="E21" s="2">
        <v>0.12034546178523399</v>
      </c>
      <c r="F21" s="2">
        <v>2.1915948936163931</v>
      </c>
      <c r="G21" s="2">
        <v>0.28264437149270516</v>
      </c>
      <c r="H21" s="2">
        <v>0.22022078340774706</v>
      </c>
      <c r="I21" s="2">
        <v>9.5016671597090402E-2</v>
      </c>
      <c r="J21" s="2">
        <v>0.99920282176522179</v>
      </c>
      <c r="K21" s="2">
        <v>0.14252300487692082</v>
      </c>
      <c r="L21" s="2">
        <v>0.33279670087144181</v>
      </c>
      <c r="M21" s="2">
        <v>8.7099778394875302E-2</v>
      </c>
      <c r="N21" s="2">
        <v>0.13303178490698284</v>
      </c>
      <c r="O21" s="2">
        <v>2.2733841509547781</v>
      </c>
      <c r="P21" s="2">
        <v>-6.7025109228894939</v>
      </c>
      <c r="Q21" s="2">
        <v>-0.13434574732047319</v>
      </c>
      <c r="R21" s="2">
        <v>-0.12571138957083172</v>
      </c>
      <c r="S21" s="2">
        <v>1.1549536078086968</v>
      </c>
      <c r="T21" s="2">
        <v>-0.17533212690093397</v>
      </c>
      <c r="U21" s="23">
        <v>1.5972162412524973</v>
      </c>
    </row>
    <row r="22" spans="1:21" x14ac:dyDescent="0.25">
      <c r="A22" s="95"/>
      <c r="B22" s="101"/>
      <c r="C22" s="52" t="s">
        <v>31</v>
      </c>
      <c r="D22" s="20">
        <v>0.17040239970731078</v>
      </c>
      <c r="E22" s="20">
        <v>4.3667914898305953E-2</v>
      </c>
      <c r="F22" s="20">
        <v>-6.2545984685654837E-2</v>
      </c>
      <c r="G22" s="20">
        <v>-1.7788357681174122E-2</v>
      </c>
      <c r="H22" s="20">
        <v>3.6576788425000673E-2</v>
      </c>
      <c r="I22" s="20">
        <v>7.6364572030797773E-2</v>
      </c>
      <c r="J22" s="20">
        <v>0.31996308655598665</v>
      </c>
      <c r="K22" s="20">
        <v>0.18454072496274543</v>
      </c>
      <c r="L22" s="20">
        <v>4.2133402904171856E-2</v>
      </c>
      <c r="M22" s="20">
        <v>1.6730864569007312E-2</v>
      </c>
      <c r="N22" s="20">
        <v>1.0499370514400598E-2</v>
      </c>
      <c r="O22" s="20">
        <v>0.83685911388338963</v>
      </c>
      <c r="P22" s="20">
        <v>1.5551279561001987</v>
      </c>
      <c r="Q22" s="20">
        <v>0.24176582028883523</v>
      </c>
      <c r="R22" s="20">
        <v>-0.14822331008784698</v>
      </c>
      <c r="S22" s="20">
        <v>0.76408914057675903</v>
      </c>
      <c r="T22" s="20">
        <v>-0.50048156380739506</v>
      </c>
      <c r="U22" s="24">
        <v>3.5696819391548384</v>
      </c>
    </row>
    <row r="23" spans="1:21" x14ac:dyDescent="0.25">
      <c r="A23" s="95"/>
      <c r="B23" s="99">
        <v>2007</v>
      </c>
      <c r="C23" s="61" t="s">
        <v>28</v>
      </c>
      <c r="D23" s="21">
        <v>3.3501307802624274E-2</v>
      </c>
      <c r="E23" s="21">
        <v>-9.3975074265166391E-3</v>
      </c>
      <c r="F23" s="21">
        <v>5.7662699509617772</v>
      </c>
      <c r="G23" s="21">
        <v>3.6241808856360164E-2</v>
      </c>
      <c r="H23" s="21">
        <v>2.5727599200542999E-2</v>
      </c>
      <c r="I23" s="21">
        <v>-0.50284340789560411</v>
      </c>
      <c r="J23" s="21">
        <v>0.64988725192386843</v>
      </c>
      <c r="K23" s="21">
        <v>0.80350671933642137</v>
      </c>
      <c r="L23" s="21">
        <v>2.1074922949162127E-2</v>
      </c>
      <c r="M23" s="21">
        <v>9.728597653432107E-2</v>
      </c>
      <c r="N23" s="21">
        <v>-2.0179369534426072E-2</v>
      </c>
      <c r="O23" s="21">
        <v>-2.1763430894207429</v>
      </c>
      <c r="P23" s="21">
        <v>0.90814507641786024</v>
      </c>
      <c r="Q23" s="21">
        <v>-9.1367720473875355E-2</v>
      </c>
      <c r="R23" s="21">
        <v>-0.31200727393587652</v>
      </c>
      <c r="S23" s="21">
        <v>-0.74791264864877749</v>
      </c>
      <c r="T23" s="21">
        <v>0.5837966720986244</v>
      </c>
      <c r="U23" s="22">
        <v>5.0653862687457432</v>
      </c>
    </row>
    <row r="24" spans="1:21" x14ac:dyDescent="0.25">
      <c r="A24" s="95"/>
      <c r="B24" s="100"/>
      <c r="C24" s="19" t="s">
        <v>29</v>
      </c>
      <c r="D24" s="2">
        <v>0.24130763928842366</v>
      </c>
      <c r="E24" s="2">
        <v>-1.9969340841426209E-2</v>
      </c>
      <c r="F24" s="2">
        <v>-4.4329343082298971</v>
      </c>
      <c r="G24" s="2">
        <v>-0.47109978623102522</v>
      </c>
      <c r="H24" s="2">
        <v>0.12105421532108217</v>
      </c>
      <c r="I24" s="2">
        <v>1.9428175964957002</v>
      </c>
      <c r="J24" s="2">
        <v>1.8448435341155784</v>
      </c>
      <c r="K24" s="2">
        <v>0.9565906306554427</v>
      </c>
      <c r="L24" s="2">
        <v>0.32252547686222194</v>
      </c>
      <c r="M24" s="2">
        <v>0.39043701405008469</v>
      </c>
      <c r="N24" s="2">
        <v>3.0871227937448287E-2</v>
      </c>
      <c r="O24" s="2">
        <v>0.71397891562641169</v>
      </c>
      <c r="P24" s="2">
        <v>0.46373516857344416</v>
      </c>
      <c r="Q24" s="2">
        <v>4.1976776627295945E-2</v>
      </c>
      <c r="R24" s="2">
        <v>-1.1431201777709104</v>
      </c>
      <c r="S24" s="2">
        <v>-0.39621290131037645</v>
      </c>
      <c r="T24" s="2">
        <v>2.1413950772531445</v>
      </c>
      <c r="U24" s="23">
        <v>2.7481967584226425</v>
      </c>
    </row>
    <row r="25" spans="1:21" x14ac:dyDescent="0.25">
      <c r="A25" s="95"/>
      <c r="B25" s="100"/>
      <c r="C25" s="19" t="s">
        <v>30</v>
      </c>
      <c r="D25" s="2">
        <v>0.11663751135600105</v>
      </c>
      <c r="E25" s="2">
        <v>9.3530265750953641E-3</v>
      </c>
      <c r="F25" s="2">
        <v>0.709172840875815</v>
      </c>
      <c r="G25" s="2">
        <v>0.20801639501001581</v>
      </c>
      <c r="H25" s="2">
        <v>3.97645275715965E-2</v>
      </c>
      <c r="I25" s="2">
        <v>1.5446951265929498E-2</v>
      </c>
      <c r="J25" s="2">
        <v>0.3755840698646194</v>
      </c>
      <c r="K25" s="2">
        <v>0.36862890149093125</v>
      </c>
      <c r="L25" s="2">
        <v>2.4692339361758658E-2</v>
      </c>
      <c r="M25" s="2">
        <v>0.10417178812294228</v>
      </c>
      <c r="N25" s="2">
        <v>3.3787255286757661E-2</v>
      </c>
      <c r="O25" s="2">
        <v>0.52517002706145055</v>
      </c>
      <c r="P25" s="2">
        <v>-8.0831160531928264E-2</v>
      </c>
      <c r="Q25" s="2">
        <v>-9.3676662299211847E-3</v>
      </c>
      <c r="R25" s="2">
        <v>-0.12566767643651947</v>
      </c>
      <c r="S25" s="2">
        <v>0.1306468871821902</v>
      </c>
      <c r="T25" s="2">
        <v>0.4825842207486622</v>
      </c>
      <c r="U25" s="23">
        <v>2.9277902385753967</v>
      </c>
    </row>
    <row r="26" spans="1:21" x14ac:dyDescent="0.25">
      <c r="A26" s="95"/>
      <c r="B26" s="101"/>
      <c r="C26" s="52" t="s">
        <v>31</v>
      </c>
      <c r="D26" s="20">
        <v>0.22739893666408234</v>
      </c>
      <c r="E26" s="20">
        <v>4.2894284375887435E-3</v>
      </c>
      <c r="F26" s="20">
        <v>-1.0096238726458762E-2</v>
      </c>
      <c r="G26" s="20">
        <v>0.22253506142555418</v>
      </c>
      <c r="H26" s="20">
        <v>7.9899336853877623E-2</v>
      </c>
      <c r="I26" s="20">
        <v>-1.6155862013024637E-2</v>
      </c>
      <c r="J26" s="20">
        <v>0.3080153815773069</v>
      </c>
      <c r="K26" s="20">
        <v>0.46243537213136232</v>
      </c>
      <c r="L26" s="20">
        <v>-4.8204955893731164E-3</v>
      </c>
      <c r="M26" s="20">
        <v>0.18353941121947651</v>
      </c>
      <c r="N26" s="20">
        <v>6.6514317674513254E-2</v>
      </c>
      <c r="O26" s="20">
        <v>0.40945580890416439</v>
      </c>
      <c r="P26" s="20">
        <v>-0.88361281550466797</v>
      </c>
      <c r="Q26" s="20">
        <v>3.4130423712769524E-2</v>
      </c>
      <c r="R26" s="20">
        <v>7.9942541550966625E-2</v>
      </c>
      <c r="S26" s="20">
        <v>-0.10799067577740185</v>
      </c>
      <c r="T26" s="20">
        <v>-2.3819752457593726</v>
      </c>
      <c r="U26" s="24">
        <v>-1.3264953132186361</v>
      </c>
    </row>
    <row r="27" spans="1:21" x14ac:dyDescent="0.25">
      <c r="A27" s="95"/>
      <c r="B27" s="99">
        <v>2008</v>
      </c>
      <c r="C27" s="61" t="s">
        <v>28</v>
      </c>
      <c r="D27" s="21">
        <v>0.25825992077263538</v>
      </c>
      <c r="E27" s="21">
        <v>-3.8450720012007532E-3</v>
      </c>
      <c r="F27" s="21">
        <v>3.2856423603286742</v>
      </c>
      <c r="G27" s="21">
        <v>-0.26903992447436642</v>
      </c>
      <c r="H27" s="21">
        <v>6.3967242798829926E-2</v>
      </c>
      <c r="I27" s="21">
        <v>8.3632883464134604E-3</v>
      </c>
      <c r="J27" s="21">
        <v>0.27921968296787325</v>
      </c>
      <c r="K27" s="21">
        <v>0.85159289008779493</v>
      </c>
      <c r="L27" s="21">
        <v>0.11136963224456611</v>
      </c>
      <c r="M27" s="21">
        <v>0.31000285098187003</v>
      </c>
      <c r="N27" s="21">
        <v>0.13575578271284136</v>
      </c>
      <c r="O27" s="21">
        <v>-1.5180715793202757</v>
      </c>
      <c r="P27" s="21">
        <v>-0.74181694605932069</v>
      </c>
      <c r="Q27" s="21">
        <v>0.2635401444038431</v>
      </c>
      <c r="R27" s="21">
        <v>0.25608829705584119</v>
      </c>
      <c r="S27" s="21">
        <v>-0.285789247456252</v>
      </c>
      <c r="T27" s="21">
        <v>2.0362334811516689</v>
      </c>
      <c r="U27" s="22">
        <v>5.0414728045414359</v>
      </c>
    </row>
    <row r="28" spans="1:21" x14ac:dyDescent="0.25">
      <c r="A28" s="95"/>
      <c r="B28" s="100"/>
      <c r="C28" s="19" t="s">
        <v>29</v>
      </c>
      <c r="D28" s="2">
        <v>0.12844172554017391</v>
      </c>
      <c r="E28" s="2">
        <v>9.8360731545684161E-3</v>
      </c>
      <c r="F28" s="2">
        <v>-1.0132145021207839</v>
      </c>
      <c r="G28" s="2">
        <v>4.2842467793650141E-2</v>
      </c>
      <c r="H28" s="2">
        <v>1.2900844656758408E-2</v>
      </c>
      <c r="I28" s="2">
        <v>-0.16693842154463895</v>
      </c>
      <c r="J28" s="2">
        <v>0.17756110751539972</v>
      </c>
      <c r="K28" s="2">
        <v>0.37337262934578452</v>
      </c>
      <c r="L28" s="2">
        <v>7.0374624169485728E-2</v>
      </c>
      <c r="M28" s="2">
        <v>0.1962319694374228</v>
      </c>
      <c r="N28" s="2">
        <v>9.8700929389103159E-2</v>
      </c>
      <c r="O28" s="2">
        <v>0.12967293594896695</v>
      </c>
      <c r="P28" s="2">
        <v>3.8634067310982179E-2</v>
      </c>
      <c r="Q28" s="2">
        <v>6.1735280433183215E-2</v>
      </c>
      <c r="R28" s="2">
        <v>6.4951885594223366E-2</v>
      </c>
      <c r="S28" s="2">
        <v>0.10025456486723598</v>
      </c>
      <c r="T28" s="2">
        <v>-0.81621867116322289</v>
      </c>
      <c r="U28" s="23">
        <v>-0.49086048967170726</v>
      </c>
    </row>
    <row r="29" spans="1:21" x14ac:dyDescent="0.25">
      <c r="A29" s="95"/>
      <c r="B29" s="100"/>
      <c r="C29" s="19" t="s">
        <v>30</v>
      </c>
      <c r="D29" s="2">
        <v>8.8688046873227303E-2</v>
      </c>
      <c r="E29" s="2">
        <v>1.6247778523723388E-2</v>
      </c>
      <c r="F29" s="2">
        <v>0.41668531721954355</v>
      </c>
      <c r="G29" s="2">
        <v>5.5344055722315391E-3</v>
      </c>
      <c r="H29" s="2">
        <v>1.5716441061216235E-2</v>
      </c>
      <c r="I29" s="2">
        <v>0.13328284815738353</v>
      </c>
      <c r="J29" s="2">
        <v>0.10029057729461312</v>
      </c>
      <c r="K29" s="2">
        <v>0.26523041738069153</v>
      </c>
      <c r="L29" s="2">
        <v>2.8716004440599664E-2</v>
      </c>
      <c r="M29" s="2">
        <v>0.10781681577800613</v>
      </c>
      <c r="N29" s="2">
        <v>6.1518006631436799E-2</v>
      </c>
      <c r="O29" s="2">
        <v>0.51737396951140691</v>
      </c>
      <c r="P29" s="2">
        <v>1.0830387705017661</v>
      </c>
      <c r="Q29" s="2">
        <v>5.5162088118741098E-2</v>
      </c>
      <c r="R29" s="2">
        <v>4.8356394375246699E-2</v>
      </c>
      <c r="S29" s="2">
        <v>0.19193400998544818</v>
      </c>
      <c r="T29" s="2">
        <v>0.2262857389925178</v>
      </c>
      <c r="U29" s="23">
        <v>3.3618776304177995</v>
      </c>
    </row>
    <row r="30" spans="1:21" x14ac:dyDescent="0.25">
      <c r="A30" s="95"/>
      <c r="B30" s="101"/>
      <c r="C30" s="52" t="s">
        <v>31</v>
      </c>
      <c r="D30" s="20">
        <v>0.53745327159096135</v>
      </c>
      <c r="E30" s="20">
        <v>2.127783658296082E-2</v>
      </c>
      <c r="F30" s="20">
        <v>-0.62185854452467626</v>
      </c>
      <c r="G30" s="20">
        <v>-0.9398334170052034</v>
      </c>
      <c r="H30" s="20">
        <v>0.38134244587362159</v>
      </c>
      <c r="I30" s="20">
        <v>-1.3055506988690272E-2</v>
      </c>
      <c r="J30" s="20">
        <v>0.33921004092670221</v>
      </c>
      <c r="K30" s="20">
        <v>0.80555441086869872</v>
      </c>
      <c r="L30" s="20">
        <v>0.1205517524211235</v>
      </c>
      <c r="M30" s="20">
        <v>0.14414665728112588</v>
      </c>
      <c r="N30" s="20">
        <v>0.20866117890791799</v>
      </c>
      <c r="O30" s="20">
        <v>4.5125950162714874</v>
      </c>
      <c r="P30" s="20">
        <v>2.5134052585930649</v>
      </c>
      <c r="Q30" s="20">
        <v>0.37808315179164209</v>
      </c>
      <c r="R30" s="20">
        <v>0.17892201481491757</v>
      </c>
      <c r="S30" s="20">
        <v>-0.31614623761812966</v>
      </c>
      <c r="T30" s="20">
        <v>3.2508197233888518</v>
      </c>
      <c r="U30" s="24">
        <v>11.501129053176378</v>
      </c>
    </row>
    <row r="31" spans="1:21" x14ac:dyDescent="0.25">
      <c r="A31" s="95"/>
      <c r="B31" s="99">
        <v>2009</v>
      </c>
      <c r="C31" s="61" t="s">
        <v>28</v>
      </c>
      <c r="D31" s="21">
        <v>0.47227031019602633</v>
      </c>
      <c r="E31" s="21">
        <v>0.19664931373980668</v>
      </c>
      <c r="F31" s="21">
        <v>-5.5997897010357969</v>
      </c>
      <c r="G31" s="21">
        <v>0.36199288858917256</v>
      </c>
      <c r="H31" s="21">
        <v>1.0228926328446803</v>
      </c>
      <c r="I31" s="21">
        <v>-0.61775481161742851</v>
      </c>
      <c r="J31" s="21">
        <v>0.34671930952739366</v>
      </c>
      <c r="K31" s="21">
        <v>0.81489675311570209</v>
      </c>
      <c r="L31" s="21">
        <v>0.41354405105007302</v>
      </c>
      <c r="M31" s="21">
        <v>-0.27567815102554888</v>
      </c>
      <c r="N31" s="21">
        <v>0.3112497457435664</v>
      </c>
      <c r="O31" s="21">
        <v>-8.3436357022843683</v>
      </c>
      <c r="P31" s="21">
        <v>0.20333562651576834</v>
      </c>
      <c r="Q31" s="21">
        <v>-1.2309609881649537</v>
      </c>
      <c r="R31" s="21">
        <v>0.21081052599756592</v>
      </c>
      <c r="S31" s="21">
        <v>0.5949553960184587</v>
      </c>
      <c r="T31" s="21">
        <v>-0.29120479834435098</v>
      </c>
      <c r="U31" s="22">
        <v>-11.409707599134235</v>
      </c>
    </row>
    <row r="32" spans="1:21" x14ac:dyDescent="0.25">
      <c r="A32" s="95"/>
      <c r="B32" s="100"/>
      <c r="C32" s="19" t="s">
        <v>29</v>
      </c>
      <c r="D32" s="2">
        <v>1.0635085775535447</v>
      </c>
      <c r="E32" s="2">
        <v>0.22078663655909458</v>
      </c>
      <c r="F32" s="2">
        <v>-6.8673057500855759</v>
      </c>
      <c r="G32" s="2">
        <v>2.8495635751994968</v>
      </c>
      <c r="H32" s="2">
        <v>1.0070175597230815</v>
      </c>
      <c r="I32" s="2">
        <v>1.4743800684379282</v>
      </c>
      <c r="J32" s="2">
        <v>1.8658906781361693</v>
      </c>
      <c r="K32" s="2">
        <v>1.7674658520213247</v>
      </c>
      <c r="L32" s="2">
        <v>1.2472544173179989</v>
      </c>
      <c r="M32" s="2">
        <v>0.22635807799519403</v>
      </c>
      <c r="N32" s="2">
        <v>0.53606310383697353</v>
      </c>
      <c r="O32" s="2">
        <v>-0.76309593076858107</v>
      </c>
      <c r="P32" s="2">
        <v>5.7187491473505778</v>
      </c>
      <c r="Q32" s="2">
        <v>3.5345542283225857</v>
      </c>
      <c r="R32" s="2">
        <v>0.17000277825848539</v>
      </c>
      <c r="S32" s="2">
        <v>-7.5122631734891723</v>
      </c>
      <c r="T32" s="2">
        <v>-2.4542023548211565</v>
      </c>
      <c r="U32" s="23">
        <v>4.0847274915479694</v>
      </c>
    </row>
    <row r="33" spans="1:21" x14ac:dyDescent="0.25">
      <c r="A33" s="95"/>
      <c r="B33" s="100"/>
      <c r="C33" s="19" t="s">
        <v>30</v>
      </c>
      <c r="D33" s="2">
        <v>0.15806425029603627</v>
      </c>
      <c r="E33" s="2">
        <v>1.1272132529931528E-2</v>
      </c>
      <c r="F33" s="2">
        <v>0.44221271219763808</v>
      </c>
      <c r="G33" s="2">
        <v>-5.1754138632556623E-2</v>
      </c>
      <c r="H33" s="2">
        <v>7.7524192004198467E-2</v>
      </c>
      <c r="I33" s="2">
        <v>-3.4498038427591801E-3</v>
      </c>
      <c r="J33" s="2">
        <v>0.19442698775001174</v>
      </c>
      <c r="K33" s="2">
        <v>0.15478195869960262</v>
      </c>
      <c r="L33" s="2">
        <v>5.0126372123151422E-2</v>
      </c>
      <c r="M33" s="2">
        <v>2.6886530787087977E-2</v>
      </c>
      <c r="N33" s="2">
        <v>2.1457625996398506E-2</v>
      </c>
      <c r="O33" s="2">
        <v>0.57197145964495444</v>
      </c>
      <c r="P33" s="2">
        <v>-0.5990902943939147</v>
      </c>
      <c r="Q33" s="2">
        <v>8.783083287450244E-2</v>
      </c>
      <c r="R33" s="2">
        <v>4.517273857742319E-2</v>
      </c>
      <c r="S33" s="2">
        <v>0.35774957265381913</v>
      </c>
      <c r="T33" s="2">
        <v>1.740891299800679E-2</v>
      </c>
      <c r="U33" s="23">
        <v>1.5625920422635324</v>
      </c>
    </row>
    <row r="34" spans="1:21" x14ac:dyDescent="0.25">
      <c r="A34" s="95"/>
      <c r="B34" s="101"/>
      <c r="C34" s="52" t="s">
        <v>31</v>
      </c>
      <c r="D34" s="20">
        <v>2.1110864414351438</v>
      </c>
      <c r="E34" s="20">
        <v>-0.10376278115257125</v>
      </c>
      <c r="F34" s="20">
        <v>-0.43626760095915118</v>
      </c>
      <c r="G34" s="20">
        <v>-0.3362250433755769</v>
      </c>
      <c r="H34" s="20">
        <v>0.43434342882727628</v>
      </c>
      <c r="I34" s="20">
        <v>9.3660582723780195E-2</v>
      </c>
      <c r="J34" s="20">
        <v>2.0910142525649795</v>
      </c>
      <c r="K34" s="20">
        <v>1.1162148118289337</v>
      </c>
      <c r="L34" s="20">
        <v>0.34679872143463086</v>
      </c>
      <c r="M34" s="20">
        <v>0.64132404796011933</v>
      </c>
      <c r="N34" s="20">
        <v>-7.2857668830899475E-2</v>
      </c>
      <c r="O34" s="20">
        <v>-2.7793299670909897</v>
      </c>
      <c r="P34" s="20">
        <v>10.094021346517639</v>
      </c>
      <c r="Q34" s="20">
        <v>0.30688110144957786</v>
      </c>
      <c r="R34" s="20">
        <v>0.67904128892733473</v>
      </c>
      <c r="S34" s="20">
        <v>-1.2422149917122511</v>
      </c>
      <c r="T34" s="20">
        <v>-9.7927542280860695</v>
      </c>
      <c r="U34" s="24">
        <v>3.1509737424619075</v>
      </c>
    </row>
    <row r="35" spans="1:21" x14ac:dyDescent="0.25">
      <c r="A35" s="95"/>
      <c r="B35" s="99">
        <v>2010</v>
      </c>
      <c r="C35" s="61" t="s">
        <v>28</v>
      </c>
      <c r="D35" s="21">
        <v>0.40529653722618453</v>
      </c>
      <c r="E35" s="21">
        <v>-0.3647109261214509</v>
      </c>
      <c r="F35" s="21">
        <v>0.3986201345761739</v>
      </c>
      <c r="G35" s="21">
        <v>-2.3687939482098419E-3</v>
      </c>
      <c r="H35" s="21">
        <v>0.10104288825917439</v>
      </c>
      <c r="I35" s="21">
        <v>1.3629420564912738E-2</v>
      </c>
      <c r="J35" s="21">
        <v>0.45005862895600945</v>
      </c>
      <c r="K35" s="21">
        <v>0.18062870143973878</v>
      </c>
      <c r="L35" s="21">
        <v>-3.6202052845307961E-2</v>
      </c>
      <c r="M35" s="21">
        <v>9.1636155840245259E-2</v>
      </c>
      <c r="N35" s="21">
        <v>-0.30667573157103806</v>
      </c>
      <c r="O35" s="21">
        <v>-0.51697130275211745</v>
      </c>
      <c r="P35" s="21">
        <v>-0.61656668646131996</v>
      </c>
      <c r="Q35" s="21">
        <v>-0.29503559122850204</v>
      </c>
      <c r="R35" s="21">
        <v>0.10764956072874367</v>
      </c>
      <c r="S35" s="21">
        <v>-0.54763817323803543</v>
      </c>
      <c r="T35" s="21">
        <v>7.1175915045095905E-2</v>
      </c>
      <c r="U35" s="22">
        <v>-0.86643131552970321</v>
      </c>
    </row>
    <row r="36" spans="1:21" x14ac:dyDescent="0.25">
      <c r="A36" s="95"/>
      <c r="B36" s="100"/>
      <c r="C36" s="19" t="s">
        <v>29</v>
      </c>
      <c r="D36" s="2">
        <v>0.65319801690910462</v>
      </c>
      <c r="E36" s="2">
        <v>3.2519790799275049E-2</v>
      </c>
      <c r="F36" s="2">
        <v>-1.3061250540595934</v>
      </c>
      <c r="G36" s="2">
        <v>-0.13877095652217294</v>
      </c>
      <c r="H36" s="2">
        <v>0.32122260708687439</v>
      </c>
      <c r="I36" s="2">
        <v>-0.10323609902006051</v>
      </c>
      <c r="J36" s="2">
        <v>0.8023753047314508</v>
      </c>
      <c r="K36" s="2">
        <v>0.65980545344431218</v>
      </c>
      <c r="L36" s="2">
        <v>0.36988273950265921</v>
      </c>
      <c r="M36" s="2">
        <v>0.21758436312000393</v>
      </c>
      <c r="N36" s="2">
        <v>1.0302910306242797E-2</v>
      </c>
      <c r="O36" s="2">
        <v>0.58447173318547219</v>
      </c>
      <c r="P36" s="2">
        <v>2.5449556897202181</v>
      </c>
      <c r="Q36" s="2">
        <v>0.14054018868631621</v>
      </c>
      <c r="R36" s="2">
        <v>0.3305658384004761</v>
      </c>
      <c r="S36" s="2">
        <v>1.1578194601851013</v>
      </c>
      <c r="T36" s="2">
        <v>-0.27370990006790086</v>
      </c>
      <c r="U36" s="23">
        <v>6.0034020864077799</v>
      </c>
    </row>
    <row r="37" spans="1:21" x14ac:dyDescent="0.25">
      <c r="A37" s="95"/>
      <c r="B37" s="100"/>
      <c r="C37" s="19" t="s">
        <v>30</v>
      </c>
      <c r="D37" s="2">
        <v>0.24411349727269663</v>
      </c>
      <c r="E37" s="2">
        <v>3.0293676921406158E-2</v>
      </c>
      <c r="F37" s="2">
        <v>-0.92145832345356005</v>
      </c>
      <c r="G37" s="2">
        <v>3.6454036282304765E-2</v>
      </c>
      <c r="H37" s="2">
        <v>0.12763948997650179</v>
      </c>
      <c r="I37" s="2">
        <v>7.0894790870065866E-2</v>
      </c>
      <c r="J37" s="2">
        <v>0.24178676460279394</v>
      </c>
      <c r="K37" s="2">
        <v>0.36476698211124109</v>
      </c>
      <c r="L37" s="2">
        <v>8.124716367524118E-2</v>
      </c>
      <c r="M37" s="2">
        <v>0.11067482254128254</v>
      </c>
      <c r="N37" s="2">
        <v>9.5147569398774445E-2</v>
      </c>
      <c r="O37" s="2">
        <v>0.34479011971629514</v>
      </c>
      <c r="P37" s="2">
        <v>-1.7182096189417824</v>
      </c>
      <c r="Q37" s="2">
        <v>3.7898712126965536E-2</v>
      </c>
      <c r="R37" s="2">
        <v>0.15231454063499281</v>
      </c>
      <c r="S37" s="2">
        <v>0.34338908972348337</v>
      </c>
      <c r="T37" s="2">
        <v>6.8038607979809387E-2</v>
      </c>
      <c r="U37" s="23">
        <v>-0.29021807856148779</v>
      </c>
    </row>
    <row r="38" spans="1:21" x14ac:dyDescent="0.25">
      <c r="A38" s="95"/>
      <c r="B38" s="101"/>
      <c r="C38" s="52" t="s">
        <v>31</v>
      </c>
      <c r="D38" s="20">
        <v>0.61705758520686338</v>
      </c>
      <c r="E38" s="20">
        <v>-2.9102887004409151E-2</v>
      </c>
      <c r="F38" s="20">
        <v>-3.4900116403469719</v>
      </c>
      <c r="G38" s="20">
        <v>-7.5322408237863445E-2</v>
      </c>
      <c r="H38" s="20">
        <v>0.21161705777151926</v>
      </c>
      <c r="I38" s="20">
        <v>0.16314955237329135</v>
      </c>
      <c r="J38" s="20">
        <v>0.32782315898519726</v>
      </c>
      <c r="K38" s="20">
        <v>0.82934294884526472</v>
      </c>
      <c r="L38" s="20">
        <v>0.18149134400670119</v>
      </c>
      <c r="M38" s="20">
        <v>0.44517132319179148</v>
      </c>
      <c r="N38" s="20">
        <v>0.53018030683763673</v>
      </c>
      <c r="O38" s="20">
        <v>1.6669085997287734</v>
      </c>
      <c r="P38" s="20">
        <v>-2.780604108409042</v>
      </c>
      <c r="Q38" s="20">
        <v>2.8548475081253417E-2</v>
      </c>
      <c r="R38" s="20">
        <v>0.36027171758291715</v>
      </c>
      <c r="S38" s="20">
        <v>0.25282465285353978</v>
      </c>
      <c r="T38" s="20">
        <v>-8.367386654964287</v>
      </c>
      <c r="U38" s="24">
        <v>-9.1280409764978252</v>
      </c>
    </row>
    <row r="39" spans="1:21" x14ac:dyDescent="0.25">
      <c r="A39" s="95"/>
      <c r="B39" s="99">
        <v>2011</v>
      </c>
      <c r="C39" s="61" t="s">
        <v>28</v>
      </c>
      <c r="D39" s="21">
        <v>0.23482838455836366</v>
      </c>
      <c r="E39" s="21">
        <v>0.12179995825624691</v>
      </c>
      <c r="F39" s="21">
        <v>0.74037202973951</v>
      </c>
      <c r="G39" s="21">
        <v>2.8647727670942142E-4</v>
      </c>
      <c r="H39" s="21">
        <v>0.23236905726206841</v>
      </c>
      <c r="I39" s="21">
        <v>-5.2336530455237479E-2</v>
      </c>
      <c r="J39" s="21">
        <v>3.8434717008879592E-2</v>
      </c>
      <c r="K39" s="21">
        <v>0.320757611961276</v>
      </c>
      <c r="L39" s="21">
        <v>-0.21573901105684393</v>
      </c>
      <c r="M39" s="21">
        <v>-1.8097230686933329E-2</v>
      </c>
      <c r="N39" s="21">
        <v>0.62528236654108293</v>
      </c>
      <c r="O39" s="21">
        <v>-1.6894542194701527</v>
      </c>
      <c r="P39" s="21">
        <v>1.7472328111824531</v>
      </c>
      <c r="Q39" s="21">
        <v>2.1871439226833149E-2</v>
      </c>
      <c r="R39" s="21">
        <v>5.9433487015625383E-2</v>
      </c>
      <c r="S39" s="21">
        <v>-1.6743835956166475</v>
      </c>
      <c r="T39" s="21">
        <v>5.9943493982591347</v>
      </c>
      <c r="U39" s="22">
        <v>6.4870071510023681</v>
      </c>
    </row>
    <row r="40" spans="1:21" x14ac:dyDescent="0.25">
      <c r="A40" s="95"/>
      <c r="B40" s="100"/>
      <c r="C40" s="19" t="s">
        <v>29</v>
      </c>
      <c r="D40" s="2">
        <v>0.10457441650377645</v>
      </c>
      <c r="E40" s="2">
        <v>4.9825648337728012E-2</v>
      </c>
      <c r="F40" s="2">
        <v>-0.6195311951805984</v>
      </c>
      <c r="G40" s="2">
        <v>0.13064356708087396</v>
      </c>
      <c r="H40" s="2">
        <v>0.13366552284324362</v>
      </c>
      <c r="I40" s="2">
        <v>4.1142214743527614E-3</v>
      </c>
      <c r="J40" s="2">
        <v>0.29924820086118054</v>
      </c>
      <c r="K40" s="2">
        <v>0.28208237295285621</v>
      </c>
      <c r="L40" s="2">
        <v>0.18725215874111081</v>
      </c>
      <c r="M40" s="2">
        <v>5.3478606935492987E-2</v>
      </c>
      <c r="N40" s="2">
        <v>0.34947147428893444</v>
      </c>
      <c r="O40" s="2">
        <v>-0.28750731690974074</v>
      </c>
      <c r="P40" s="2">
        <v>-0.35353429104172535</v>
      </c>
      <c r="Q40" s="2">
        <v>2.7829411123802893E-2</v>
      </c>
      <c r="R40" s="2">
        <v>0.12097265240245948</v>
      </c>
      <c r="S40" s="2">
        <v>0.40246085751274879</v>
      </c>
      <c r="T40" s="2">
        <v>2.6506091646253714E-3</v>
      </c>
      <c r="U40" s="23">
        <v>0.88769691709112186</v>
      </c>
    </row>
    <row r="41" spans="1:21" x14ac:dyDescent="0.25">
      <c r="A41" s="95"/>
      <c r="B41" s="100"/>
      <c r="C41" s="19" t="s">
        <v>30</v>
      </c>
      <c r="D41" s="2">
        <v>0.20452167790080081</v>
      </c>
      <c r="E41" s="2">
        <v>5.6896057011313401E-2</v>
      </c>
      <c r="F41" s="2">
        <v>2.4427625154081212</v>
      </c>
      <c r="G41" s="2">
        <v>-0.22200401855924867</v>
      </c>
      <c r="H41" s="2">
        <v>0.14506100856367146</v>
      </c>
      <c r="I41" s="2">
        <v>-1.8211390056669975E-2</v>
      </c>
      <c r="J41" s="2">
        <v>0.6122541061028669</v>
      </c>
      <c r="K41" s="2">
        <v>0.29518719275205646</v>
      </c>
      <c r="L41" s="2">
        <v>4.677925739046692E-2</v>
      </c>
      <c r="M41" s="2">
        <v>0.3091222589394822</v>
      </c>
      <c r="N41" s="2">
        <v>0.29507423945723704</v>
      </c>
      <c r="O41" s="2">
        <v>1.2192419704042592</v>
      </c>
      <c r="P41" s="2">
        <v>0.32283977077220105</v>
      </c>
      <c r="Q41" s="2">
        <v>0.16426773629451347</v>
      </c>
      <c r="R41" s="2">
        <v>0.12268551223242485</v>
      </c>
      <c r="S41" s="2">
        <v>-0.11350445076109571</v>
      </c>
      <c r="T41" s="2">
        <v>-7.1868395494790807E-2</v>
      </c>
      <c r="U41" s="23">
        <v>5.811105048357609</v>
      </c>
    </row>
    <row r="42" spans="1:21" x14ac:dyDescent="0.25">
      <c r="A42" s="95"/>
      <c r="B42" s="101"/>
      <c r="C42" s="52" t="s">
        <v>31</v>
      </c>
      <c r="D42" s="20">
        <v>0.4491246512359498</v>
      </c>
      <c r="E42" s="20">
        <v>8.5375663767310803E-2</v>
      </c>
      <c r="F42" s="20">
        <v>1.7325933489898278</v>
      </c>
      <c r="G42" s="20">
        <v>0.24724808233818094</v>
      </c>
      <c r="H42" s="20">
        <v>0.19670737284875667</v>
      </c>
      <c r="I42" s="20">
        <v>-7.1098405895203914E-2</v>
      </c>
      <c r="J42" s="20">
        <v>1.2843572983154061</v>
      </c>
      <c r="K42" s="20">
        <v>0.23105979047168995</v>
      </c>
      <c r="L42" s="20">
        <v>-0.10761673810893779</v>
      </c>
      <c r="M42" s="20">
        <v>0.75532658419889853</v>
      </c>
      <c r="N42" s="20">
        <v>0.12042540106034413</v>
      </c>
      <c r="O42" s="20">
        <v>0.18550812078640069</v>
      </c>
      <c r="P42" s="20">
        <v>0.5943438894460592</v>
      </c>
      <c r="Q42" s="20">
        <v>0.40444617535356292</v>
      </c>
      <c r="R42" s="20">
        <v>0.15714119289275508</v>
      </c>
      <c r="S42" s="20">
        <v>-3.4897599803544121E-2</v>
      </c>
      <c r="T42" s="20">
        <v>-7.6583180233339476</v>
      </c>
      <c r="U42" s="24">
        <v>-1.4282731954364909</v>
      </c>
    </row>
    <row r="43" spans="1:21" x14ac:dyDescent="0.25">
      <c r="A43" s="95"/>
      <c r="B43" s="99">
        <v>2012</v>
      </c>
      <c r="C43" s="61" t="s">
        <v>28</v>
      </c>
      <c r="D43" s="21">
        <v>0.10686845823797232</v>
      </c>
      <c r="E43" s="21">
        <v>1.1181681861448169E-2</v>
      </c>
      <c r="F43" s="21">
        <v>0.2865312444147442</v>
      </c>
      <c r="G43" s="21">
        <v>-4.0385024821385417E-2</v>
      </c>
      <c r="H43" s="21">
        <v>1.8232321310798938E-2</v>
      </c>
      <c r="I43" s="21">
        <v>6.8246803289290156E-2</v>
      </c>
      <c r="J43" s="21">
        <v>0.56352183741837358</v>
      </c>
      <c r="K43" s="21">
        <v>0.31236628332490929</v>
      </c>
      <c r="L43" s="21">
        <v>-9.5322318770032985E-2</v>
      </c>
      <c r="M43" s="21">
        <v>-5.0847020580182733E-3</v>
      </c>
      <c r="N43" s="21">
        <v>-7.2685152731266592E-2</v>
      </c>
      <c r="O43" s="21">
        <v>-0.63366365795221136</v>
      </c>
      <c r="P43" s="21">
        <v>-0.41134508295406957</v>
      </c>
      <c r="Q43" s="21">
        <v>0.19344493468972815</v>
      </c>
      <c r="R43" s="21">
        <v>7.37288857226744E-2</v>
      </c>
      <c r="S43" s="21">
        <v>-0.26289807121811998</v>
      </c>
      <c r="T43" s="21">
        <v>2.6562076873774929</v>
      </c>
      <c r="U43" s="22">
        <v>2.7689461271423279</v>
      </c>
    </row>
    <row r="44" spans="1:21" x14ac:dyDescent="0.25">
      <c r="A44" s="95"/>
      <c r="B44" s="100"/>
      <c r="C44" s="19" t="s">
        <v>29</v>
      </c>
      <c r="D44" s="2">
        <v>0.53435706510045911</v>
      </c>
      <c r="E44" s="2">
        <v>5.1566628928780965E-2</v>
      </c>
      <c r="F44" s="2">
        <v>-3.124672302286815</v>
      </c>
      <c r="G44" s="2">
        <v>-5.9154351969027089E-2</v>
      </c>
      <c r="H44" s="2">
        <v>0.65457197695281877</v>
      </c>
      <c r="I44" s="2">
        <v>0.18388661177382912</v>
      </c>
      <c r="J44" s="2">
        <v>3.6310282182983724</v>
      </c>
      <c r="K44" s="2">
        <v>0.73499509165864785</v>
      </c>
      <c r="L44" s="2">
        <v>-0.29797622730782752</v>
      </c>
      <c r="M44" s="2">
        <v>-0.15358049008487279</v>
      </c>
      <c r="N44" s="2">
        <v>-0.18256130330215642</v>
      </c>
      <c r="O44" s="2">
        <v>1.062798128517662</v>
      </c>
      <c r="P44" s="2">
        <v>-0.47333460385185755</v>
      </c>
      <c r="Q44" s="2">
        <v>0.71582123852947821</v>
      </c>
      <c r="R44" s="2">
        <v>0.35808606551203903</v>
      </c>
      <c r="S44" s="2">
        <v>2.0886463003995575</v>
      </c>
      <c r="T44" s="2">
        <v>2.9033230631879462E-2</v>
      </c>
      <c r="U44" s="23">
        <v>5.7535112775009676</v>
      </c>
    </row>
    <row r="45" spans="1:21" x14ac:dyDescent="0.25">
      <c r="A45" s="95"/>
      <c r="B45" s="100"/>
      <c r="C45" s="19" t="s">
        <v>30</v>
      </c>
      <c r="D45" s="2">
        <v>0.19182737675575701</v>
      </c>
      <c r="E45" s="2">
        <v>1.3015354100172037E-2</v>
      </c>
      <c r="F45" s="2">
        <v>6.6879477923714362E-2</v>
      </c>
      <c r="G45" s="2">
        <v>2.0748341097689828E-2</v>
      </c>
      <c r="H45" s="2">
        <v>0.13656617981700023</v>
      </c>
      <c r="I45" s="2">
        <v>-1.0053805789248793</v>
      </c>
      <c r="J45" s="2">
        <v>0.72173390585179853</v>
      </c>
      <c r="K45" s="2">
        <v>4.2464209318717527E-2</v>
      </c>
      <c r="L45" s="2">
        <v>-1.0313113236665479</v>
      </c>
      <c r="M45" s="2">
        <v>0.12736686299012515</v>
      </c>
      <c r="N45" s="2">
        <v>1.0413790397932832E-2</v>
      </c>
      <c r="O45" s="2">
        <v>0.39147484505312835</v>
      </c>
      <c r="P45" s="2">
        <v>0.27174783248638779</v>
      </c>
      <c r="Q45" s="2">
        <v>0.12489886523925534</v>
      </c>
      <c r="R45" s="2">
        <v>2.3923057009457883E-2</v>
      </c>
      <c r="S45" s="2">
        <v>-1.2937584068483212</v>
      </c>
      <c r="T45" s="2">
        <v>6.2201355850428786E-3</v>
      </c>
      <c r="U45" s="23">
        <v>-1.1811700758135688</v>
      </c>
    </row>
    <row r="46" spans="1:21" x14ac:dyDescent="0.25">
      <c r="A46" s="95"/>
      <c r="B46" s="101"/>
      <c r="C46" s="52" t="s">
        <v>31</v>
      </c>
      <c r="D46" s="20">
        <v>8.1546913556641273E-2</v>
      </c>
      <c r="E46" s="20">
        <v>1.2514663292629539E-2</v>
      </c>
      <c r="F46" s="20">
        <v>0.30162267083007371</v>
      </c>
      <c r="G46" s="20">
        <v>4.0331834384141462E-3</v>
      </c>
      <c r="H46" s="20">
        <v>5.3244732148368536E-2</v>
      </c>
      <c r="I46" s="20">
        <v>-1.9062607868464806E-2</v>
      </c>
      <c r="J46" s="20">
        <v>0.21797764505170711</v>
      </c>
      <c r="K46" s="20">
        <v>-1.8454047411496401E-2</v>
      </c>
      <c r="L46" s="20">
        <v>3.8264846091405291E-2</v>
      </c>
      <c r="M46" s="20">
        <v>1.6805319222994299E-2</v>
      </c>
      <c r="N46" s="20">
        <v>2.3842080003658558E-2</v>
      </c>
      <c r="O46" s="20">
        <v>-0.18852708026567783</v>
      </c>
      <c r="P46" s="20">
        <v>8.2139982826770729E-3</v>
      </c>
      <c r="Q46" s="20">
        <v>2.8744552622271016E-2</v>
      </c>
      <c r="R46" s="20">
        <v>-2.9560680893464487E-3</v>
      </c>
      <c r="S46" s="20">
        <v>0.10942654780883342</v>
      </c>
      <c r="T46" s="20">
        <v>-1.3544277579750534</v>
      </c>
      <c r="U46" s="24">
        <v>-0.68719040926036501</v>
      </c>
    </row>
    <row r="47" spans="1:21" x14ac:dyDescent="0.25">
      <c r="A47" s="95"/>
      <c r="B47" s="99">
        <v>2013</v>
      </c>
      <c r="C47" s="61" t="s">
        <v>28</v>
      </c>
      <c r="D47" s="21">
        <v>0.31681053760804806</v>
      </c>
      <c r="E47" s="21">
        <v>-1.3812243796311493E-2</v>
      </c>
      <c r="F47" s="21">
        <v>-1.0854142716841719</v>
      </c>
      <c r="G47" s="21">
        <v>-4.2135650064202092E-2</v>
      </c>
      <c r="H47" s="21">
        <v>7.9927603966831462E-2</v>
      </c>
      <c r="I47" s="21">
        <v>0.32044070565258836</v>
      </c>
      <c r="J47" s="21">
        <v>0.97830730019660228</v>
      </c>
      <c r="K47" s="21">
        <v>0.68172340938731901</v>
      </c>
      <c r="L47" s="21">
        <v>0.1718150391963616</v>
      </c>
      <c r="M47" s="21">
        <v>1.1946880464112264</v>
      </c>
      <c r="N47" s="21">
        <v>0.24309187930754009</v>
      </c>
      <c r="O47" s="21">
        <v>-1.2545236608835462</v>
      </c>
      <c r="P47" s="21">
        <v>0.27754177479743408</v>
      </c>
      <c r="Q47" s="21">
        <v>1.8783924631294194E-2</v>
      </c>
      <c r="R47" s="21">
        <v>-1.347936840052201E-2</v>
      </c>
      <c r="S47" s="21">
        <v>-7.7612782527334235E-3</v>
      </c>
      <c r="T47" s="21">
        <v>6.8125417964884853</v>
      </c>
      <c r="U47" s="22">
        <v>8.6785455445622439</v>
      </c>
    </row>
    <row r="48" spans="1:21" x14ac:dyDescent="0.25">
      <c r="A48" s="95"/>
      <c r="B48" s="100"/>
      <c r="C48" s="19" t="s">
        <v>29</v>
      </c>
      <c r="D48" s="2">
        <v>3.8857951483627102E-3</v>
      </c>
      <c r="E48" s="2">
        <v>-2.579422387132776E-3</v>
      </c>
      <c r="F48" s="2">
        <v>0.12071487724290614</v>
      </c>
      <c r="G48" s="2">
        <v>1.1369207539817062E-2</v>
      </c>
      <c r="H48" s="2">
        <v>0.10201357885909046</v>
      </c>
      <c r="I48" s="2">
        <v>0.10866045250632726</v>
      </c>
      <c r="J48" s="2">
        <v>0.37436265323647316</v>
      </c>
      <c r="K48" s="2">
        <v>0.16534417774615187</v>
      </c>
      <c r="L48" s="2">
        <v>0.11755245851754004</v>
      </c>
      <c r="M48" s="2">
        <v>-0.12211638805194845</v>
      </c>
      <c r="N48" s="2">
        <v>0.11233767871491403</v>
      </c>
      <c r="O48" s="2">
        <v>0.27966220348071802</v>
      </c>
      <c r="P48" s="2">
        <v>-0.17123048171262867</v>
      </c>
      <c r="Q48" s="2">
        <v>-2.2247566798515805E-2</v>
      </c>
      <c r="R48" s="2">
        <v>6.4387919430520843E-2</v>
      </c>
      <c r="S48" s="2">
        <v>5.8453412038190274E-2</v>
      </c>
      <c r="T48" s="2">
        <v>-0.12555644774263502</v>
      </c>
      <c r="U48" s="23">
        <v>1.0750141077681512</v>
      </c>
    </row>
    <row r="49" spans="1:21" x14ac:dyDescent="0.25">
      <c r="A49" s="95"/>
      <c r="B49" s="100"/>
      <c r="C49" s="19" t="s">
        <v>30</v>
      </c>
      <c r="D49" s="2">
        <v>-0.22182423653699512</v>
      </c>
      <c r="E49" s="2">
        <v>-4.8253427489562614E-2</v>
      </c>
      <c r="F49" s="2">
        <v>0.67947083647912965</v>
      </c>
      <c r="G49" s="2">
        <v>0.27976354044606244</v>
      </c>
      <c r="H49" s="2">
        <v>0.47110554181072767</v>
      </c>
      <c r="I49" s="2">
        <v>-1.0456938113366783</v>
      </c>
      <c r="J49" s="2">
        <v>2.3949818464790882</v>
      </c>
      <c r="K49" s="2">
        <v>1.0657694707911305</v>
      </c>
      <c r="L49" s="2">
        <v>1.1107708561791652</v>
      </c>
      <c r="M49" s="2">
        <v>-4.0082797662178624</v>
      </c>
      <c r="N49" s="2">
        <v>0.80225164179521391</v>
      </c>
      <c r="O49" s="2">
        <v>4.8967326049616915</v>
      </c>
      <c r="P49" s="2">
        <v>6.7049028324904919E-2</v>
      </c>
      <c r="Q49" s="2">
        <v>-0.2919865444689691</v>
      </c>
      <c r="R49" s="2">
        <v>1.1764737560679097</v>
      </c>
      <c r="S49" s="2">
        <v>0.5699966560020312</v>
      </c>
      <c r="T49" s="2">
        <v>-24.122091818194281</v>
      </c>
      <c r="U49" s="23">
        <v>-16.223763824907294</v>
      </c>
    </row>
    <row r="50" spans="1:21" x14ac:dyDescent="0.25">
      <c r="A50" s="95"/>
      <c r="B50" s="101"/>
      <c r="C50" s="52" t="s">
        <v>31</v>
      </c>
      <c r="D50" s="20">
        <v>-0.55728363059334851</v>
      </c>
      <c r="E50" s="20">
        <v>0.11154465394151038</v>
      </c>
      <c r="F50" s="20">
        <v>-4.7056261706569567</v>
      </c>
      <c r="G50" s="20">
        <v>2.1112303879770634E-2</v>
      </c>
      <c r="H50" s="20">
        <v>0.22160496852702632</v>
      </c>
      <c r="I50" s="20">
        <v>0.52293781765438985</v>
      </c>
      <c r="J50" s="20">
        <v>1.0622301270492092</v>
      </c>
      <c r="K50" s="20">
        <v>0.63810352756747057</v>
      </c>
      <c r="L50" s="20">
        <v>1.0537990783803139</v>
      </c>
      <c r="M50" s="20">
        <v>-3.1618440308533207</v>
      </c>
      <c r="N50" s="20">
        <v>0.23028335095101005</v>
      </c>
      <c r="O50" s="20">
        <v>-0.63564671855320276</v>
      </c>
      <c r="P50" s="20">
        <v>2.1977250583040235</v>
      </c>
      <c r="Q50" s="20">
        <v>-0.31862735318721191</v>
      </c>
      <c r="R50" s="20">
        <v>0.94176406833370696</v>
      </c>
      <c r="S50" s="20">
        <v>4.7635946966427909</v>
      </c>
      <c r="T50" s="20">
        <v>14.52224083014427</v>
      </c>
      <c r="U50" s="24">
        <v>16.907912577531452</v>
      </c>
    </row>
    <row r="51" spans="1:21" x14ac:dyDescent="0.25">
      <c r="A51" s="95"/>
      <c r="B51" s="99">
        <v>2014</v>
      </c>
      <c r="C51" s="61" t="s">
        <v>28</v>
      </c>
      <c r="D51" s="21">
        <v>0.78478749957049443</v>
      </c>
      <c r="E51" s="21">
        <v>0.45500315442441924</v>
      </c>
      <c r="F51" s="21">
        <v>-1.012936004192837</v>
      </c>
      <c r="G51" s="21">
        <v>-1.0820516729106209</v>
      </c>
      <c r="H51" s="21">
        <v>-1.1477029225748476</v>
      </c>
      <c r="I51" s="21">
        <v>8.3631894922391193E-3</v>
      </c>
      <c r="J51" s="21">
        <v>7.0612224033745674E-2</v>
      </c>
      <c r="K51" s="21">
        <v>0.11870910754033859</v>
      </c>
      <c r="L51" s="21">
        <v>-1.2702004378825831</v>
      </c>
      <c r="M51" s="21">
        <v>4.6072090037306168E-2</v>
      </c>
      <c r="N51" s="21">
        <v>8.9733809096395278E-2</v>
      </c>
      <c r="O51" s="21">
        <v>-1.9403008359838978</v>
      </c>
      <c r="P51" s="21">
        <v>0.54123897725970982</v>
      </c>
      <c r="Q51" s="21">
        <v>-1.0258515900486718</v>
      </c>
      <c r="R51" s="21">
        <v>5.190873573277309E-2</v>
      </c>
      <c r="S51" s="21">
        <v>-1.0193607450062816</v>
      </c>
      <c r="T51" s="21">
        <v>-0.8301857803997279</v>
      </c>
      <c r="U51" s="22">
        <v>-7.1621612018120464</v>
      </c>
    </row>
    <row r="52" spans="1:21" x14ac:dyDescent="0.25">
      <c r="A52" s="95"/>
      <c r="B52" s="100"/>
      <c r="C52" s="19" t="s">
        <v>29</v>
      </c>
      <c r="D52" s="2">
        <v>-0.3248288342120591</v>
      </c>
      <c r="E52" s="2">
        <v>-2.7791760283354235E-2</v>
      </c>
      <c r="F52" s="2">
        <v>1.8032392440194047</v>
      </c>
      <c r="G52" s="2">
        <v>0.19188523159790025</v>
      </c>
      <c r="H52" s="2">
        <v>1.7217480183699712</v>
      </c>
      <c r="I52" s="2">
        <v>-0.13910544214091103</v>
      </c>
      <c r="J52" s="2">
        <v>-7.6093225970962708</v>
      </c>
      <c r="K52" s="2">
        <v>3.681782530011859</v>
      </c>
      <c r="L52" s="2">
        <v>-9.0190824637130657E-2</v>
      </c>
      <c r="M52" s="2">
        <v>7.7847194779611592E-2</v>
      </c>
      <c r="N52" s="2">
        <v>-0.20168483808134077</v>
      </c>
      <c r="O52" s="2">
        <v>0.53602296442544772</v>
      </c>
      <c r="P52" s="2">
        <v>0.34828710219143105</v>
      </c>
      <c r="Q52" s="2">
        <v>-0.13537593167398407</v>
      </c>
      <c r="R52" s="2">
        <v>1.7421269224377089</v>
      </c>
      <c r="S52" s="2">
        <v>2.1572504216937354</v>
      </c>
      <c r="T52" s="2">
        <v>-0.24589296294448082</v>
      </c>
      <c r="U52" s="23">
        <v>3.4859964384575379</v>
      </c>
    </row>
    <row r="53" spans="1:21" x14ac:dyDescent="0.25">
      <c r="A53" s="95"/>
      <c r="B53" s="100"/>
      <c r="C53" s="19" t="s">
        <v>30</v>
      </c>
      <c r="D53" s="2">
        <v>-0.17591010256296663</v>
      </c>
      <c r="E53" s="2">
        <v>-0.59806934870110207</v>
      </c>
      <c r="F53" s="2">
        <v>2.8190879765885737</v>
      </c>
      <c r="G53" s="2">
        <v>0.12482951891570579</v>
      </c>
      <c r="H53" s="2">
        <v>0.81631825230773614</v>
      </c>
      <c r="I53" s="2">
        <v>0.11176767573950018</v>
      </c>
      <c r="J53" s="2">
        <v>1.3593154299510699</v>
      </c>
      <c r="K53" s="2">
        <v>2.4419027285905264</v>
      </c>
      <c r="L53" s="2">
        <v>0.30472334834836307</v>
      </c>
      <c r="M53" s="2">
        <v>-1.4042459272841645</v>
      </c>
      <c r="N53" s="2">
        <v>0.17015793554736647</v>
      </c>
      <c r="O53" s="2">
        <v>-2.8741470919497691E-2</v>
      </c>
      <c r="P53" s="2">
        <v>0.19130228143325864</v>
      </c>
      <c r="Q53" s="2">
        <v>-6.5488173455050452E-2</v>
      </c>
      <c r="R53" s="2">
        <v>0.32527082810881836</v>
      </c>
      <c r="S53" s="2">
        <v>-0.30619502991630526</v>
      </c>
      <c r="T53" s="2">
        <v>2.104696432093188</v>
      </c>
      <c r="U53" s="23">
        <v>8.1907223547850183</v>
      </c>
    </row>
    <row r="54" spans="1:21" x14ac:dyDescent="0.25">
      <c r="A54" s="95"/>
      <c r="B54" s="101"/>
      <c r="C54" s="52" t="s">
        <v>31</v>
      </c>
      <c r="D54" s="20">
        <v>1.3467252020711462</v>
      </c>
      <c r="E54" s="20">
        <v>0.33459852209182556</v>
      </c>
      <c r="F54" s="20">
        <v>0.9550988136734514</v>
      </c>
      <c r="G54" s="20">
        <v>-0.30523540263412036</v>
      </c>
      <c r="H54" s="20">
        <v>2.4285363844735488</v>
      </c>
      <c r="I54" s="20">
        <v>0.21497798684433347</v>
      </c>
      <c r="J54" s="20">
        <v>-5.5101311938359556</v>
      </c>
      <c r="K54" s="20">
        <v>6.2822101831139259</v>
      </c>
      <c r="L54" s="20">
        <v>0.23692533048671555</v>
      </c>
      <c r="M54" s="20">
        <v>3.7998298193498847</v>
      </c>
      <c r="N54" s="20">
        <v>0.3298920926628584</v>
      </c>
      <c r="O54" s="20">
        <v>5.34940189724104</v>
      </c>
      <c r="P54" s="20">
        <v>2.1451040662855565</v>
      </c>
      <c r="Q54" s="20">
        <v>-5.4215164960532802E-2</v>
      </c>
      <c r="R54" s="20">
        <v>-1.62927200672099</v>
      </c>
      <c r="S54" s="20">
        <v>-7.467146824777589</v>
      </c>
      <c r="T54" s="20">
        <v>1.822764669488556</v>
      </c>
      <c r="U54" s="24">
        <v>10.280064374853655</v>
      </c>
    </row>
    <row r="55" spans="1:21" x14ac:dyDescent="0.25">
      <c r="A55" s="95"/>
      <c r="B55" s="99">
        <v>2015</v>
      </c>
      <c r="C55" s="61" t="s">
        <v>28</v>
      </c>
      <c r="D55" s="21">
        <v>0.26961910594776672</v>
      </c>
      <c r="E55" s="21">
        <v>1.2036195873160631</v>
      </c>
      <c r="F55" s="21">
        <v>0.5727621832016756</v>
      </c>
      <c r="G55" s="21">
        <v>-6.9325300738905152E-2</v>
      </c>
      <c r="H55" s="21">
        <v>-0.78018835921546859</v>
      </c>
      <c r="I55" s="21">
        <v>7.0371626936124171E-2</v>
      </c>
      <c r="J55" s="21">
        <v>-2.2081745069270435</v>
      </c>
      <c r="K55" s="21">
        <v>-5.749489572428736</v>
      </c>
      <c r="L55" s="21">
        <v>-4.7639799422968414E-2</v>
      </c>
      <c r="M55" s="21">
        <v>0.28989786753256769</v>
      </c>
      <c r="N55" s="21">
        <v>-0.34933612715397228</v>
      </c>
      <c r="O55" s="21">
        <v>-1.3937117405006616</v>
      </c>
      <c r="P55" s="21">
        <v>-0.57507223430953158</v>
      </c>
      <c r="Q55" s="21">
        <v>3.3221151287649311E-2</v>
      </c>
      <c r="R55" s="21">
        <v>-0.62863079201316419</v>
      </c>
      <c r="S55" s="21">
        <v>1.290652130659333</v>
      </c>
      <c r="T55" s="21">
        <v>-4.8187034816072662</v>
      </c>
      <c r="U55" s="22">
        <v>-12.890128261436537</v>
      </c>
    </row>
    <row r="56" spans="1:21" x14ac:dyDescent="0.25">
      <c r="A56" s="95"/>
      <c r="B56" s="100"/>
      <c r="C56" s="19" t="s">
        <v>29</v>
      </c>
      <c r="D56" s="2">
        <v>-9.0250683293652503E-2</v>
      </c>
      <c r="E56" s="2">
        <v>-0.44368680458420839</v>
      </c>
      <c r="F56" s="2">
        <v>0.72171144814003574</v>
      </c>
      <c r="G56" s="2">
        <v>9.5164038202353862E-2</v>
      </c>
      <c r="H56" s="2">
        <v>5.6752219850376193E-2</v>
      </c>
      <c r="I56" s="2">
        <v>4.546615138478842E-2</v>
      </c>
      <c r="J56" s="2">
        <v>1.3847109259196477</v>
      </c>
      <c r="K56" s="2">
        <v>0.41242944394369602</v>
      </c>
      <c r="L56" s="2">
        <v>0.18669640039981053</v>
      </c>
      <c r="M56" s="2">
        <v>7.3648088856606231E-2</v>
      </c>
      <c r="N56" s="2">
        <v>6.1877887430589702E-2</v>
      </c>
      <c r="O56" s="2">
        <v>3.4144888329674217E-2</v>
      </c>
      <c r="P56" s="2">
        <v>0.30456556260903339</v>
      </c>
      <c r="Q56" s="2">
        <v>3.2989715248079116E-2</v>
      </c>
      <c r="R56" s="2">
        <v>-0.21769339334996921</v>
      </c>
      <c r="S56" s="2">
        <v>-0.8970714971168805</v>
      </c>
      <c r="T56" s="2">
        <v>3.0765485988930887</v>
      </c>
      <c r="U56" s="23">
        <v>4.8380029908630693</v>
      </c>
    </row>
    <row r="57" spans="1:21" x14ac:dyDescent="0.25">
      <c r="A57" s="95"/>
      <c r="B57" s="100"/>
      <c r="C57" s="19" t="s">
        <v>30</v>
      </c>
      <c r="D57" s="2">
        <v>-0.32775465619146665</v>
      </c>
      <c r="E57" s="2">
        <v>-6.7610641492923354E-2</v>
      </c>
      <c r="F57" s="2">
        <v>0.53024973752851934</v>
      </c>
      <c r="G57" s="2">
        <v>3.5569258045653834E-2</v>
      </c>
      <c r="H57" s="2">
        <v>-0.37486268342870754</v>
      </c>
      <c r="I57" s="2">
        <v>1.8459457864479126E-2</v>
      </c>
      <c r="J57" s="2">
        <v>0.84215644519318067</v>
      </c>
      <c r="K57" s="2">
        <v>2.0869293732038392E-2</v>
      </c>
      <c r="L57" s="2">
        <v>-0.40519445498941042</v>
      </c>
      <c r="M57" s="2">
        <v>-4.5414846082944521E-2</v>
      </c>
      <c r="N57" s="2">
        <v>3.6655899501600385E-2</v>
      </c>
      <c r="O57" s="2">
        <v>0.30230061482301385</v>
      </c>
      <c r="P57" s="2">
        <v>-2.6547436994322258</v>
      </c>
      <c r="Q57" s="2">
        <v>4.312866640396236E-2</v>
      </c>
      <c r="R57" s="2">
        <v>-0.12433199206238456</v>
      </c>
      <c r="S57" s="2">
        <v>0.16497952624030751</v>
      </c>
      <c r="T57" s="2">
        <v>0.47054790013275943</v>
      </c>
      <c r="U57" s="23">
        <v>-1.5349961742145475</v>
      </c>
    </row>
    <row r="58" spans="1:21" x14ac:dyDescent="0.25">
      <c r="A58" s="95"/>
      <c r="B58" s="101"/>
      <c r="C58" s="52" t="s">
        <v>31</v>
      </c>
      <c r="D58" s="20">
        <v>0.35082264970732169</v>
      </c>
      <c r="E58" s="20">
        <v>9.7051243144936385E-3</v>
      </c>
      <c r="F58" s="20">
        <v>-5.6397792152379507E-2</v>
      </c>
      <c r="G58" s="20">
        <v>8.3839893495368106E-3</v>
      </c>
      <c r="H58" s="20">
        <v>-9.6415320807521337E-3</v>
      </c>
      <c r="I58" s="20">
        <v>2.4483958444355726E-3</v>
      </c>
      <c r="J58" s="20">
        <v>-0.80292100684912915</v>
      </c>
      <c r="K58" s="20">
        <v>0.17512831438124368</v>
      </c>
      <c r="L58" s="20">
        <v>-5.331635083917189E-2</v>
      </c>
      <c r="M58" s="20">
        <v>-1.6688580850213085E-2</v>
      </c>
      <c r="N58" s="20">
        <v>5.2002002351097483E-2</v>
      </c>
      <c r="O58" s="20">
        <v>-1.237825266840591E-2</v>
      </c>
      <c r="P58" s="20">
        <v>0.10469444271583347</v>
      </c>
      <c r="Q58" s="20">
        <v>5.0954976882798386E-3</v>
      </c>
      <c r="R58" s="20">
        <v>-1.6650750819134592E-2</v>
      </c>
      <c r="S58" s="20">
        <v>0.61386725201074988</v>
      </c>
      <c r="T58" s="20">
        <v>-0.67450867134365222</v>
      </c>
      <c r="U58" s="24">
        <v>-0.32035526923984642</v>
      </c>
    </row>
    <row r="59" spans="1:21" x14ac:dyDescent="0.25">
      <c r="A59" s="95"/>
      <c r="B59" s="99">
        <v>2016</v>
      </c>
      <c r="C59" s="61" t="s">
        <v>28</v>
      </c>
      <c r="D59" s="21">
        <v>-0.40360415449850928</v>
      </c>
      <c r="E59" s="21">
        <v>-6.2496704279652739E-2</v>
      </c>
      <c r="F59" s="21">
        <v>6.3143577916416699E-2</v>
      </c>
      <c r="G59" s="21">
        <v>-4.2418650340605442E-2</v>
      </c>
      <c r="H59" s="21">
        <v>0.21895939418556326</v>
      </c>
      <c r="I59" s="21">
        <v>3.8222630820052693E-2</v>
      </c>
      <c r="J59" s="21">
        <v>2.7828267458214251</v>
      </c>
      <c r="K59" s="21">
        <v>-0.33323666510358968</v>
      </c>
      <c r="L59" s="21">
        <v>0.24888112195671303</v>
      </c>
      <c r="M59" s="21">
        <v>0.11921509605666417</v>
      </c>
      <c r="N59" s="21">
        <v>-0.13299076682187072</v>
      </c>
      <c r="O59" s="21">
        <v>-6.6527596532416189E-2</v>
      </c>
      <c r="P59" s="21">
        <v>-0.52364018923369071</v>
      </c>
      <c r="Q59" s="21">
        <v>1.505010214130556E-2</v>
      </c>
      <c r="R59" s="21">
        <v>0.25489219460861318</v>
      </c>
      <c r="S59" s="21">
        <v>-1.2332700461987813</v>
      </c>
      <c r="T59" s="21">
        <v>1.5909227920880682</v>
      </c>
      <c r="U59" s="22">
        <v>2.5339288825857054</v>
      </c>
    </row>
    <row r="60" spans="1:21" x14ac:dyDescent="0.25">
      <c r="A60" s="95"/>
      <c r="B60" s="100"/>
      <c r="C60" s="19" t="s">
        <v>29</v>
      </c>
      <c r="D60" s="2">
        <v>-5.0017933452186254E-3</v>
      </c>
      <c r="E60" s="2">
        <v>7.5626456851912494E-2</v>
      </c>
      <c r="F60" s="2">
        <v>-0.2581287092070369</v>
      </c>
      <c r="G60" s="2">
        <v>-2.7232254519264452E-2</v>
      </c>
      <c r="H60" s="2">
        <v>8.2331027984879665E-2</v>
      </c>
      <c r="I60" s="2">
        <v>1.9456414571860342E-2</v>
      </c>
      <c r="J60" s="2">
        <v>-4.1516045564983776E-2</v>
      </c>
      <c r="K60" s="2">
        <v>-0.3902927228730701</v>
      </c>
      <c r="L60" s="2">
        <v>-0.2685536610692294</v>
      </c>
      <c r="M60" s="2">
        <v>4.852538231093223E-2</v>
      </c>
      <c r="N60" s="2">
        <v>-4.407717094799405E-2</v>
      </c>
      <c r="O60" s="2">
        <v>-3.0842239390042612E-3</v>
      </c>
      <c r="P60" s="2">
        <v>-0.38298901437821065</v>
      </c>
      <c r="Q60" s="2">
        <v>3.607631957632601E-2</v>
      </c>
      <c r="R60" s="2">
        <v>8.4663170479529579E-2</v>
      </c>
      <c r="S60" s="2">
        <v>0.14158310436197094</v>
      </c>
      <c r="T60" s="2">
        <v>-0.2265306393165081</v>
      </c>
      <c r="U60" s="23">
        <v>-1.1591443590231092</v>
      </c>
    </row>
    <row r="61" spans="1:21" x14ac:dyDescent="0.25">
      <c r="A61" s="95"/>
      <c r="B61" s="100"/>
      <c r="C61" s="19" t="s">
        <v>30</v>
      </c>
      <c r="D61" s="2">
        <v>-8.905829207808609E-2</v>
      </c>
      <c r="E61" s="2">
        <v>0.35365718051725653</v>
      </c>
      <c r="F61" s="2">
        <v>-9.3845814619585022E-2</v>
      </c>
      <c r="G61" s="2">
        <v>0.12452125988311404</v>
      </c>
      <c r="H61" s="2">
        <v>4.6404203989305448E-2</v>
      </c>
      <c r="I61" s="2">
        <v>1.985222764238604E-2</v>
      </c>
      <c r="J61" s="2">
        <v>-4.2421315634716876</v>
      </c>
      <c r="K61" s="2">
        <v>-0.49557218139374676</v>
      </c>
      <c r="L61" s="2">
        <v>0.37668448225969103</v>
      </c>
      <c r="M61" s="2">
        <v>0.25088966334182</v>
      </c>
      <c r="N61" s="2">
        <v>-9.3953308003685884E-2</v>
      </c>
      <c r="O61" s="2">
        <v>7.2919456464518806E-2</v>
      </c>
      <c r="P61" s="2">
        <v>-0.57075044569513578</v>
      </c>
      <c r="Q61" s="2">
        <v>3.8218039386822319E-2</v>
      </c>
      <c r="R61" s="2">
        <v>0.13933127712279117</v>
      </c>
      <c r="S61" s="2">
        <v>0.16068575313728911</v>
      </c>
      <c r="T61" s="2">
        <v>8.2180789441243476E-2</v>
      </c>
      <c r="U61" s="23">
        <v>-3.9199672720756893</v>
      </c>
    </row>
    <row r="62" spans="1:21" x14ac:dyDescent="0.25">
      <c r="A62" s="95"/>
      <c r="B62" s="101"/>
      <c r="C62" s="52" t="s">
        <v>31</v>
      </c>
      <c r="D62" s="20">
        <v>-0.14125759953539593</v>
      </c>
      <c r="E62" s="20">
        <v>7.4713733424833478E-2</v>
      </c>
      <c r="F62" s="20">
        <v>-0.47368643817382211</v>
      </c>
      <c r="G62" s="20">
        <v>-1.7019164461371979E-2</v>
      </c>
      <c r="H62" s="20">
        <v>-6.2519413862364245E-2</v>
      </c>
      <c r="I62" s="20">
        <v>3.9273547759371419E-3</v>
      </c>
      <c r="J62" s="20">
        <v>9.0241723172101926E-2</v>
      </c>
      <c r="K62" s="20">
        <v>-0.21647599987127028</v>
      </c>
      <c r="L62" s="20">
        <v>5.1434567732549979E-2</v>
      </c>
      <c r="M62" s="20">
        <v>-0.15568071126115959</v>
      </c>
      <c r="N62" s="20">
        <v>1.7523524397887937E-2</v>
      </c>
      <c r="O62" s="20">
        <v>6.0599839152307995E-2</v>
      </c>
      <c r="P62" s="20">
        <v>-9.544307179200319E-2</v>
      </c>
      <c r="Q62" s="20">
        <v>3.8856245187375584E-3</v>
      </c>
      <c r="R62" s="20">
        <v>0.14038010435327167</v>
      </c>
      <c r="S62" s="20">
        <v>0.25856304725118034</v>
      </c>
      <c r="T62" s="20">
        <v>-7.8448501904860336E-3</v>
      </c>
      <c r="U62" s="24">
        <v>-0.46865773036906533</v>
      </c>
    </row>
    <row r="63" spans="1:21" x14ac:dyDescent="0.25">
      <c r="A63" s="95"/>
      <c r="B63" s="99">
        <v>2017</v>
      </c>
      <c r="C63" s="61" t="s">
        <v>28</v>
      </c>
      <c r="D63" s="21">
        <v>0.22874831126945785</v>
      </c>
      <c r="E63" s="21">
        <v>-0.60305554095487968</v>
      </c>
      <c r="F63" s="21">
        <v>-0.43030077729256844</v>
      </c>
      <c r="G63" s="21">
        <v>-1.9717310204827147E-2</v>
      </c>
      <c r="H63" s="21">
        <v>0.32305577989544082</v>
      </c>
      <c r="I63" s="21">
        <v>-8.8624256755050951E-2</v>
      </c>
      <c r="J63" s="21">
        <v>1.1416511114629475</v>
      </c>
      <c r="K63" s="21">
        <v>0.86569683553913768</v>
      </c>
      <c r="L63" s="21">
        <v>-0.22705382011851716</v>
      </c>
      <c r="M63" s="21">
        <v>8.6954588206577588E-2</v>
      </c>
      <c r="N63" s="21">
        <v>0.15456394695863906</v>
      </c>
      <c r="O63" s="21">
        <v>-0.57850371412748525</v>
      </c>
      <c r="P63" s="21">
        <v>0.37209464902399203</v>
      </c>
      <c r="Q63" s="21">
        <v>2.0422167082976946E-2</v>
      </c>
      <c r="R63" s="21">
        <v>0.14005621680478439</v>
      </c>
      <c r="S63" s="21">
        <v>-0.94382552449750079</v>
      </c>
      <c r="T63" s="21">
        <v>0.50005262342405299</v>
      </c>
      <c r="U63" s="22">
        <v>0.94221528571717739</v>
      </c>
    </row>
    <row r="64" spans="1:21" x14ac:dyDescent="0.25">
      <c r="A64" s="95"/>
      <c r="B64" s="100"/>
      <c r="C64" s="19" t="s">
        <v>29</v>
      </c>
      <c r="D64" s="2">
        <v>0.25096844320126477</v>
      </c>
      <c r="E64" s="2">
        <v>0.10683636183335951</v>
      </c>
      <c r="F64" s="2">
        <v>-3.3518201205985469E-2</v>
      </c>
      <c r="G64" s="2">
        <v>6.3987801644084952E-3</v>
      </c>
      <c r="H64" s="2">
        <v>-4.7046772140114289E-2</v>
      </c>
      <c r="I64" s="2">
        <v>-3.8112851314354594E-2</v>
      </c>
      <c r="J64" s="2">
        <v>1.2466411983441994</v>
      </c>
      <c r="K64" s="2">
        <v>0.45109737669209915</v>
      </c>
      <c r="L64" s="2">
        <v>-2.1168833214695842E-2</v>
      </c>
      <c r="M64" s="2">
        <v>0.24068415635102947</v>
      </c>
      <c r="N64" s="2">
        <v>-6.385268524029486E-2</v>
      </c>
      <c r="O64" s="2">
        <v>2.6737337386299385E-2</v>
      </c>
      <c r="P64" s="2">
        <v>0.35184290717034422</v>
      </c>
      <c r="Q64" s="2">
        <v>7.5886067586265427E-2</v>
      </c>
      <c r="R64" s="2">
        <v>5.5062562408328769E-2</v>
      </c>
      <c r="S64" s="2">
        <v>0.36549441285506834</v>
      </c>
      <c r="T64" s="2">
        <v>-0.18735277014000018</v>
      </c>
      <c r="U64" s="23">
        <v>2.786597490737222</v>
      </c>
    </row>
    <row r="65" spans="1:21" x14ac:dyDescent="0.25">
      <c r="A65" s="95"/>
      <c r="B65" s="100"/>
      <c r="C65" s="19" t="s">
        <v>30</v>
      </c>
      <c r="D65" s="2">
        <v>-0.15894240895621334</v>
      </c>
      <c r="E65" s="2">
        <v>0.38210015604984315</v>
      </c>
      <c r="F65" s="2">
        <v>1.6140114456224703</v>
      </c>
      <c r="G65" s="2">
        <v>-0.30673800929881551</v>
      </c>
      <c r="H65" s="2">
        <v>0.24835353624177842</v>
      </c>
      <c r="I65" s="2">
        <v>0.52699017232137613</v>
      </c>
      <c r="J65" s="2">
        <v>0.83539098551408597</v>
      </c>
      <c r="K65" s="2">
        <v>-1.2574878360850181</v>
      </c>
      <c r="L65" s="2">
        <v>0.13717112398032921</v>
      </c>
      <c r="M65" s="2">
        <v>1.6115805552684559</v>
      </c>
      <c r="N65" s="2">
        <v>-0.20032373436316547</v>
      </c>
      <c r="O65" s="2">
        <v>0.47669511347599419</v>
      </c>
      <c r="P65" s="2">
        <v>-0.86283843516300818</v>
      </c>
      <c r="Q65" s="2">
        <v>3.4428782767647513E-2</v>
      </c>
      <c r="R65" s="2">
        <v>-0.22295755213570137</v>
      </c>
      <c r="S65" s="2">
        <v>-1.8277869897018393</v>
      </c>
      <c r="T65" s="2">
        <v>-0.11049005917655969</v>
      </c>
      <c r="U65" s="23">
        <v>0.9191568463616604</v>
      </c>
    </row>
    <row r="66" spans="1:21" x14ac:dyDescent="0.25">
      <c r="A66" s="95"/>
      <c r="B66" s="101"/>
      <c r="C66" s="52" t="s">
        <v>31</v>
      </c>
      <c r="D66" s="20">
        <v>-9.5944084726937703E-2</v>
      </c>
      <c r="E66" s="20">
        <v>-0.18850488054753489</v>
      </c>
      <c r="F66" s="20">
        <v>-0.64759204865750519</v>
      </c>
      <c r="G66" s="20">
        <v>0.11619632156950235</v>
      </c>
      <c r="H66" s="20">
        <v>-0.25952804678109842</v>
      </c>
      <c r="I66" s="20">
        <v>-3.8959717036553446E-2</v>
      </c>
      <c r="J66" s="20">
        <v>-1.5713159146829196</v>
      </c>
      <c r="K66" s="20">
        <v>-0.46069613694271433</v>
      </c>
      <c r="L66" s="20">
        <v>-1.6213545705518702E-2</v>
      </c>
      <c r="M66" s="20">
        <v>-0.72549183958667507</v>
      </c>
      <c r="N66" s="20">
        <v>7.6481869944283576E-2</v>
      </c>
      <c r="O66" s="20">
        <v>-5.6931442282985974E-2</v>
      </c>
      <c r="P66" s="20">
        <v>0.18737920853714532</v>
      </c>
      <c r="Q66" s="20">
        <v>-6.1257072542969124E-2</v>
      </c>
      <c r="R66" s="20">
        <v>3.616628065273126E-2</v>
      </c>
      <c r="S66" s="20">
        <v>-0.24339421929849087</v>
      </c>
      <c r="T66" s="20">
        <v>0.16661315413625216</v>
      </c>
      <c r="U66" s="24">
        <v>-3.7829921139519889</v>
      </c>
    </row>
    <row r="67" spans="1:21" x14ac:dyDescent="0.25">
      <c r="A67" s="95"/>
      <c r="B67" s="99">
        <v>2018</v>
      </c>
      <c r="C67" s="61" t="s">
        <v>28</v>
      </c>
      <c r="D67" s="21">
        <v>5.1665642965922035E-2</v>
      </c>
      <c r="E67" s="21">
        <v>-1.9728541749549255E-2</v>
      </c>
      <c r="F67" s="21">
        <v>-0.30015121334364253</v>
      </c>
      <c r="G67" s="21">
        <v>-3.6771323416500613E-2</v>
      </c>
      <c r="H67" s="21">
        <v>0.16851739726198409</v>
      </c>
      <c r="I67" s="21">
        <v>1.0481156016415765E-2</v>
      </c>
      <c r="J67" s="21">
        <v>-1.7049483228531708</v>
      </c>
      <c r="K67" s="21">
        <v>0.19379964947724254</v>
      </c>
      <c r="L67" s="21">
        <v>-9.3944145731065783E-4</v>
      </c>
      <c r="M67" s="21">
        <v>6.4132896170849871E-2</v>
      </c>
      <c r="N67" s="21">
        <v>9.4908316573826118E-3</v>
      </c>
      <c r="O67" s="21">
        <v>9.2086254183437882E-2</v>
      </c>
      <c r="P67" s="21">
        <v>2.81807128660767E-2</v>
      </c>
      <c r="Q67" s="21">
        <v>-2.7771479348824193E-2</v>
      </c>
      <c r="R67" s="21">
        <v>7.1909736698832161E-2</v>
      </c>
      <c r="S67" s="21">
        <v>0.24354451830579513</v>
      </c>
      <c r="T67" s="21">
        <v>7.5505973238159219E-2</v>
      </c>
      <c r="U67" s="22">
        <v>-1.0809955533269</v>
      </c>
    </row>
    <row r="68" spans="1:21" x14ac:dyDescent="0.25">
      <c r="A68" s="95"/>
      <c r="B68" s="100"/>
      <c r="C68" s="19" t="s">
        <v>29</v>
      </c>
      <c r="D68" s="2">
        <v>-6.6446554788940584E-2</v>
      </c>
      <c r="E68" s="2">
        <v>7.1164161641767934E-2</v>
      </c>
      <c r="F68" s="2">
        <v>-5.7521575070962498E-2</v>
      </c>
      <c r="G68" s="2">
        <v>3.6569502469831626E-3</v>
      </c>
      <c r="H68" s="2">
        <v>-6.3021912314301404E-2</v>
      </c>
      <c r="I68" s="2">
        <v>5.0174418234876202E-3</v>
      </c>
      <c r="J68" s="2">
        <v>1.949856249260137</v>
      </c>
      <c r="K68" s="2">
        <v>-2.1420642814173874E-2</v>
      </c>
      <c r="L68" s="2">
        <v>1.2963403328026524E-3</v>
      </c>
      <c r="M68" s="2">
        <v>0.23231067350982226</v>
      </c>
      <c r="N68" s="2">
        <v>1.0041588645137673E-2</v>
      </c>
      <c r="O68" s="2">
        <v>-1.5677352835751345E-3</v>
      </c>
      <c r="P68" s="2">
        <v>-6.38086648148804E-2</v>
      </c>
      <c r="Q68" s="2">
        <v>6.883037735187042E-2</v>
      </c>
      <c r="R68" s="2">
        <v>-0.16864267487357743</v>
      </c>
      <c r="S68" s="2">
        <v>-3.336593327099166E-2</v>
      </c>
      <c r="T68" s="2">
        <v>-4.6323318262611032E-2</v>
      </c>
      <c r="U68" s="23">
        <v>1.8200547713179946</v>
      </c>
    </row>
    <row r="69" spans="1:21" x14ac:dyDescent="0.25">
      <c r="A69" s="95"/>
      <c r="B69" s="100"/>
      <c r="C69" s="19" t="s">
        <v>30</v>
      </c>
      <c r="D69" s="2">
        <v>-2.1536143178546032</v>
      </c>
      <c r="E69" s="2">
        <v>-4.7359474123961105</v>
      </c>
      <c r="F69" s="2">
        <v>-9.6512326128374948</v>
      </c>
      <c r="G69" s="2">
        <v>-4.1838612579583758</v>
      </c>
      <c r="H69" s="2">
        <v>0.19550756228065885</v>
      </c>
      <c r="I69" s="2">
        <v>-1.0240589936898576</v>
      </c>
      <c r="J69" s="2">
        <v>0.96876759356939601</v>
      </c>
      <c r="K69" s="2">
        <v>-4.3310735861735035</v>
      </c>
      <c r="L69" s="2">
        <v>0.85179648867214341</v>
      </c>
      <c r="M69" s="2">
        <v>2.2515293997791597</v>
      </c>
      <c r="N69" s="2">
        <v>7.0374463411544838E-2</v>
      </c>
      <c r="O69" s="2">
        <v>4.0153659269282658</v>
      </c>
      <c r="P69" s="2">
        <v>6.029323166775443</v>
      </c>
      <c r="Q69" s="2">
        <v>-0.76233374872520898</v>
      </c>
      <c r="R69" s="2">
        <v>12.36693332775638</v>
      </c>
      <c r="S69" s="2">
        <v>-0.37203014768642179</v>
      </c>
      <c r="T69" s="2">
        <v>1.9637692315826165</v>
      </c>
      <c r="U69" s="23">
        <v>1.4992150834340301</v>
      </c>
    </row>
    <row r="70" spans="1:21" x14ac:dyDescent="0.25">
      <c r="A70" s="95"/>
      <c r="B70" s="101"/>
      <c r="C70" s="52" t="s">
        <v>31</v>
      </c>
      <c r="D70" s="20">
        <v>0.12326538931845057</v>
      </c>
      <c r="E70" s="20">
        <v>-4.4504402675573172E-2</v>
      </c>
      <c r="F70" s="20">
        <v>-0.35536221739334994</v>
      </c>
      <c r="G70" s="20">
        <v>0.22990967935319689</v>
      </c>
      <c r="H70" s="20">
        <v>0.13677358796703862</v>
      </c>
      <c r="I70" s="20">
        <v>-6.962922712232162E-3</v>
      </c>
      <c r="J70" s="20">
        <v>0.79884883474201296</v>
      </c>
      <c r="K70" s="20">
        <v>9.2320293979493775E-2</v>
      </c>
      <c r="L70" s="20">
        <v>-1.6673711132398947E-2</v>
      </c>
      <c r="M70" s="20">
        <v>-0.45110385679692588</v>
      </c>
      <c r="N70" s="20">
        <v>-0.25972965857904912</v>
      </c>
      <c r="O70" s="20">
        <v>0.83303191201746496</v>
      </c>
      <c r="P70" s="20">
        <v>8.1859873575611669E-2</v>
      </c>
      <c r="Q70" s="20">
        <v>-0.13082134036811627</v>
      </c>
      <c r="R70" s="20">
        <v>-1.5001720752693022E-2</v>
      </c>
      <c r="S70" s="20">
        <v>0.1850893974484292</v>
      </c>
      <c r="T70" s="20">
        <v>-0.40037014237995372</v>
      </c>
      <c r="U70" s="24">
        <v>0.80056899561140638</v>
      </c>
    </row>
    <row r="71" spans="1:21" x14ac:dyDescent="0.25">
      <c r="A71" s="95"/>
      <c r="B71" s="99">
        <v>2019</v>
      </c>
      <c r="C71" s="61" t="s">
        <v>28</v>
      </c>
      <c r="D71" s="21">
        <v>0.53999525277554583</v>
      </c>
      <c r="E71" s="21">
        <v>6.4104986028569204E-3</v>
      </c>
      <c r="F71" s="21">
        <v>-0.24517017061688193</v>
      </c>
      <c r="G71" s="21">
        <v>-9.8427875033854278E-2</v>
      </c>
      <c r="H71" s="21">
        <v>-0.57579822389561486</v>
      </c>
      <c r="I71" s="21">
        <v>4.4305963963931258E-2</v>
      </c>
      <c r="J71" s="21">
        <v>-0.12393661349530886</v>
      </c>
      <c r="K71" s="21">
        <v>0.4832048277503152</v>
      </c>
      <c r="L71" s="21">
        <v>-7.7882802760557604E-2</v>
      </c>
      <c r="M71" s="21">
        <v>0.48192249937866238</v>
      </c>
      <c r="N71" s="21">
        <v>0.29233316273262078</v>
      </c>
      <c r="O71" s="21">
        <v>-1.2101783024396822</v>
      </c>
      <c r="P71" s="21">
        <v>-6.6908067640348012E-2</v>
      </c>
      <c r="Q71" s="21">
        <v>-3.8009715021340248E-2</v>
      </c>
      <c r="R71" s="21">
        <v>-0.2631065738161526</v>
      </c>
      <c r="S71" s="21">
        <v>-1.5236278431741415</v>
      </c>
      <c r="T71" s="21">
        <v>0.52173075463760543</v>
      </c>
      <c r="U71" s="22">
        <v>-1.8531432280523443</v>
      </c>
    </row>
    <row r="72" spans="1:21" x14ac:dyDescent="0.25">
      <c r="A72" s="95"/>
      <c r="B72" s="100"/>
      <c r="C72" s="19" t="s">
        <v>29</v>
      </c>
      <c r="D72" s="2">
        <v>-0.52676024223278728</v>
      </c>
      <c r="E72" s="2">
        <v>-0.38523298750493917</v>
      </c>
      <c r="F72" s="2">
        <v>-0.20653568319583057</v>
      </c>
      <c r="G72" s="2">
        <v>-0.21737271521877091</v>
      </c>
      <c r="H72" s="2">
        <v>0.58047478568425781</v>
      </c>
      <c r="I72" s="2">
        <v>6.4602034867239462E-3</v>
      </c>
      <c r="J72" s="2">
        <v>-1.5928495149578252</v>
      </c>
      <c r="K72" s="2">
        <v>0.31750312807378306</v>
      </c>
      <c r="L72" s="2">
        <v>-0.21215297772198496</v>
      </c>
      <c r="M72" s="2">
        <v>0.10500509229270549</v>
      </c>
      <c r="N72" s="2">
        <v>-0.28823829243851867</v>
      </c>
      <c r="O72" s="2">
        <v>-0.39570671348625575</v>
      </c>
      <c r="P72" s="2">
        <v>0.1405057053870605</v>
      </c>
      <c r="Q72" s="2">
        <v>0.37697568824306865</v>
      </c>
      <c r="R72" s="2">
        <v>0.4816169547144199</v>
      </c>
      <c r="S72" s="2">
        <v>-0.25559018699522978</v>
      </c>
      <c r="T72" s="2">
        <v>-0.3865214614224799</v>
      </c>
      <c r="U72" s="23">
        <v>-2.4584192172926027</v>
      </c>
    </row>
    <row r="73" spans="1:21" x14ac:dyDescent="0.25">
      <c r="A73" s="95"/>
      <c r="B73" s="100"/>
      <c r="C73" s="19" t="s">
        <v>30</v>
      </c>
      <c r="D73" s="2">
        <v>-0.54013529167853203</v>
      </c>
      <c r="E73" s="2">
        <v>-0.49706544346612463</v>
      </c>
      <c r="F73" s="2">
        <v>-2.0805364468401968</v>
      </c>
      <c r="G73" s="2">
        <v>0.32540238158647583</v>
      </c>
      <c r="H73" s="2">
        <v>-1.8490496174885487</v>
      </c>
      <c r="I73" s="2">
        <v>0.14121232167285697</v>
      </c>
      <c r="J73" s="2">
        <v>3.9526242590919738</v>
      </c>
      <c r="K73" s="2">
        <v>-1.6289661983464874</v>
      </c>
      <c r="L73" s="2">
        <v>0.84885470530296603</v>
      </c>
      <c r="M73" s="2">
        <v>1.4146311410884991</v>
      </c>
      <c r="N73" s="2">
        <v>-3.0960836272655293E-2</v>
      </c>
      <c r="O73" s="2">
        <v>-0.69743987327273271</v>
      </c>
      <c r="P73" s="2">
        <v>1.2544704092391581</v>
      </c>
      <c r="Q73" s="2">
        <v>-0.23842493604463982</v>
      </c>
      <c r="R73" s="2">
        <v>0.78562068348685621</v>
      </c>
      <c r="S73" s="2">
        <v>0.38232927760799718</v>
      </c>
      <c r="T73" s="2">
        <v>-1.4622668923307023E-2</v>
      </c>
      <c r="U73" s="23">
        <v>1.5279438667435583</v>
      </c>
    </row>
    <row r="74" spans="1:21" x14ac:dyDescent="0.25">
      <c r="A74" s="95"/>
      <c r="B74" s="101"/>
      <c r="C74" s="52" t="s">
        <v>31</v>
      </c>
      <c r="D74" s="20">
        <v>1.3610832601410321</v>
      </c>
      <c r="E74" s="20">
        <v>1.6846336615014008E-2</v>
      </c>
      <c r="F74" s="20">
        <v>0.44133441516456551</v>
      </c>
      <c r="G74" s="20">
        <v>0.15142793047709494</v>
      </c>
      <c r="H74" s="20">
        <v>-0.54904243653285523</v>
      </c>
      <c r="I74" s="20">
        <v>-0.14499374577393676</v>
      </c>
      <c r="J74" s="20">
        <v>2.7701785294762931</v>
      </c>
      <c r="K74" s="20">
        <v>2.063428253758925</v>
      </c>
      <c r="L74" s="20">
        <v>-4.3775759087531452E-2</v>
      </c>
      <c r="M74" s="20">
        <v>1.653838057030985</v>
      </c>
      <c r="N74" s="20">
        <v>0.39320805902089256</v>
      </c>
      <c r="O74" s="20">
        <v>-4.1690169434021902</v>
      </c>
      <c r="P74" s="20">
        <v>0.28499916653552076</v>
      </c>
      <c r="Q74" s="20">
        <v>0.52605676804006785</v>
      </c>
      <c r="R74" s="20">
        <v>-0.40737016527263192</v>
      </c>
      <c r="S74" s="20">
        <v>-3.3510423045398827</v>
      </c>
      <c r="T74" s="20">
        <v>-0.38202225521579214</v>
      </c>
      <c r="U74" s="24">
        <v>0.61513716643556871</v>
      </c>
    </row>
    <row r="75" spans="1:21" x14ac:dyDescent="0.25">
      <c r="A75" s="95"/>
      <c r="B75" s="99">
        <v>2020</v>
      </c>
      <c r="C75" s="61" t="s">
        <v>28</v>
      </c>
      <c r="D75" s="21">
        <v>23.948511141347023</v>
      </c>
      <c r="E75" s="21">
        <v>1.6501586754149231</v>
      </c>
      <c r="F75" s="21">
        <v>5.0722812191413347</v>
      </c>
      <c r="G75" s="21">
        <v>-0.19941673134095059</v>
      </c>
      <c r="H75" s="21">
        <v>0.82661288434393543</v>
      </c>
      <c r="I75" s="21">
        <v>-0.24051132205893733</v>
      </c>
      <c r="J75" s="21">
        <v>-11.547098317510819</v>
      </c>
      <c r="K75" s="21">
        <v>16.343312564761675</v>
      </c>
      <c r="L75" s="21">
        <v>-3.2065423592353239</v>
      </c>
      <c r="M75" s="21">
        <v>-11.632356249580525</v>
      </c>
      <c r="N75" s="21">
        <v>0.16197206297711766</v>
      </c>
      <c r="O75" s="21">
        <v>-1.6377049268276056</v>
      </c>
      <c r="P75" s="21">
        <v>-4.8967155864961747</v>
      </c>
      <c r="Q75" s="21">
        <v>-0.36648386422679369</v>
      </c>
      <c r="R75" s="21">
        <v>5.6705333555776516</v>
      </c>
      <c r="S75" s="21">
        <v>0.39208883202122952</v>
      </c>
      <c r="T75" s="21">
        <v>-18.37622567310666</v>
      </c>
      <c r="U75" s="22">
        <v>1.9624157052010958</v>
      </c>
    </row>
    <row r="76" spans="1:21" x14ac:dyDescent="0.25">
      <c r="A76" s="95"/>
      <c r="B76" s="100"/>
      <c r="C76" s="19" t="s">
        <v>29</v>
      </c>
      <c r="D76" s="2">
        <v>-2.2532330190641363</v>
      </c>
      <c r="E76" s="2">
        <v>-0.36577276719745472</v>
      </c>
      <c r="F76" s="2">
        <v>-1.1892455876789489</v>
      </c>
      <c r="G76" s="2">
        <v>-9.7050541081337066E-2</v>
      </c>
      <c r="H76" s="2">
        <v>-0.1257398541753752</v>
      </c>
      <c r="I76" s="2">
        <v>1.9454441597798794E-3</v>
      </c>
      <c r="J76" s="2">
        <v>-1.9696694012131213</v>
      </c>
      <c r="K76" s="2">
        <v>-2.4829774290753175</v>
      </c>
      <c r="L76" s="2">
        <v>0.17724277368770622</v>
      </c>
      <c r="M76" s="2">
        <v>-2.9602857025506855</v>
      </c>
      <c r="N76" s="2">
        <v>-0.13766393548646036</v>
      </c>
      <c r="O76" s="2">
        <v>-1.2937660567038616</v>
      </c>
      <c r="P76" s="2">
        <v>-0.34052801982724862</v>
      </c>
      <c r="Q76" s="2">
        <v>-0.34861053856592444</v>
      </c>
      <c r="R76" s="2">
        <v>-2.3506330987345305</v>
      </c>
      <c r="S76" s="2">
        <v>-0.20445798585816607</v>
      </c>
      <c r="T76" s="2">
        <v>1.3483472994357346</v>
      </c>
      <c r="U76" s="23">
        <v>-14.592098419929346</v>
      </c>
    </row>
    <row r="77" spans="1:21" x14ac:dyDescent="0.25">
      <c r="A77" s="95"/>
      <c r="B77" s="100"/>
      <c r="C77" s="19" t="s">
        <v>30</v>
      </c>
      <c r="D77" s="2">
        <v>1.690919225026182</v>
      </c>
      <c r="E77" s="2">
        <v>7.0113484057722136E-2</v>
      </c>
      <c r="F77" s="2">
        <v>-2.384064785923589E-2</v>
      </c>
      <c r="G77" s="2">
        <v>1.8868578129728183E-2</v>
      </c>
      <c r="H77" s="2">
        <v>0.19354461761061642</v>
      </c>
      <c r="I77" s="2">
        <v>2.9863957332985957E-3</v>
      </c>
      <c r="J77" s="2">
        <v>-0.62655349798466331</v>
      </c>
      <c r="K77" s="2">
        <v>3.2997782085443474</v>
      </c>
      <c r="L77" s="2">
        <v>0.44504713679973501</v>
      </c>
      <c r="M77" s="2">
        <v>0.46371280273032428</v>
      </c>
      <c r="N77" s="2">
        <v>-0.10353294353542884</v>
      </c>
      <c r="O77" s="2">
        <v>-1.1113251163259081</v>
      </c>
      <c r="P77" s="2">
        <v>0.30140312427577698</v>
      </c>
      <c r="Q77" s="2">
        <v>0.49694424909252688</v>
      </c>
      <c r="R77" s="2">
        <v>2.7645927229126261</v>
      </c>
      <c r="S77" s="2">
        <v>0.70632666232843944</v>
      </c>
      <c r="T77" s="2">
        <v>-1.0213311022931866</v>
      </c>
      <c r="U77" s="23">
        <v>7.5676538992429014</v>
      </c>
    </row>
    <row r="78" spans="1:21" x14ac:dyDescent="0.25">
      <c r="A78" s="95"/>
      <c r="B78" s="101"/>
      <c r="C78" s="52" t="s">
        <v>31</v>
      </c>
      <c r="D78" s="20">
        <v>3.3471597344070181E-2</v>
      </c>
      <c r="E78" s="20">
        <v>6.0454362975035911E-2</v>
      </c>
      <c r="F78" s="20">
        <v>-0.21341736096439234</v>
      </c>
      <c r="G78" s="20">
        <v>2.9711503659745956E-2</v>
      </c>
      <c r="H78" s="20">
        <v>9.7659882548004076E-2</v>
      </c>
      <c r="I78" s="20">
        <v>-3.3771033752824507E-3</v>
      </c>
      <c r="J78" s="20">
        <v>-0.22291031704625081</v>
      </c>
      <c r="K78" s="20">
        <v>0.18708885464481201</v>
      </c>
      <c r="L78" s="20">
        <v>-2.175208504697413E-2</v>
      </c>
      <c r="M78" s="20">
        <v>0.61999977977362597</v>
      </c>
      <c r="N78" s="20">
        <v>2.8757814937339962E-2</v>
      </c>
      <c r="O78" s="20">
        <v>-3.3491813105224734E-2</v>
      </c>
      <c r="P78" s="20">
        <v>-6.3900081427710059E-3</v>
      </c>
      <c r="Q78" s="20">
        <v>2.5569531472518663E-2</v>
      </c>
      <c r="R78" s="20">
        <v>-5.2287583836797463E-2</v>
      </c>
      <c r="S78" s="20">
        <v>2.9939531372422445E-2</v>
      </c>
      <c r="T78" s="20">
        <v>-5.8934511975838141E-2</v>
      </c>
      <c r="U78" s="24">
        <v>0.50009207523404409</v>
      </c>
    </row>
    <row r="79" spans="1:21" x14ac:dyDescent="0.25">
      <c r="A79" s="95"/>
      <c r="B79" s="99">
        <v>2021</v>
      </c>
      <c r="C79" s="61" t="s">
        <v>28</v>
      </c>
      <c r="D79" s="21">
        <v>0.28098420238440408</v>
      </c>
      <c r="E79" s="21">
        <v>0.80013387918883283</v>
      </c>
      <c r="F79" s="21">
        <v>-0.60197510263211573</v>
      </c>
      <c r="G79" s="21">
        <v>0.33091869108391753</v>
      </c>
      <c r="H79" s="21">
        <v>-0.30870643863051139</v>
      </c>
      <c r="I79" s="21">
        <v>0.23522911421546097</v>
      </c>
      <c r="J79" s="21">
        <v>-0.40519238250511314</v>
      </c>
      <c r="K79" s="21">
        <v>-0.45437051764388309</v>
      </c>
      <c r="L79" s="21">
        <v>-0.49002394965809909</v>
      </c>
      <c r="M79" s="21">
        <v>-3.1364848835867098E-2</v>
      </c>
      <c r="N79" s="21">
        <v>0.22665247134066918</v>
      </c>
      <c r="O79" s="21">
        <v>0.48957333119565782</v>
      </c>
      <c r="P79" s="21">
        <v>0.59909032089414826</v>
      </c>
      <c r="Q79" s="21">
        <v>-2.1613924975256181E-2</v>
      </c>
      <c r="R79" s="21">
        <v>0.71997086672447652</v>
      </c>
      <c r="S79" s="21">
        <v>-0.57058139844579392</v>
      </c>
      <c r="T79" s="21">
        <v>-0.35522076419421789</v>
      </c>
      <c r="U79" s="22">
        <v>0.44350354950670978</v>
      </c>
    </row>
    <row r="80" spans="1:21" x14ac:dyDescent="0.25">
      <c r="A80" s="95"/>
      <c r="B80" s="100"/>
      <c r="C80" s="19" t="s">
        <v>29</v>
      </c>
      <c r="D80" s="2">
        <v>-0.86573044194884041</v>
      </c>
      <c r="E80" s="2">
        <v>-0.18549818524006434</v>
      </c>
      <c r="F80" s="2">
        <v>-2.4500820522782213E-2</v>
      </c>
      <c r="G80" s="2">
        <v>-0.51759001716803077</v>
      </c>
      <c r="H80" s="2">
        <v>0.25143985195163471</v>
      </c>
      <c r="I80" s="2">
        <v>4.2797849575230661E-2</v>
      </c>
      <c r="J80" s="2">
        <v>-3.1487530118872034</v>
      </c>
      <c r="K80" s="2">
        <v>-1.5416531761880614</v>
      </c>
      <c r="L80" s="2">
        <v>-0.20395708904610119</v>
      </c>
      <c r="M80" s="2">
        <v>-0.32701704923526254</v>
      </c>
      <c r="N80" s="2">
        <v>7.2536479717365196E-2</v>
      </c>
      <c r="O80" s="2">
        <v>0.30277544137427481</v>
      </c>
      <c r="P80" s="2">
        <v>8.0533710905833188E-3</v>
      </c>
      <c r="Q80" s="2">
        <v>-0.30590054726748467</v>
      </c>
      <c r="R80" s="2">
        <v>-0.33906971112367101</v>
      </c>
      <c r="S80" s="2">
        <v>4.9801655172297517E-2</v>
      </c>
      <c r="T80" s="2">
        <v>-0.56289824561502577</v>
      </c>
      <c r="U80" s="23">
        <v>-7.2951636463611429</v>
      </c>
    </row>
    <row r="81" spans="1:21" x14ac:dyDescent="0.25">
      <c r="A81" s="95"/>
      <c r="B81" s="100"/>
      <c r="C81" s="19" t="s">
        <v>30</v>
      </c>
      <c r="D81" s="2">
        <v>2.4041695708304993</v>
      </c>
      <c r="E81" s="2">
        <v>9.6108717950420891E-2</v>
      </c>
      <c r="F81" s="2">
        <v>0.19784575998009554</v>
      </c>
      <c r="G81" s="2">
        <v>5.391579867787287E-2</v>
      </c>
      <c r="H81" s="2">
        <v>0.59370889024089202</v>
      </c>
      <c r="I81" s="2">
        <v>4.1991492956423354E-3</v>
      </c>
      <c r="J81" s="2">
        <v>2.4745009034038299</v>
      </c>
      <c r="K81" s="2">
        <v>5.0614421190687544</v>
      </c>
      <c r="L81" s="2">
        <v>-0.35768720904301576</v>
      </c>
      <c r="M81" s="2">
        <v>0.94314928602528458</v>
      </c>
      <c r="N81" s="2">
        <v>-4.2781201795564647E-2</v>
      </c>
      <c r="O81" s="2">
        <v>4.5457010426191963E-2</v>
      </c>
      <c r="P81" s="2">
        <v>-0.21728286387571644</v>
      </c>
      <c r="Q81" s="2">
        <v>0.25893580781892683</v>
      </c>
      <c r="R81" s="2">
        <v>-0.14685026529013262</v>
      </c>
      <c r="S81" s="2">
        <v>-9.2637424312485117E-2</v>
      </c>
      <c r="T81" s="2">
        <v>-0.20672094564023721</v>
      </c>
      <c r="U81" s="23">
        <v>11.069473103761259</v>
      </c>
    </row>
    <row r="82" spans="1:21" x14ac:dyDescent="0.25">
      <c r="A82" s="95"/>
      <c r="B82" s="101"/>
      <c r="C82" s="52" t="s">
        <v>31</v>
      </c>
      <c r="D82" s="20">
        <v>0.55858563449556331</v>
      </c>
      <c r="E82" s="20">
        <v>-2.8412256552403804E-2</v>
      </c>
      <c r="F82" s="20">
        <v>0.14919177637333192</v>
      </c>
      <c r="G82" s="20">
        <v>0.22602927712159646</v>
      </c>
      <c r="H82" s="20">
        <v>-7.896657736018084E-2</v>
      </c>
      <c r="I82" s="20">
        <v>-1.2220033672480981E-2</v>
      </c>
      <c r="J82" s="20">
        <v>1.7132652484230135</v>
      </c>
      <c r="K82" s="20">
        <v>6.9601914785328567E-2</v>
      </c>
      <c r="L82" s="20">
        <v>0.1117481535978181</v>
      </c>
      <c r="M82" s="20">
        <v>1.7800662310945221</v>
      </c>
      <c r="N82" s="20">
        <v>-8.6724237370552015E-2</v>
      </c>
      <c r="O82" s="20">
        <v>-5.280439939196592E-2</v>
      </c>
      <c r="P82" s="20">
        <v>-1.0808605540679398E-2</v>
      </c>
      <c r="Q82" s="20">
        <v>3.8358408440954735E-2</v>
      </c>
      <c r="R82" s="20">
        <v>0.27192541880317284</v>
      </c>
      <c r="S82" s="20">
        <v>5.4948722560312621E-2</v>
      </c>
      <c r="T82" s="20">
        <v>-0.19669272952905728</v>
      </c>
      <c r="U82" s="24">
        <v>4.507091946278293</v>
      </c>
    </row>
    <row r="83" spans="1:21" x14ac:dyDescent="0.25">
      <c r="A83" s="95"/>
      <c r="B83" s="99">
        <v>2022</v>
      </c>
      <c r="C83" s="61" t="s">
        <v>28</v>
      </c>
      <c r="D83" s="21">
        <v>-0.84062660411360568</v>
      </c>
      <c r="E83" s="21">
        <v>5.7916876029387242E-2</v>
      </c>
      <c r="F83" s="21">
        <v>0.18729362712848807</v>
      </c>
      <c r="G83" s="21">
        <v>-9.987423574657435E-2</v>
      </c>
      <c r="H83" s="21">
        <v>5.4544044616120668E-2</v>
      </c>
      <c r="I83" s="21">
        <v>9.0532071996843183E-3</v>
      </c>
      <c r="J83" s="21">
        <v>-0.47981149275796409</v>
      </c>
      <c r="K83" s="21">
        <v>-0.85435830778251531</v>
      </c>
      <c r="L83" s="21">
        <v>0.12503621071280357</v>
      </c>
      <c r="M83" s="21">
        <v>-0.70988839137145721</v>
      </c>
      <c r="N83" s="21">
        <v>1.5840656506324144E-2</v>
      </c>
      <c r="O83" s="21">
        <v>1.2322078489005472E-2</v>
      </c>
      <c r="P83" s="21">
        <v>0.32484365703679602</v>
      </c>
      <c r="Q83" s="21">
        <v>-2.4418519997632024E-3</v>
      </c>
      <c r="R83" s="21">
        <v>-0.12300897604347588</v>
      </c>
      <c r="S83" s="21">
        <v>-0.25325958700729168</v>
      </c>
      <c r="T83" s="21">
        <v>-6.9651747292438171E-2</v>
      </c>
      <c r="U83" s="22">
        <v>-2.6460708363964756</v>
      </c>
    </row>
    <row r="84" spans="1:21" x14ac:dyDescent="0.25">
      <c r="A84" s="95"/>
      <c r="B84" s="100"/>
      <c r="C84" s="19" t="s">
        <v>29</v>
      </c>
      <c r="D84" s="2">
        <v>2.2359214102941367</v>
      </c>
      <c r="E84" s="2">
        <v>-5.5310660210108872E-2</v>
      </c>
      <c r="F84" s="2">
        <v>3.4610759416021583E-2</v>
      </c>
      <c r="G84" s="2">
        <v>0.18142024398369003</v>
      </c>
      <c r="H84" s="2">
        <v>-0.38293628227650733</v>
      </c>
      <c r="I84" s="2">
        <v>4.3906185931957886E-2</v>
      </c>
      <c r="J84" s="2">
        <v>-3.6158979581170643</v>
      </c>
      <c r="K84" s="2">
        <v>0.73548631241847406</v>
      </c>
      <c r="L84" s="2">
        <v>-1.7205314826863796E-2</v>
      </c>
      <c r="M84" s="2">
        <v>0.1959932873594378</v>
      </c>
      <c r="N84" s="2">
        <v>-5.4735753235416733E-2</v>
      </c>
      <c r="O84" s="2">
        <v>-1.2286433795009219E-2</v>
      </c>
      <c r="P84" s="2">
        <v>-0.26911896571771321</v>
      </c>
      <c r="Q84" s="2">
        <v>-0.10933028061497521</v>
      </c>
      <c r="R84" s="2">
        <v>0.17097799390631183</v>
      </c>
      <c r="S84" s="2">
        <v>-0.2435964222857688</v>
      </c>
      <c r="T84" s="2">
        <v>-0.76112521781038311</v>
      </c>
      <c r="U84" s="23">
        <v>-1.9232270955797808</v>
      </c>
    </row>
    <row r="85" spans="1:21" x14ac:dyDescent="0.25">
      <c r="A85" s="95"/>
      <c r="B85" s="100"/>
      <c r="C85" s="19" t="s">
        <v>30</v>
      </c>
      <c r="D85" s="2">
        <v>-1.9222311220756694</v>
      </c>
      <c r="E85" s="2">
        <v>-0.49841673160515598</v>
      </c>
      <c r="F85" s="2">
        <v>0.23904393403447241</v>
      </c>
      <c r="G85" s="2">
        <v>-0.27798672826765408</v>
      </c>
      <c r="H85" s="2">
        <v>0.13691994057946849</v>
      </c>
      <c r="I85" s="2">
        <v>4.8612616970021567E-2</v>
      </c>
      <c r="J85" s="2">
        <v>0.61759676230421989</v>
      </c>
      <c r="K85" s="2">
        <v>-0.69547657246732775</v>
      </c>
      <c r="L85" s="2">
        <v>-0.37955115345361778</v>
      </c>
      <c r="M85" s="2">
        <v>0.84052412745573213</v>
      </c>
      <c r="N85" s="2">
        <v>3.7253690180496055E-2</v>
      </c>
      <c r="O85" s="2">
        <v>-0.44676945743770446</v>
      </c>
      <c r="P85" s="2">
        <v>0.46449816503686131</v>
      </c>
      <c r="Q85" s="2">
        <v>0.15910021374263075</v>
      </c>
      <c r="R85" s="2">
        <v>0.55581896849168289</v>
      </c>
      <c r="S85" s="2">
        <v>0.45055786103594703</v>
      </c>
      <c r="T85" s="2">
        <v>1.4459785123972465E-3</v>
      </c>
      <c r="U85" s="23">
        <v>-0.66905950696319949</v>
      </c>
    </row>
    <row r="86" spans="1:21" x14ac:dyDescent="0.25">
      <c r="A86" s="95"/>
      <c r="B86" s="101"/>
      <c r="C86" s="52" t="s">
        <v>31</v>
      </c>
      <c r="D86" s="20">
        <v>0.31013184387301518</v>
      </c>
      <c r="E86" s="20">
        <v>0.16150259308628517</v>
      </c>
      <c r="F86" s="20">
        <v>-0.57332628116873541</v>
      </c>
      <c r="G86" s="20">
        <v>0.15253679273831822</v>
      </c>
      <c r="H86" s="20">
        <v>-5.4673244681453327E-2</v>
      </c>
      <c r="I86" s="20">
        <v>2.7245986520200348E-2</v>
      </c>
      <c r="J86" s="20">
        <v>2.7449725571704313</v>
      </c>
      <c r="K86" s="20">
        <v>0.23585110448125335</v>
      </c>
      <c r="L86" s="20">
        <v>1.3667873740555388E-2</v>
      </c>
      <c r="M86" s="20">
        <v>2.0305548526721933</v>
      </c>
      <c r="N86" s="20">
        <v>-0.12470387655078741</v>
      </c>
      <c r="O86" s="20">
        <v>-5.6825092714893929E-2</v>
      </c>
      <c r="P86" s="20">
        <v>0.15473436728958212</v>
      </c>
      <c r="Q86" s="20">
        <v>1.2618047249550724E-2</v>
      </c>
      <c r="R86" s="20">
        <v>0.32741261154543005</v>
      </c>
      <c r="S86" s="20">
        <v>0.80035339771382308</v>
      </c>
      <c r="T86" s="20">
        <v>0.16241188149859556</v>
      </c>
      <c r="U86" s="24">
        <v>6.3244654144633632</v>
      </c>
    </row>
    <row r="87" spans="1:21" x14ac:dyDescent="0.25">
      <c r="A87" s="95"/>
      <c r="B87" s="99">
        <v>2023</v>
      </c>
      <c r="C87" s="61" t="s">
        <v>28</v>
      </c>
      <c r="D87" s="21">
        <v>6.063444465664293E-2</v>
      </c>
      <c r="E87" s="21">
        <v>1.3627061777593588E-2</v>
      </c>
      <c r="F87" s="21">
        <v>-3.3297142531425919E-2</v>
      </c>
      <c r="G87" s="21">
        <v>-5.3734270496750593E-2</v>
      </c>
      <c r="H87" s="21">
        <v>0.16102896633846439</v>
      </c>
      <c r="I87" s="21">
        <v>-2.3428585314799394E-4</v>
      </c>
      <c r="J87" s="21">
        <v>-1.3352460826302961</v>
      </c>
      <c r="K87" s="21">
        <v>2.7125374362599299E-2</v>
      </c>
      <c r="L87" s="21">
        <v>2.4991833484248806E-2</v>
      </c>
      <c r="M87" s="21">
        <v>-1.3711966369387649</v>
      </c>
      <c r="N87" s="21">
        <v>0.18664799649495742</v>
      </c>
      <c r="O87" s="21">
        <v>5.7262543081976376E-2</v>
      </c>
      <c r="P87" s="21">
        <v>-2.6963053488719857E-2</v>
      </c>
      <c r="Q87" s="21">
        <v>3.8590286315378919E-3</v>
      </c>
      <c r="R87" s="21">
        <v>-6.0245039867022919E-2</v>
      </c>
      <c r="S87" s="21">
        <v>-0.81172205298783662</v>
      </c>
      <c r="T87" s="21">
        <v>9.0086313081450459E-2</v>
      </c>
      <c r="U87" s="22">
        <v>-3.0673750028844942</v>
      </c>
    </row>
    <row r="88" spans="1:21" x14ac:dyDescent="0.25">
      <c r="A88" s="95"/>
      <c r="B88" s="100"/>
      <c r="C88" s="19" t="s">
        <v>29</v>
      </c>
      <c r="D88" s="2">
        <v>0.63654536882903934</v>
      </c>
      <c r="E88" s="2">
        <v>-4.4695677793325235E-2</v>
      </c>
      <c r="F88" s="2">
        <v>0.30352266469360922</v>
      </c>
      <c r="G88" s="2">
        <v>-8.06283418332744E-2</v>
      </c>
      <c r="H88" s="2">
        <v>6.3229879950157677E-2</v>
      </c>
      <c r="I88" s="2">
        <v>-9.7855992752111497E-3</v>
      </c>
      <c r="J88" s="2">
        <v>0.85438893295207263</v>
      </c>
      <c r="K88" s="2">
        <v>9.964582865085006E-2</v>
      </c>
      <c r="L88" s="2">
        <v>-0.1736993085199604</v>
      </c>
      <c r="M88" s="2">
        <v>-0.15271345379007503</v>
      </c>
      <c r="N88" s="2">
        <v>-0.20089992125555378</v>
      </c>
      <c r="O88" s="2">
        <v>1.7740732913889917E-2</v>
      </c>
      <c r="P88" s="2">
        <v>8.6943592660867944E-2</v>
      </c>
      <c r="Q88" s="2">
        <v>-9.4897560652453545E-3</v>
      </c>
      <c r="R88" s="2">
        <v>1.4563481868171756E-2</v>
      </c>
      <c r="S88" s="2">
        <v>-6.7173173008941239E-2</v>
      </c>
      <c r="T88" s="2">
        <v>1.0091822049032213</v>
      </c>
      <c r="U88" s="23">
        <v>2.3466774558802932</v>
      </c>
    </row>
    <row r="89" spans="1:21" x14ac:dyDescent="0.25">
      <c r="A89" s="95"/>
      <c r="B89" s="100"/>
      <c r="C89" s="19" t="s">
        <v>30</v>
      </c>
      <c r="D89" s="2">
        <v>-0.45692406000331098</v>
      </c>
      <c r="E89" s="2">
        <v>-3.8920328071718149E-2</v>
      </c>
      <c r="F89" s="2">
        <v>0.1546643607451279</v>
      </c>
      <c r="G89" s="2">
        <v>0.27947405214421739</v>
      </c>
      <c r="H89" s="2">
        <v>-6.255603614950267E-2</v>
      </c>
      <c r="I89" s="2">
        <v>5.7378244759091354E-2</v>
      </c>
      <c r="J89" s="2">
        <v>-0.61941870921360165</v>
      </c>
      <c r="K89" s="2">
        <v>8.4050357997614289E-2</v>
      </c>
      <c r="L89" s="2">
        <v>0.34060646384710425</v>
      </c>
      <c r="M89" s="2">
        <v>0.49075445389915023</v>
      </c>
      <c r="N89" s="2">
        <v>3.7560738321628206E-2</v>
      </c>
      <c r="O89" s="2">
        <v>-0.10876971218123682</v>
      </c>
      <c r="P89" s="2">
        <v>8.7296353855408126E-2</v>
      </c>
      <c r="Q89" s="2">
        <v>9.2504315034848114E-2</v>
      </c>
      <c r="R89" s="2">
        <v>-0.31998336880909517</v>
      </c>
      <c r="S89" s="2">
        <v>0.78177820053692715</v>
      </c>
      <c r="T89" s="2">
        <v>-2.2482233424968636</v>
      </c>
      <c r="U89" s="23">
        <v>-1.4487280157842122</v>
      </c>
    </row>
    <row r="90" spans="1:21" x14ac:dyDescent="0.25">
      <c r="A90" s="95"/>
      <c r="B90" s="101"/>
      <c r="C90" s="52" t="s">
        <v>31</v>
      </c>
      <c r="D90" s="20">
        <v>1.0589971810194778</v>
      </c>
      <c r="E90" s="20">
        <v>-2.4355698843237437E-2</v>
      </c>
      <c r="F90" s="20">
        <v>-0.39407862657972165</v>
      </c>
      <c r="G90" s="20">
        <v>1.219587907041019E-2</v>
      </c>
      <c r="H90" s="20">
        <v>6.4214261495459959E-2</v>
      </c>
      <c r="I90" s="20">
        <v>9.9870678021956091E-3</v>
      </c>
      <c r="J90" s="20">
        <v>-1.1493946496503216</v>
      </c>
      <c r="K90" s="20">
        <v>0.40939137126374647</v>
      </c>
      <c r="L90" s="20">
        <v>-1.3539734557138524E-2</v>
      </c>
      <c r="M90" s="20">
        <v>0.71529785071220597</v>
      </c>
      <c r="N90" s="20">
        <v>-7.2172293265361726E-3</v>
      </c>
      <c r="O90" s="20">
        <v>0.16736330834916105</v>
      </c>
      <c r="P90" s="20">
        <v>8.1502432268796429E-2</v>
      </c>
      <c r="Q90" s="20">
        <v>2.6995611140803275E-2</v>
      </c>
      <c r="R90" s="20">
        <v>-0.33520076088577239</v>
      </c>
      <c r="S90" s="20">
        <v>3.5858585080894151E-2</v>
      </c>
      <c r="T90" s="20">
        <v>-1.5657787940164072</v>
      </c>
      <c r="U90" s="24">
        <v>-0.907761945655984</v>
      </c>
    </row>
    <row r="91" spans="1:21" x14ac:dyDescent="0.25">
      <c r="A91" s="95"/>
      <c r="B91" s="99">
        <v>2024</v>
      </c>
      <c r="C91" s="61" t="s">
        <v>28</v>
      </c>
      <c r="D91" s="21">
        <v>-7.5377301299339269E-2</v>
      </c>
      <c r="E91" s="21">
        <v>-1.7047324151693445E-2</v>
      </c>
      <c r="F91" s="21">
        <v>0.42365182767212595</v>
      </c>
      <c r="G91" s="21">
        <v>-0.14434258381264872</v>
      </c>
      <c r="H91" s="21">
        <v>6.2940979874756955E-2</v>
      </c>
      <c r="I91" s="21">
        <v>3.000649271912233E-2</v>
      </c>
      <c r="J91" s="21">
        <v>0.73122934689772123</v>
      </c>
      <c r="K91" s="21">
        <v>9.7036539628049798E-2</v>
      </c>
      <c r="L91" s="21">
        <v>9.7033032038059991E-2</v>
      </c>
      <c r="M91" s="21">
        <v>0.94877984416086203</v>
      </c>
      <c r="N91" s="21">
        <v>6.3876114129739564E-2</v>
      </c>
      <c r="O91" s="21">
        <v>-7.1316575378036637E-2</v>
      </c>
      <c r="P91" s="21">
        <v>0.12419571262761159</v>
      </c>
      <c r="Q91" s="21">
        <v>6.0694296128732343E-3</v>
      </c>
      <c r="R91" s="21">
        <v>0.69572492404681086</v>
      </c>
      <c r="S91" s="21">
        <v>-0.59899959375959366</v>
      </c>
      <c r="T91" s="21">
        <v>1.6913400208471863</v>
      </c>
      <c r="U91" s="22">
        <v>4.0648008858536082</v>
      </c>
    </row>
    <row r="92" spans="1:21" x14ac:dyDescent="0.25">
      <c r="A92" s="95"/>
      <c r="B92" s="100"/>
      <c r="C92" s="19" t="s">
        <v>29</v>
      </c>
      <c r="D92" s="2">
        <v>0.29302638788426677</v>
      </c>
      <c r="E92" s="2">
        <v>0.14345321702299657</v>
      </c>
      <c r="F92" s="2">
        <v>0.20954795647541893</v>
      </c>
      <c r="G92" s="2">
        <v>0.20092414808657552</v>
      </c>
      <c r="H92" s="2">
        <v>0.31201569279322944</v>
      </c>
      <c r="I92" s="2">
        <v>1.7844456433651661E-2</v>
      </c>
      <c r="J92" s="2">
        <v>1.1215536600213454</v>
      </c>
      <c r="K92" s="2">
        <v>0.11524762395353015</v>
      </c>
      <c r="L92" s="2">
        <v>-7.0099267391578179E-2</v>
      </c>
      <c r="M92" s="2">
        <v>-1.0793898723759827</v>
      </c>
      <c r="N92" s="2">
        <v>0.12907412530956841</v>
      </c>
      <c r="O92" s="2">
        <v>1.0064639486070462E-2</v>
      </c>
      <c r="P92" s="2">
        <v>0.49284260178351341</v>
      </c>
      <c r="Q92" s="2">
        <v>1.5013210314735325E-2</v>
      </c>
      <c r="R92" s="2">
        <v>0.80630834975163723</v>
      </c>
      <c r="S92" s="2">
        <v>-0.32566877538422595</v>
      </c>
      <c r="T92" s="2">
        <v>1.1656020655108765</v>
      </c>
      <c r="U92" s="23">
        <v>3.5573602196756293</v>
      </c>
    </row>
    <row r="93" spans="1:21" x14ac:dyDescent="0.25">
      <c r="A93" s="95"/>
      <c r="B93" s="100"/>
      <c r="C93" s="19" t="s">
        <v>30</v>
      </c>
      <c r="D93" s="2">
        <v>-0.68151261295371546</v>
      </c>
      <c r="E93" s="2">
        <v>0.43491566758687161</v>
      </c>
      <c r="F93" s="2">
        <v>0.72875249278845033</v>
      </c>
      <c r="G93" s="2">
        <v>0.73072282977688086</v>
      </c>
      <c r="H93" s="2">
        <v>-0.12130776853217536</v>
      </c>
      <c r="I93" s="2">
        <v>-6.5361952486793509E-2</v>
      </c>
      <c r="J93" s="2">
        <v>-1.6402082140748659</v>
      </c>
      <c r="K93" s="2">
        <v>-1.0262044540802406</v>
      </c>
      <c r="L93" s="2">
        <v>0.231533524408991</v>
      </c>
      <c r="M93" s="2">
        <v>1.130430171799033</v>
      </c>
      <c r="N93" s="2">
        <v>0.40332145879591846</v>
      </c>
      <c r="O93" s="2">
        <v>-6.8872912666104097E-2</v>
      </c>
      <c r="P93" s="2">
        <v>-0.56291530705835646</v>
      </c>
      <c r="Q93" s="2">
        <v>9.2671223037170875E-2</v>
      </c>
      <c r="R93" s="2">
        <v>-1.5203086752718469</v>
      </c>
      <c r="S93" s="2">
        <v>1.6176215180929225</v>
      </c>
      <c r="T93" s="2">
        <v>-0.94150326931048089</v>
      </c>
      <c r="U93" s="23">
        <v>-1.2582262801483401</v>
      </c>
    </row>
    <row r="94" spans="1:21" x14ac:dyDescent="0.25">
      <c r="A94" s="95"/>
      <c r="B94" s="101"/>
      <c r="C94" s="52" t="s">
        <v>31</v>
      </c>
      <c r="D94" s="20">
        <v>0.13167006361869724</v>
      </c>
      <c r="E94" s="20">
        <v>-0.31698685420708728</v>
      </c>
      <c r="F94" s="20">
        <v>-1.5039223919459572</v>
      </c>
      <c r="G94" s="20">
        <v>0.38976620572026549</v>
      </c>
      <c r="H94" s="20">
        <v>-9.6608707169069483E-2</v>
      </c>
      <c r="I94" s="20">
        <v>4.254876346791546E-2</v>
      </c>
      <c r="J94" s="20">
        <v>-1.0655439255485208</v>
      </c>
      <c r="K94" s="20">
        <v>-0.42384163114791878</v>
      </c>
      <c r="L94" s="20">
        <v>-4.0336684106109071E-3</v>
      </c>
      <c r="M94" s="20">
        <v>0.91616180814587123</v>
      </c>
      <c r="N94" s="20">
        <v>0.68942132062393013</v>
      </c>
      <c r="O94" s="20">
        <v>0.15386504980805943</v>
      </c>
      <c r="P94" s="20">
        <v>0.31981443200712689</v>
      </c>
      <c r="Q94" s="20">
        <v>8.9814138325450307E-2</v>
      </c>
      <c r="R94" s="20">
        <v>0.24096928164884282</v>
      </c>
      <c r="S94" s="20">
        <v>-0.25069888271756496</v>
      </c>
      <c r="T94" s="20">
        <v>-0.74278814968548923</v>
      </c>
      <c r="U94" s="24">
        <v>-1.4303931474660598</v>
      </c>
    </row>
    <row r="95" spans="1:21" x14ac:dyDescent="0.25">
      <c r="A95" s="95"/>
      <c r="B95" s="99">
        <v>2025</v>
      </c>
      <c r="C95" s="61" t="s">
        <v>28</v>
      </c>
      <c r="D95" s="21">
        <v>0.41744611311600027</v>
      </c>
      <c r="E95" s="21">
        <v>-3.1627025815588919E-2</v>
      </c>
      <c r="F95" s="21">
        <v>-6.8354373949708044E-2</v>
      </c>
      <c r="G95" s="21">
        <v>-0.23376527549594828</v>
      </c>
      <c r="H95" s="21">
        <v>0.14754589818317701</v>
      </c>
      <c r="I95" s="21">
        <v>-1.3971886827220415E-2</v>
      </c>
      <c r="J95" s="21">
        <v>0.48123634543753468</v>
      </c>
      <c r="K95" s="21">
        <v>0.50131020536132409</v>
      </c>
      <c r="L95" s="21">
        <v>-1.5009904997428916E-2</v>
      </c>
      <c r="M95" s="21">
        <v>0.24970214363229154</v>
      </c>
      <c r="N95" s="21">
        <v>0.26298619699021097</v>
      </c>
      <c r="O95" s="21">
        <v>3.0959585181718152E-2</v>
      </c>
      <c r="P95" s="21">
        <v>0.47386259647303736</v>
      </c>
      <c r="Q95" s="21">
        <v>1.5699102379386681E-2</v>
      </c>
      <c r="R95" s="21">
        <v>-2.4553391735024136E-2</v>
      </c>
      <c r="S95" s="21">
        <v>-0.15496086753576652</v>
      </c>
      <c r="T95" s="21">
        <v>0.49588148850990971</v>
      </c>
      <c r="U95" s="22">
        <v>2.5343869489079056</v>
      </c>
    </row>
    <row r="96" spans="1:21" x14ac:dyDescent="0.25">
      <c r="A96" s="95"/>
      <c r="B96" s="100"/>
      <c r="C96" s="19" t="s">
        <v>29</v>
      </c>
      <c r="D96" s="2">
        <v>0.2406175275385827</v>
      </c>
      <c r="E96" s="2">
        <v>4.3351394464376546E-2</v>
      </c>
      <c r="F96" s="2">
        <v>-0.27863980196773996</v>
      </c>
      <c r="G96" s="2">
        <v>-8.5706225433850799E-2</v>
      </c>
      <c r="H96" s="2">
        <v>0.4607959026069145</v>
      </c>
      <c r="I96" s="2">
        <v>0.24636864805806835</v>
      </c>
      <c r="J96" s="2">
        <v>0.24531329508425984</v>
      </c>
      <c r="K96" s="2">
        <v>3.1930120800151299E-2</v>
      </c>
      <c r="L96" s="2">
        <v>0.16682581684421111</v>
      </c>
      <c r="M96" s="2">
        <v>-0.58575888663433606</v>
      </c>
      <c r="N96" s="2">
        <v>0.38359208295050634</v>
      </c>
      <c r="O96" s="2">
        <v>0.20364165400529405</v>
      </c>
      <c r="P96" s="2">
        <v>-1.0627788263732736</v>
      </c>
      <c r="Q96" s="2">
        <v>0.22332938875736133</v>
      </c>
      <c r="R96" s="2">
        <v>0.53129966642604742</v>
      </c>
      <c r="S96" s="2">
        <v>-0.79419847695952184</v>
      </c>
      <c r="T96" s="2">
        <v>1.1101746851087992</v>
      </c>
      <c r="U96" s="23">
        <v>1.0801579652758504</v>
      </c>
    </row>
    <row r="97" spans="1:21" x14ac:dyDescent="0.25">
      <c r="A97" s="95"/>
      <c r="B97" s="100"/>
      <c r="C97" s="19" t="s">
        <v>30</v>
      </c>
      <c r="D97" s="2">
        <v>-6.0228375608512897E-4</v>
      </c>
      <c r="E97" s="2">
        <v>-2.4818032901075009E-4</v>
      </c>
      <c r="F97" s="2">
        <v>2.3305763055890952E-2</v>
      </c>
      <c r="G97" s="2">
        <v>1.2871353838684747E-2</v>
      </c>
      <c r="H97" s="2">
        <v>1.8708852587244078E-2</v>
      </c>
      <c r="I97" s="2">
        <v>-2.5373404311113961E-3</v>
      </c>
      <c r="J97" s="2">
        <v>-1.0608334793909303E-2</v>
      </c>
      <c r="K97" s="2">
        <v>-3.8965367930623575E-3</v>
      </c>
      <c r="L97" s="2">
        <v>-5.848226808831348E-3</v>
      </c>
      <c r="M97" s="2">
        <v>2.1986080576606368E-2</v>
      </c>
      <c r="N97" s="2">
        <v>9.0041399121938911E-3</v>
      </c>
      <c r="O97" s="2">
        <v>1.2840610030688414E-3</v>
      </c>
      <c r="P97" s="2">
        <v>5.1640513687681397E-2</v>
      </c>
      <c r="Q97" s="2">
        <v>2.6193260108991032E-3</v>
      </c>
      <c r="R97" s="2">
        <v>-9.4310538043180323E-3</v>
      </c>
      <c r="S97" s="2">
        <v>3.3119913688493444E-2</v>
      </c>
      <c r="T97" s="2">
        <v>-3.3860815136601184E-2</v>
      </c>
      <c r="U97" s="23">
        <v>0.10750723250783331</v>
      </c>
    </row>
    <row r="98" spans="1:21" x14ac:dyDescent="0.25">
      <c r="A98" s="95"/>
      <c r="B98" s="101"/>
      <c r="C98" s="52" t="s">
        <v>31</v>
      </c>
      <c r="D98" s="20">
        <v>9.8228892110591957E-3</v>
      </c>
      <c r="E98" s="20">
        <v>0.10987195259351609</v>
      </c>
      <c r="F98" s="20">
        <v>-0.12376735787148625</v>
      </c>
      <c r="G98" s="20">
        <v>7.4741737552893053E-2</v>
      </c>
      <c r="H98" s="20">
        <v>0.42567564931843388</v>
      </c>
      <c r="I98" s="20">
        <v>3.2072606997877603E-2</v>
      </c>
      <c r="J98" s="20">
        <v>-0.16834847069765743</v>
      </c>
      <c r="K98" s="20">
        <v>9.9755817957565843E-2</v>
      </c>
      <c r="L98" s="20">
        <v>0.20017550680574486</v>
      </c>
      <c r="M98" s="20">
        <v>0.27489898982192196</v>
      </c>
      <c r="N98" s="20">
        <v>0.11456043161481252</v>
      </c>
      <c r="O98" s="20">
        <v>7.2383979913844725E-3</v>
      </c>
      <c r="P98" s="20">
        <v>0.13375119063316498</v>
      </c>
      <c r="Q98" s="20">
        <v>4.4165929509798217E-2</v>
      </c>
      <c r="R98" s="20">
        <v>-1.7675847742170305E-3</v>
      </c>
      <c r="S98" s="20">
        <v>0.56832986683449593</v>
      </c>
      <c r="T98" s="20">
        <v>0.2659903886475648</v>
      </c>
      <c r="U98" s="24">
        <v>2.0671679421468725</v>
      </c>
    </row>
    <row r="99" spans="1:21" x14ac:dyDescent="0.25">
      <c r="A99" s="95"/>
      <c r="B99" s="99">
        <v>2026</v>
      </c>
      <c r="C99" s="61" t="s">
        <v>28</v>
      </c>
      <c r="D99" s="21">
        <v>0.1694618853937418</v>
      </c>
      <c r="E99" s="21">
        <v>3.1767732232036723E-2</v>
      </c>
      <c r="F99" s="21">
        <v>1.0389780864898135E-2</v>
      </c>
      <c r="G99" s="21">
        <v>-0.15592037056850791</v>
      </c>
      <c r="H99" s="21">
        <v>-0.47197510501039602</v>
      </c>
      <c r="I99" s="21">
        <v>7.4837317145906135E-2</v>
      </c>
      <c r="J99" s="21">
        <v>0.21576784702707832</v>
      </c>
      <c r="K99" s="21">
        <v>0.15792206773340661</v>
      </c>
      <c r="L99" s="21">
        <v>-0.10428364433583548</v>
      </c>
      <c r="M99" s="21">
        <v>1.4116967216652081</v>
      </c>
      <c r="N99" s="21">
        <v>0.15800787031347049</v>
      </c>
      <c r="O99" s="21">
        <v>8.0913291984044788E-2</v>
      </c>
      <c r="P99" s="21">
        <v>0.23900848335587527</v>
      </c>
      <c r="Q99" s="21">
        <v>3.0732760352013975E-2</v>
      </c>
      <c r="R99" s="21">
        <v>-2.3172358778410351E-2</v>
      </c>
      <c r="S99" s="21">
        <v>-0.67495409831048425</v>
      </c>
      <c r="T99" s="21">
        <v>0.22412324985027687</v>
      </c>
      <c r="U99" s="22">
        <v>1.3743234309143233</v>
      </c>
    </row>
    <row r="100" spans="1:21" x14ac:dyDescent="0.25">
      <c r="A100" s="95"/>
      <c r="B100" s="100"/>
      <c r="C100" s="19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3">
        <v>0</v>
      </c>
    </row>
    <row r="101" spans="1:21" x14ac:dyDescent="0.25">
      <c r="A101" s="95"/>
      <c r="B101" s="100"/>
      <c r="C101" s="19" t="s">
        <v>30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3">
        <v>0</v>
      </c>
    </row>
    <row r="102" spans="1:21" x14ac:dyDescent="0.25">
      <c r="A102" s="95"/>
      <c r="B102" s="101"/>
      <c r="C102" s="52" t="s">
        <v>31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4">
        <v>0</v>
      </c>
    </row>
    <row r="103" spans="1:21" x14ac:dyDescent="0.25">
      <c r="C103" s="17" t="s">
        <v>52</v>
      </c>
    </row>
  </sheetData>
  <mergeCells count="28">
    <mergeCell ref="B99:B102"/>
    <mergeCell ref="A1:A102"/>
    <mergeCell ref="C1:U1"/>
    <mergeCell ref="B3:B6"/>
    <mergeCell ref="B7:B10"/>
    <mergeCell ref="B11:B14"/>
    <mergeCell ref="B15:B18"/>
    <mergeCell ref="B2:C2"/>
    <mergeCell ref="B95:B9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39:B42"/>
    <mergeCell ref="B43:B46"/>
    <mergeCell ref="B47:B50"/>
    <mergeCell ref="B51:B54"/>
    <mergeCell ref="B55:B58"/>
    <mergeCell ref="B19:B22"/>
    <mergeCell ref="B23:B26"/>
    <mergeCell ref="B27:B30"/>
    <mergeCell ref="B31:B34"/>
    <mergeCell ref="B35:B38"/>
  </mergeCells>
  <phoneticPr fontId="10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7"/>
  <sheetViews>
    <sheetView showGridLines="0" zoomScale="110" zoomScaleNormal="110" workbookViewId="0">
      <pane xSplit="3" ySplit="2" topLeftCell="D108" activePane="bottomRight" state="frozen"/>
      <selection activeCell="A2" sqref="A2:B98"/>
      <selection pane="topRight" activeCell="A2" sqref="A2:B98"/>
      <selection pane="bottomLeft" activeCell="A2" sqref="A2:B98"/>
      <selection pane="bottomRight" activeCell="C1" sqref="C1:U1"/>
    </sheetView>
  </sheetViews>
  <sheetFormatPr defaultRowHeight="15.75" x14ac:dyDescent="0.25"/>
  <cols>
    <col min="2" max="2" width="5.125" style="18" customWidth="1"/>
    <col min="3" max="3" width="7.5" style="18" customWidth="1"/>
    <col min="4" max="4" width="10.125" bestFit="1" customWidth="1"/>
    <col min="7" max="7" width="9.875" customWidth="1"/>
  </cols>
  <sheetData>
    <row r="1" spans="1:23" x14ac:dyDescent="0.25">
      <c r="A1" s="95"/>
      <c r="C1" s="102" t="s">
        <v>32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62"/>
      <c r="C3" s="53" t="s">
        <v>51</v>
      </c>
      <c r="D3" s="35">
        <v>800987.7322591017</v>
      </c>
      <c r="E3" s="35">
        <v>77872.748576858066</v>
      </c>
      <c r="F3" s="35">
        <v>1241999.6134083676</v>
      </c>
      <c r="G3" s="35">
        <v>52753.793958323688</v>
      </c>
      <c r="H3" s="35">
        <v>343694.49069655139</v>
      </c>
      <c r="I3" s="35">
        <v>48482.872610615304</v>
      </c>
      <c r="J3" s="35">
        <v>546962.88000326173</v>
      </c>
      <c r="K3" s="35">
        <v>790988.99302829057</v>
      </c>
      <c r="L3" s="35">
        <v>133026.19294245931</v>
      </c>
      <c r="M3" s="35">
        <v>292468.3335963898</v>
      </c>
      <c r="N3" s="35">
        <v>85675.552825752122</v>
      </c>
      <c r="O3" s="35">
        <v>147431.97357748245</v>
      </c>
      <c r="P3" s="35">
        <v>806221.95286671235</v>
      </c>
      <c r="Q3" s="35">
        <v>301299.70275830524</v>
      </c>
      <c r="R3" s="35">
        <v>385439.85750971589</v>
      </c>
      <c r="S3" s="35">
        <v>222286.59224615042</v>
      </c>
      <c r="T3" s="35">
        <v>-81835.929830253968</v>
      </c>
      <c r="U3" s="36">
        <v>6423975.1804625597</v>
      </c>
      <c r="V3" s="1"/>
      <c r="W3" s="1"/>
    </row>
    <row r="4" spans="1:23" x14ac:dyDescent="0.25">
      <c r="A4" s="95"/>
      <c r="B4" s="100">
        <v>2002</v>
      </c>
      <c r="C4" s="16" t="s">
        <v>28</v>
      </c>
      <c r="D4" s="2">
        <v>237453.80825338158</v>
      </c>
      <c r="E4" s="2">
        <v>19740.821381610109</v>
      </c>
      <c r="F4" s="2">
        <v>317550.05644587678</v>
      </c>
      <c r="G4" s="2">
        <v>12771.317764192567</v>
      </c>
      <c r="H4" s="2">
        <v>78888.934572385609</v>
      </c>
      <c r="I4" s="2">
        <v>11424.110420439114</v>
      </c>
      <c r="J4" s="2">
        <v>140722.34730343448</v>
      </c>
      <c r="K4" s="2">
        <v>148430.61906439796</v>
      </c>
      <c r="L4" s="2">
        <v>14850.659720380181</v>
      </c>
      <c r="M4" s="2">
        <v>65360.206776789804</v>
      </c>
      <c r="N4" s="2">
        <v>20542.965264044095</v>
      </c>
      <c r="O4" s="2">
        <v>28349.375776312059</v>
      </c>
      <c r="P4" s="2">
        <v>159794.13790614763</v>
      </c>
      <c r="Q4" s="2">
        <v>63478.074153029527</v>
      </c>
      <c r="R4" s="2">
        <v>72333.169778153388</v>
      </c>
      <c r="S4" s="2">
        <v>45536.407642745282</v>
      </c>
      <c r="T4" s="2">
        <v>-16118.798088195093</v>
      </c>
      <c r="U4" s="23">
        <v>1540753.9365699652</v>
      </c>
    </row>
    <row r="5" spans="1:23" x14ac:dyDescent="0.25">
      <c r="A5" s="95"/>
      <c r="B5" s="100"/>
      <c r="C5" s="16" t="s">
        <v>29</v>
      </c>
      <c r="D5" s="2">
        <v>299687.38067496166</v>
      </c>
      <c r="E5" s="2">
        <v>16627.2564333052</v>
      </c>
      <c r="F5" s="2">
        <v>302058.30384130881</v>
      </c>
      <c r="G5" s="2">
        <v>11663.618863711878</v>
      </c>
      <c r="H5" s="2">
        <v>80538.539128062519</v>
      </c>
      <c r="I5" s="2">
        <v>12569.501888518706</v>
      </c>
      <c r="J5" s="2">
        <v>127334.28167962293</v>
      </c>
      <c r="K5" s="2">
        <v>174626.93005040416</v>
      </c>
      <c r="L5" s="2">
        <v>31893.06196838128</v>
      </c>
      <c r="M5" s="2">
        <v>68525.214720617179</v>
      </c>
      <c r="N5" s="2">
        <v>20950.508800858155</v>
      </c>
      <c r="O5" s="2">
        <v>30889.771775085766</v>
      </c>
      <c r="P5" s="2">
        <v>161831.7143046298</v>
      </c>
      <c r="Q5" s="2">
        <v>66886.010970039846</v>
      </c>
      <c r="R5" s="2">
        <v>92357.693526438074</v>
      </c>
      <c r="S5" s="2">
        <v>49890.561176435112</v>
      </c>
      <c r="T5" s="2">
        <v>-18218.301476204011</v>
      </c>
      <c r="U5" s="23">
        <v>1524907.4570322323</v>
      </c>
    </row>
    <row r="6" spans="1:23" x14ac:dyDescent="0.25">
      <c r="A6" s="95"/>
      <c r="B6" s="100"/>
      <c r="C6" s="16" t="s">
        <v>30</v>
      </c>
      <c r="D6" s="2">
        <v>161270.24246280006</v>
      </c>
      <c r="E6" s="2">
        <v>15513.20149209804</v>
      </c>
      <c r="F6" s="2">
        <v>312003.28345196199</v>
      </c>
      <c r="G6" s="2">
        <v>14470.688717537378</v>
      </c>
      <c r="H6" s="2">
        <v>83878.179539591234</v>
      </c>
      <c r="I6" s="2">
        <v>12766.920744575831</v>
      </c>
      <c r="J6" s="2">
        <v>142891.30994412216</v>
      </c>
      <c r="K6" s="2">
        <v>213059.81009152363</v>
      </c>
      <c r="L6" s="2">
        <v>40385.979360650213</v>
      </c>
      <c r="M6" s="2">
        <v>79381.909707619328</v>
      </c>
      <c r="N6" s="2">
        <v>20652.636659671287</v>
      </c>
      <c r="O6" s="2">
        <v>40614.693481657756</v>
      </c>
      <c r="P6" s="2">
        <v>184516.94268342922</v>
      </c>
      <c r="Q6" s="2">
        <v>79170.696621952346</v>
      </c>
      <c r="R6" s="2">
        <v>108935.79597222783</v>
      </c>
      <c r="S6" s="2">
        <v>55341.371622371138</v>
      </c>
      <c r="T6" s="2">
        <v>-20810.120456954319</v>
      </c>
      <c r="U6" s="23">
        <v>1579032.4240426961</v>
      </c>
    </row>
    <row r="7" spans="1:23" x14ac:dyDescent="0.25">
      <c r="A7" s="95"/>
      <c r="B7" s="101"/>
      <c r="C7" s="28" t="s">
        <v>31</v>
      </c>
      <c r="D7" s="20">
        <v>102576.3008679585</v>
      </c>
      <c r="E7" s="20">
        <v>25991.469269844718</v>
      </c>
      <c r="F7" s="20">
        <v>310387.96966921992</v>
      </c>
      <c r="G7" s="20">
        <v>13848.168612881869</v>
      </c>
      <c r="H7" s="20">
        <v>100388.83745651206</v>
      </c>
      <c r="I7" s="20">
        <v>11722.339557081657</v>
      </c>
      <c r="J7" s="20">
        <v>136014.94107608215</v>
      </c>
      <c r="K7" s="20">
        <v>254871.63382196479</v>
      </c>
      <c r="L7" s="20">
        <v>45896.491893047641</v>
      </c>
      <c r="M7" s="20">
        <v>79201.002391363509</v>
      </c>
      <c r="N7" s="20">
        <v>23529.442101178582</v>
      </c>
      <c r="O7" s="20">
        <v>47578.132544426866</v>
      </c>
      <c r="P7" s="20">
        <v>300079.15797250572</v>
      </c>
      <c r="Q7" s="20">
        <v>91764.9210132835</v>
      </c>
      <c r="R7" s="20">
        <v>111813.19823289661</v>
      </c>
      <c r="S7" s="20">
        <v>71518.251804598884</v>
      </c>
      <c r="T7" s="20">
        <v>-26688.709808900549</v>
      </c>
      <c r="U7" s="24">
        <v>1779281.362817666</v>
      </c>
    </row>
    <row r="8" spans="1:23" x14ac:dyDescent="0.25">
      <c r="A8" s="95"/>
      <c r="B8" s="60"/>
      <c r="C8" s="53" t="s">
        <v>51</v>
      </c>
      <c r="D8" s="35">
        <v>868257.84062113543</v>
      </c>
      <c r="E8" s="35">
        <v>83774.354819324653</v>
      </c>
      <c r="F8" s="35">
        <v>1193872.7186217303</v>
      </c>
      <c r="G8" s="35">
        <v>63202.360566570169</v>
      </c>
      <c r="H8" s="35">
        <v>365103.71985064849</v>
      </c>
      <c r="I8" s="35">
        <v>54318.204733445236</v>
      </c>
      <c r="J8" s="35">
        <v>636766.29714934062</v>
      </c>
      <c r="K8" s="35">
        <v>840860.07354346721</v>
      </c>
      <c r="L8" s="35">
        <v>149765.67943853402</v>
      </c>
      <c r="M8" s="35">
        <v>295128.83925790904</v>
      </c>
      <c r="N8" s="35">
        <v>89765.532453638472</v>
      </c>
      <c r="O8" s="35">
        <v>156326.79622866516</v>
      </c>
      <c r="P8" s="35">
        <v>867393.60051137418</v>
      </c>
      <c r="Q8" s="35">
        <v>310511.58880429826</v>
      </c>
      <c r="R8" s="35">
        <v>395070.88485431357</v>
      </c>
      <c r="S8" s="35">
        <v>253210.74636373157</v>
      </c>
      <c r="T8" s="35">
        <v>-76488.244928611952</v>
      </c>
      <c r="U8" s="36">
        <v>6647999.2635663971</v>
      </c>
    </row>
    <row r="9" spans="1:23" x14ac:dyDescent="0.25">
      <c r="A9" s="95"/>
      <c r="B9" s="100">
        <v>2003</v>
      </c>
      <c r="C9" s="16" t="s">
        <v>28</v>
      </c>
      <c r="D9" s="2">
        <v>252936.79126927321</v>
      </c>
      <c r="E9" s="2">
        <v>20851.582097956962</v>
      </c>
      <c r="F9" s="2">
        <v>304845.65101329354</v>
      </c>
      <c r="G9" s="2">
        <v>12647.069397947491</v>
      </c>
      <c r="H9" s="2">
        <v>81801.342348221835</v>
      </c>
      <c r="I9" s="2">
        <v>14183.696731980601</v>
      </c>
      <c r="J9" s="2">
        <v>155887.1533123421</v>
      </c>
      <c r="K9" s="2">
        <v>161932.5162730329</v>
      </c>
      <c r="L9" s="2">
        <v>15780.124795487429</v>
      </c>
      <c r="M9" s="2">
        <v>65217.623661295183</v>
      </c>
      <c r="N9" s="2">
        <v>21409.269032458236</v>
      </c>
      <c r="O9" s="2">
        <v>27534.652487242602</v>
      </c>
      <c r="P9" s="2">
        <v>175368.13111285141</v>
      </c>
      <c r="Q9" s="2">
        <v>60308.589444269681</v>
      </c>
      <c r="R9" s="2">
        <v>74684.033605354227</v>
      </c>
      <c r="S9" s="2">
        <v>55168.090435592327</v>
      </c>
      <c r="T9" s="2">
        <v>-19054.367563513184</v>
      </c>
      <c r="U9" s="23">
        <v>1553375.0336050759</v>
      </c>
    </row>
    <row r="10" spans="1:23" x14ac:dyDescent="0.25">
      <c r="A10" s="95"/>
      <c r="B10" s="100"/>
      <c r="C10" s="16" t="s">
        <v>29</v>
      </c>
      <c r="D10" s="2">
        <v>325152.2309250799</v>
      </c>
      <c r="E10" s="2">
        <v>17835.732278672895</v>
      </c>
      <c r="F10" s="2">
        <v>289596.4917088839</v>
      </c>
      <c r="G10" s="2">
        <v>15184.671762154367</v>
      </c>
      <c r="H10" s="2">
        <v>85093.411492616753</v>
      </c>
      <c r="I10" s="2">
        <v>14578.15945825762</v>
      </c>
      <c r="J10" s="2">
        <v>146117.17763719684</v>
      </c>
      <c r="K10" s="2">
        <v>197920.30390792602</v>
      </c>
      <c r="L10" s="2">
        <v>34880.48587978664</v>
      </c>
      <c r="M10" s="2">
        <v>68624.714198299567</v>
      </c>
      <c r="N10" s="2">
        <v>22044.721337567262</v>
      </c>
      <c r="O10" s="2">
        <v>33242.507331652458</v>
      </c>
      <c r="P10" s="2">
        <v>178972.6564715665</v>
      </c>
      <c r="Q10" s="2">
        <v>68900.168269224305</v>
      </c>
      <c r="R10" s="2">
        <v>97862.770103729126</v>
      </c>
      <c r="S10" s="2">
        <v>59261.36756227335</v>
      </c>
      <c r="T10" s="2">
        <v>-18735.932692396</v>
      </c>
      <c r="U10" s="23">
        <v>1592816.3769559879</v>
      </c>
    </row>
    <row r="11" spans="1:23" x14ac:dyDescent="0.25">
      <c r="A11" s="95"/>
      <c r="B11" s="100"/>
      <c r="C11" s="16" t="s">
        <v>30</v>
      </c>
      <c r="D11" s="2">
        <v>176676.7556931217</v>
      </c>
      <c r="E11" s="2">
        <v>16801.624372282</v>
      </c>
      <c r="F11" s="2">
        <v>299463.70973937452</v>
      </c>
      <c r="G11" s="2">
        <v>19181.875954009392</v>
      </c>
      <c r="H11" s="2">
        <v>89879.449752261702</v>
      </c>
      <c r="I11" s="2">
        <v>12558.001552862779</v>
      </c>
      <c r="J11" s="2">
        <v>169203.1224257001</v>
      </c>
      <c r="K11" s="2">
        <v>229401.70877665849</v>
      </c>
      <c r="L11" s="2">
        <v>45556.034300345455</v>
      </c>
      <c r="M11" s="2">
        <v>80170.61674392104</v>
      </c>
      <c r="N11" s="2">
        <v>21754.90238397455</v>
      </c>
      <c r="O11" s="2">
        <v>44932.474077330538</v>
      </c>
      <c r="P11" s="2">
        <v>200765.45690599456</v>
      </c>
      <c r="Q11" s="2">
        <v>87500.932907935014</v>
      </c>
      <c r="R11" s="2">
        <v>112777.54026291244</v>
      </c>
      <c r="S11" s="2">
        <v>63199.018001705292</v>
      </c>
      <c r="T11" s="2">
        <v>-18308.961891595522</v>
      </c>
      <c r="U11" s="23">
        <v>1661391.3299936743</v>
      </c>
    </row>
    <row r="12" spans="1:23" x14ac:dyDescent="0.25">
      <c r="A12" s="95"/>
      <c r="B12" s="101"/>
      <c r="C12" s="28" t="s">
        <v>31</v>
      </c>
      <c r="D12" s="20">
        <v>113492.06273366055</v>
      </c>
      <c r="E12" s="20">
        <v>28285.416070412793</v>
      </c>
      <c r="F12" s="20">
        <v>299966.86616017844</v>
      </c>
      <c r="G12" s="20">
        <v>16188.743452458919</v>
      </c>
      <c r="H12" s="20">
        <v>108329.5162575482</v>
      </c>
      <c r="I12" s="20">
        <v>12998.346990344238</v>
      </c>
      <c r="J12" s="20">
        <v>165558.84377410152</v>
      </c>
      <c r="K12" s="20">
        <v>251605.54458584974</v>
      </c>
      <c r="L12" s="20">
        <v>53549.034462914504</v>
      </c>
      <c r="M12" s="20">
        <v>81115.88465439326</v>
      </c>
      <c r="N12" s="20">
        <v>24556.639699638428</v>
      </c>
      <c r="O12" s="20">
        <v>50617.162332439577</v>
      </c>
      <c r="P12" s="20">
        <v>312287.35602096171</v>
      </c>
      <c r="Q12" s="20">
        <v>93801.898182869249</v>
      </c>
      <c r="R12" s="20">
        <v>109746.54088231779</v>
      </c>
      <c r="S12" s="20">
        <v>75582.270364160591</v>
      </c>
      <c r="T12" s="20">
        <v>-20388.982781107243</v>
      </c>
      <c r="U12" s="24">
        <v>1840416.5230116588</v>
      </c>
    </row>
    <row r="13" spans="1:23" x14ac:dyDescent="0.25">
      <c r="A13" s="95"/>
      <c r="B13" s="60"/>
      <c r="C13" s="53" t="s">
        <v>51</v>
      </c>
      <c r="D13" s="35">
        <v>952428.53279756068</v>
      </c>
      <c r="E13" s="35">
        <v>89123.937996119756</v>
      </c>
      <c r="F13" s="35">
        <v>1358096.9056582386</v>
      </c>
      <c r="G13" s="35">
        <v>67931.83694571114</v>
      </c>
      <c r="H13" s="35">
        <v>437606.82786001521</v>
      </c>
      <c r="I13" s="35">
        <v>61980.151134642612</v>
      </c>
      <c r="J13" s="35">
        <v>789207.53403467883</v>
      </c>
      <c r="K13" s="35">
        <v>893128.5386129336</v>
      </c>
      <c r="L13" s="35">
        <v>178355.29723532955</v>
      </c>
      <c r="M13" s="35">
        <v>315937.04673868627</v>
      </c>
      <c r="N13" s="35">
        <v>92978.779301005328</v>
      </c>
      <c r="O13" s="35">
        <v>161581.28678679781</v>
      </c>
      <c r="P13" s="35">
        <v>954251.62572485115</v>
      </c>
      <c r="Q13" s="35">
        <v>317519.66237506882</v>
      </c>
      <c r="R13" s="35">
        <v>446152.60861620889</v>
      </c>
      <c r="S13" s="35">
        <v>263895.79728988779</v>
      </c>
      <c r="T13" s="35">
        <v>-85374.781194947907</v>
      </c>
      <c r="U13" s="36">
        <v>7407191.6976643661</v>
      </c>
    </row>
    <row r="14" spans="1:23" x14ac:dyDescent="0.25">
      <c r="A14" s="95"/>
      <c r="B14" s="100">
        <v>2004</v>
      </c>
      <c r="C14" s="16" t="s">
        <v>28</v>
      </c>
      <c r="D14" s="2">
        <v>279094.98168234056</v>
      </c>
      <c r="E14" s="2">
        <v>22631.402711879346</v>
      </c>
      <c r="F14" s="2">
        <v>343468.79264995886</v>
      </c>
      <c r="G14" s="2">
        <v>15656.92002050384</v>
      </c>
      <c r="H14" s="2">
        <v>96006.978909124096</v>
      </c>
      <c r="I14" s="2">
        <v>14237.876116580406</v>
      </c>
      <c r="J14" s="2">
        <v>194396.90818619725</v>
      </c>
      <c r="K14" s="2">
        <v>194487.04637001138</v>
      </c>
      <c r="L14" s="2">
        <v>19107.014271277454</v>
      </c>
      <c r="M14" s="2">
        <v>68113.036014785423</v>
      </c>
      <c r="N14" s="2">
        <v>21777.986896366074</v>
      </c>
      <c r="O14" s="2">
        <v>33911.204688292419</v>
      </c>
      <c r="P14" s="2">
        <v>205290.95219488069</v>
      </c>
      <c r="Q14" s="2">
        <v>78472.667377348494</v>
      </c>
      <c r="R14" s="2">
        <v>94092.535951023805</v>
      </c>
      <c r="S14" s="2">
        <v>57441.6139745377</v>
      </c>
      <c r="T14" s="2">
        <v>-81742.835550019649</v>
      </c>
      <c r="U14" s="23">
        <v>1561623.296778264</v>
      </c>
    </row>
    <row r="15" spans="1:23" x14ac:dyDescent="0.25">
      <c r="A15" s="95"/>
      <c r="B15" s="100"/>
      <c r="C15" s="16" t="s">
        <v>29</v>
      </c>
      <c r="D15" s="2">
        <v>356903.03638444905</v>
      </c>
      <c r="E15" s="2">
        <v>19202.378492809985</v>
      </c>
      <c r="F15" s="2">
        <v>329944.56549364398</v>
      </c>
      <c r="G15" s="2">
        <v>16431.81329084589</v>
      </c>
      <c r="H15" s="2">
        <v>104260.84611856603</v>
      </c>
      <c r="I15" s="2">
        <v>16074.289473715351</v>
      </c>
      <c r="J15" s="2">
        <v>183321.75652237612</v>
      </c>
      <c r="K15" s="2">
        <v>214709.96276456729</v>
      </c>
      <c r="L15" s="2">
        <v>43056.096249849441</v>
      </c>
      <c r="M15" s="2">
        <v>72915.642839975233</v>
      </c>
      <c r="N15" s="2">
        <v>22514.55331455739</v>
      </c>
      <c r="O15" s="2">
        <v>31584.591216078476</v>
      </c>
      <c r="P15" s="2">
        <v>191839.46318850698</v>
      </c>
      <c r="Q15" s="2">
        <v>78914.703941502536</v>
      </c>
      <c r="R15" s="2">
        <v>115030.99179723125</v>
      </c>
      <c r="S15" s="2">
        <v>65479.848199236381</v>
      </c>
      <c r="T15" s="2">
        <v>-1154.8422596414534</v>
      </c>
      <c r="U15" s="23">
        <v>1872844.9718706985</v>
      </c>
    </row>
    <row r="16" spans="1:23" x14ac:dyDescent="0.25">
      <c r="A16" s="95"/>
      <c r="B16" s="100"/>
      <c r="C16" s="16" t="s">
        <v>30</v>
      </c>
      <c r="D16" s="2">
        <v>192980.42970373694</v>
      </c>
      <c r="E16" s="2">
        <v>17831.825157495263</v>
      </c>
      <c r="F16" s="2">
        <v>342292.01988216327</v>
      </c>
      <c r="G16" s="2">
        <v>18049.641396419545</v>
      </c>
      <c r="H16" s="2">
        <v>110736.17860350713</v>
      </c>
      <c r="I16" s="2">
        <v>16369.257249805411</v>
      </c>
      <c r="J16" s="2">
        <v>210433.97953468139</v>
      </c>
      <c r="K16" s="2">
        <v>232400.22295423885</v>
      </c>
      <c r="L16" s="2">
        <v>55251.375435653332</v>
      </c>
      <c r="M16" s="2">
        <v>86438.758313461425</v>
      </c>
      <c r="N16" s="2">
        <v>22793.443925362059</v>
      </c>
      <c r="O16" s="2">
        <v>43926.245181725972</v>
      </c>
      <c r="P16" s="2">
        <v>232150.89882664458</v>
      </c>
      <c r="Q16" s="2">
        <v>79551.496252031473</v>
      </c>
      <c r="R16" s="2">
        <v>122707.65363154127</v>
      </c>
      <c r="S16" s="2">
        <v>56429.13134303494</v>
      </c>
      <c r="T16" s="2">
        <v>-1186.5570794308669</v>
      </c>
      <c r="U16" s="23">
        <v>1887734.5378871993</v>
      </c>
    </row>
    <row r="17" spans="1:21" x14ac:dyDescent="0.25">
      <c r="A17" s="95"/>
      <c r="B17" s="101"/>
      <c r="C17" s="28" t="s">
        <v>31</v>
      </c>
      <c r="D17" s="20">
        <v>123450.08502703413</v>
      </c>
      <c r="E17" s="20">
        <v>29458.331633935162</v>
      </c>
      <c r="F17" s="20">
        <v>342391.52763247251</v>
      </c>
      <c r="G17" s="20">
        <v>17793.462237941858</v>
      </c>
      <c r="H17" s="20">
        <v>126602.82422881793</v>
      </c>
      <c r="I17" s="20">
        <v>15298.728294541452</v>
      </c>
      <c r="J17" s="20">
        <v>201054.88979142401</v>
      </c>
      <c r="K17" s="20">
        <v>251531.30652411614</v>
      </c>
      <c r="L17" s="20">
        <v>60940.811278549307</v>
      </c>
      <c r="M17" s="20">
        <v>88469.609570464163</v>
      </c>
      <c r="N17" s="20">
        <v>25892.795164719802</v>
      </c>
      <c r="O17" s="20">
        <v>52159.245700700936</v>
      </c>
      <c r="P17" s="20">
        <v>324970.31151481881</v>
      </c>
      <c r="Q17" s="20">
        <v>80580.794804186342</v>
      </c>
      <c r="R17" s="20">
        <v>114321.42723641255</v>
      </c>
      <c r="S17" s="20">
        <v>84545.203773078785</v>
      </c>
      <c r="T17" s="20">
        <v>-1290.5463058559249</v>
      </c>
      <c r="U17" s="24">
        <v>2084988.8911282036</v>
      </c>
    </row>
    <row r="18" spans="1:21" x14ac:dyDescent="0.25">
      <c r="A18" s="95"/>
      <c r="B18" s="60"/>
      <c r="C18" s="53" t="s">
        <v>51</v>
      </c>
      <c r="D18" s="35">
        <v>993536.48015628615</v>
      </c>
      <c r="E18" s="35">
        <v>93522.239053461715</v>
      </c>
      <c r="F18" s="35">
        <v>1701108.348535388</v>
      </c>
      <c r="G18" s="35">
        <v>56672.232496242301</v>
      </c>
      <c r="H18" s="35">
        <v>472383.81409475778</v>
      </c>
      <c r="I18" s="35">
        <v>66642.358822868409</v>
      </c>
      <c r="J18" s="35">
        <v>892236.87283618189</v>
      </c>
      <c r="K18" s="35">
        <v>985444.79950492992</v>
      </c>
      <c r="L18" s="35">
        <v>167958.74359758949</v>
      </c>
      <c r="M18" s="35">
        <v>347568.75383729138</v>
      </c>
      <c r="N18" s="35">
        <v>74757.387247285515</v>
      </c>
      <c r="O18" s="35">
        <v>195110.40235313459</v>
      </c>
      <c r="P18" s="35">
        <v>1074420.772494474</v>
      </c>
      <c r="Q18" s="35">
        <v>333259.87910153728</v>
      </c>
      <c r="R18" s="35">
        <v>476853.60562275338</v>
      </c>
      <c r="S18" s="35">
        <v>292024.25291784317</v>
      </c>
      <c r="T18" s="35">
        <v>-91477.78327040741</v>
      </c>
      <c r="U18" s="36">
        <v>8455663.2040149719</v>
      </c>
    </row>
    <row r="19" spans="1:21" x14ac:dyDescent="0.25">
      <c r="A19" s="95"/>
      <c r="B19" s="100">
        <v>2005</v>
      </c>
      <c r="C19" s="16" t="s">
        <v>28</v>
      </c>
      <c r="D19" s="2">
        <v>290989.9009162733</v>
      </c>
      <c r="E19" s="2">
        <v>22965.843137812572</v>
      </c>
      <c r="F19" s="2">
        <v>434975.97000372905</v>
      </c>
      <c r="G19" s="2">
        <v>13654.908145992031</v>
      </c>
      <c r="H19" s="2">
        <v>107033.33035372315</v>
      </c>
      <c r="I19" s="2">
        <v>16228.674968585565</v>
      </c>
      <c r="J19" s="2">
        <v>227584.98207176357</v>
      </c>
      <c r="K19" s="2">
        <v>224847.3933308539</v>
      </c>
      <c r="L19" s="2">
        <v>19371.719244956508</v>
      </c>
      <c r="M19" s="2">
        <v>74898.892238524379</v>
      </c>
      <c r="N19" s="2">
        <v>21166.126609907627</v>
      </c>
      <c r="O19" s="2">
        <v>33944.593157595482</v>
      </c>
      <c r="P19" s="2">
        <v>240217.73655037215</v>
      </c>
      <c r="Q19" s="2">
        <v>81307.997373595834</v>
      </c>
      <c r="R19" s="2">
        <v>104827.20641134259</v>
      </c>
      <c r="S19" s="2">
        <v>67792.692445025692</v>
      </c>
      <c r="T19" s="2">
        <v>-2288.4875568709444</v>
      </c>
      <c r="U19" s="23">
        <v>2172002.3080186294</v>
      </c>
    </row>
    <row r="20" spans="1:21" x14ac:dyDescent="0.25">
      <c r="A20" s="95"/>
      <c r="B20" s="100"/>
      <c r="C20" s="16" t="s">
        <v>29</v>
      </c>
      <c r="D20" s="2">
        <v>369019.18562436034</v>
      </c>
      <c r="E20" s="2">
        <v>19510.867356221959</v>
      </c>
      <c r="F20" s="2">
        <v>416985.05197563209</v>
      </c>
      <c r="G20" s="2">
        <v>14973.455793327077</v>
      </c>
      <c r="H20" s="2">
        <v>112649.09033687273</v>
      </c>
      <c r="I20" s="2">
        <v>16501.888765395244</v>
      </c>
      <c r="J20" s="2">
        <v>208658.21217353584</v>
      </c>
      <c r="K20" s="2">
        <v>241406.88810655606</v>
      </c>
      <c r="L20" s="2">
        <v>40039.987985476182</v>
      </c>
      <c r="M20" s="2">
        <v>80458.182651398965</v>
      </c>
      <c r="N20" s="2">
        <v>18840.223116090245</v>
      </c>
      <c r="O20" s="2">
        <v>41507.004711457797</v>
      </c>
      <c r="P20" s="2">
        <v>224915.31627190171</v>
      </c>
      <c r="Q20" s="2">
        <v>82457.020954892912</v>
      </c>
      <c r="R20" s="2">
        <v>121459.3253108755</v>
      </c>
      <c r="S20" s="2">
        <v>68875.286598888779</v>
      </c>
      <c r="T20" s="2">
        <v>-2432.1554480633777</v>
      </c>
      <c r="U20" s="23">
        <v>2150895.430305657</v>
      </c>
    </row>
    <row r="21" spans="1:21" x14ac:dyDescent="0.25">
      <c r="A21" s="95"/>
      <c r="B21" s="100"/>
      <c r="C21" s="16" t="s">
        <v>30</v>
      </c>
      <c r="D21" s="2">
        <v>201503.65228962622</v>
      </c>
      <c r="E21" s="2">
        <v>18649.482345556815</v>
      </c>
      <c r="F21" s="2">
        <v>428079.65374992136</v>
      </c>
      <c r="G21" s="2">
        <v>15204.260100971836</v>
      </c>
      <c r="H21" s="2">
        <v>117695.45084939239</v>
      </c>
      <c r="I21" s="2">
        <v>16019.355249294009</v>
      </c>
      <c r="J21" s="2">
        <v>234635.61195735077</v>
      </c>
      <c r="K21" s="2">
        <v>253915.33616336065</v>
      </c>
      <c r="L21" s="2">
        <v>50158.343971286915</v>
      </c>
      <c r="M21" s="2">
        <v>95276.146624324305</v>
      </c>
      <c r="N21" s="2">
        <v>16534.429140537446</v>
      </c>
      <c r="O21" s="2">
        <v>53333.354033427757</v>
      </c>
      <c r="P21" s="2">
        <v>238475.92084996507</v>
      </c>
      <c r="Q21" s="2">
        <v>84041.555583458408</v>
      </c>
      <c r="R21" s="2">
        <v>128307.94044660356</v>
      </c>
      <c r="S21" s="2">
        <v>65696.629980646714</v>
      </c>
      <c r="T21" s="2">
        <v>-2382.1297611632444</v>
      </c>
      <c r="U21" s="23">
        <v>2140017.6424912987</v>
      </c>
    </row>
    <row r="22" spans="1:21" x14ac:dyDescent="0.25">
      <c r="A22" s="95"/>
      <c r="B22" s="101"/>
      <c r="C22" s="28" t="s">
        <v>31</v>
      </c>
      <c r="D22" s="20">
        <v>132023.74132602636</v>
      </c>
      <c r="E22" s="20">
        <v>32396.046213870377</v>
      </c>
      <c r="F22" s="20">
        <v>421067.67280610563</v>
      </c>
      <c r="G22" s="20">
        <v>12839.608455951353</v>
      </c>
      <c r="H22" s="20">
        <v>135005.94255476948</v>
      </c>
      <c r="I22" s="20">
        <v>17892.4398395936</v>
      </c>
      <c r="J22" s="20">
        <v>221358.06663353165</v>
      </c>
      <c r="K22" s="20">
        <v>265275.18190415937</v>
      </c>
      <c r="L22" s="20">
        <v>58388.692395869883</v>
      </c>
      <c r="M22" s="20">
        <v>96935.532323043735</v>
      </c>
      <c r="N22" s="20">
        <v>18216.608380750196</v>
      </c>
      <c r="O22" s="20">
        <v>66325.450450653545</v>
      </c>
      <c r="P22" s="20">
        <v>370811.79882223514</v>
      </c>
      <c r="Q22" s="20">
        <v>85453.305189590144</v>
      </c>
      <c r="R22" s="20">
        <v>122259.13345393175</v>
      </c>
      <c r="S22" s="20">
        <v>89659.643893281987</v>
      </c>
      <c r="T22" s="20">
        <v>-84375.010504309845</v>
      </c>
      <c r="U22" s="24">
        <v>1992747.8231993867</v>
      </c>
    </row>
    <row r="23" spans="1:21" x14ac:dyDescent="0.25">
      <c r="A23" s="95"/>
      <c r="B23" s="60"/>
      <c r="C23" s="53" t="s">
        <v>51</v>
      </c>
      <c r="D23" s="35">
        <v>1126570.0455938042</v>
      </c>
      <c r="E23" s="35">
        <v>114368.19402471493</v>
      </c>
      <c r="F23" s="35">
        <v>1921730.9882643742</v>
      </c>
      <c r="G23" s="35">
        <v>72864.228186091597</v>
      </c>
      <c r="H23" s="35">
        <v>510743.08425762452</v>
      </c>
      <c r="I23" s="35">
        <v>80540.682062924723</v>
      </c>
      <c r="J23" s="35">
        <v>992086.79026161775</v>
      </c>
      <c r="K23" s="35">
        <v>1027321.1292604981</v>
      </c>
      <c r="L23" s="35">
        <v>212988.13647543374</v>
      </c>
      <c r="M23" s="35">
        <v>371767.13102030731</v>
      </c>
      <c r="N23" s="35">
        <v>82767.776226955946</v>
      </c>
      <c r="O23" s="35">
        <v>228599.76204462731</v>
      </c>
      <c r="P23" s="35">
        <v>1204399.8427236183</v>
      </c>
      <c r="Q23" s="35">
        <v>354415.51583029126</v>
      </c>
      <c r="R23" s="35">
        <v>545240.02964475611</v>
      </c>
      <c r="S23" s="35">
        <v>310658.83583344769</v>
      </c>
      <c r="T23" s="35">
        <v>-101936.95389480985</v>
      </c>
      <c r="U23" s="36">
        <v>9456967.4408173636</v>
      </c>
    </row>
    <row r="24" spans="1:21" x14ac:dyDescent="0.25">
      <c r="A24" s="95"/>
      <c r="B24" s="100">
        <v>2006</v>
      </c>
      <c r="C24" s="16" t="s">
        <v>28</v>
      </c>
      <c r="D24" s="2">
        <v>325826.78456572047</v>
      </c>
      <c r="E24" s="2">
        <v>27386.507825585541</v>
      </c>
      <c r="F24" s="2">
        <v>488918.00434613298</v>
      </c>
      <c r="G24" s="2">
        <v>17477.840308552368</v>
      </c>
      <c r="H24" s="2">
        <v>116223.43353199745</v>
      </c>
      <c r="I24" s="2">
        <v>19118.433155107821</v>
      </c>
      <c r="J24" s="2">
        <v>249185.81424132219</v>
      </c>
      <c r="K24" s="2">
        <v>241832.38511397081</v>
      </c>
      <c r="L24" s="2">
        <v>21361.029287510213</v>
      </c>
      <c r="M24" s="2">
        <v>81214.973960980744</v>
      </c>
      <c r="N24" s="2">
        <v>18126.736585769537</v>
      </c>
      <c r="O24" s="2">
        <v>37136.016067923905</v>
      </c>
      <c r="P24" s="2">
        <v>247422.28713738389</v>
      </c>
      <c r="Q24" s="2">
        <v>84600.131942506967</v>
      </c>
      <c r="R24" s="2">
        <v>125129.91436586501</v>
      </c>
      <c r="S24" s="2">
        <v>62022.120965587404</v>
      </c>
      <c r="T24" s="2">
        <v>-19622.932852647398</v>
      </c>
      <c r="U24" s="23">
        <v>2329559.3258768329</v>
      </c>
    </row>
    <row r="25" spans="1:21" x14ac:dyDescent="0.25">
      <c r="A25" s="95"/>
      <c r="B25" s="100"/>
      <c r="C25" s="16" t="s">
        <v>29</v>
      </c>
      <c r="D25" s="2">
        <v>422432.23407345457</v>
      </c>
      <c r="E25" s="2">
        <v>24263.330037072814</v>
      </c>
      <c r="F25" s="2">
        <v>465179.30502013839</v>
      </c>
      <c r="G25" s="2">
        <v>16971.207020009686</v>
      </c>
      <c r="H25" s="2">
        <v>122217.09422237241</v>
      </c>
      <c r="I25" s="2">
        <v>19403.974524077174</v>
      </c>
      <c r="J25" s="2">
        <v>229557.3831674502</v>
      </c>
      <c r="K25" s="2">
        <v>249714.38937387269</v>
      </c>
      <c r="L25" s="2">
        <v>49485.662984518043</v>
      </c>
      <c r="M25" s="2">
        <v>86446.649727148091</v>
      </c>
      <c r="N25" s="2">
        <v>20050.023100207851</v>
      </c>
      <c r="O25" s="2">
        <v>40590.493438391757</v>
      </c>
      <c r="P25" s="2">
        <v>277880.68335515301</v>
      </c>
      <c r="Q25" s="2">
        <v>85874.896249917569</v>
      </c>
      <c r="R25" s="2">
        <v>144508.65507107382</v>
      </c>
      <c r="S25" s="2">
        <v>67189.652815096124</v>
      </c>
      <c r="T25" s="2">
        <v>-20646.574128139342</v>
      </c>
      <c r="U25" s="23">
        <v>2308646.6229638113</v>
      </c>
    </row>
    <row r="26" spans="1:21" x14ac:dyDescent="0.25">
      <c r="A26" s="95"/>
      <c r="B26" s="100"/>
      <c r="C26" s="16" t="s">
        <v>30</v>
      </c>
      <c r="D26" s="2">
        <v>230446.13951349803</v>
      </c>
      <c r="E26" s="2">
        <v>23283.687650595111</v>
      </c>
      <c r="F26" s="2">
        <v>484892.84810966294</v>
      </c>
      <c r="G26" s="2">
        <v>19513.612102565199</v>
      </c>
      <c r="H26" s="2">
        <v>127080.95180897953</v>
      </c>
      <c r="I26" s="2">
        <v>19432.074546883887</v>
      </c>
      <c r="J26" s="2">
        <v>261484.11838663617</v>
      </c>
      <c r="K26" s="2">
        <v>260205.74431208847</v>
      </c>
      <c r="L26" s="2">
        <v>65859.84115388956</v>
      </c>
      <c r="M26" s="2">
        <v>101538.82099260736</v>
      </c>
      <c r="N26" s="2">
        <v>20745.231452965723</v>
      </c>
      <c r="O26" s="2">
        <v>61039.73638444399</v>
      </c>
      <c r="P26" s="2">
        <v>248724.87583447012</v>
      </c>
      <c r="Q26" s="2">
        <v>86919.998074993928</v>
      </c>
      <c r="R26" s="2">
        <v>146555.02938852063</v>
      </c>
      <c r="S26" s="2">
        <v>77578.537996503132</v>
      </c>
      <c r="T26" s="2">
        <v>-22223.698371633116</v>
      </c>
      <c r="U26" s="23">
        <v>2319490.8436358226</v>
      </c>
    </row>
    <row r="27" spans="1:21" x14ac:dyDescent="0.25">
      <c r="A27" s="95"/>
      <c r="B27" s="101"/>
      <c r="C27" s="28" t="s">
        <v>31</v>
      </c>
      <c r="D27" s="20">
        <v>147864.88744113105</v>
      </c>
      <c r="E27" s="20">
        <v>39434.668511461474</v>
      </c>
      <c r="F27" s="20">
        <v>482740.83078843978</v>
      </c>
      <c r="G27" s="20">
        <v>18901.568754964348</v>
      </c>
      <c r="H27" s="20">
        <v>145221.60469427513</v>
      </c>
      <c r="I27" s="20">
        <v>22586.199836855849</v>
      </c>
      <c r="J27" s="20">
        <v>251859.47446620918</v>
      </c>
      <c r="K27" s="20">
        <v>275568.61046056607</v>
      </c>
      <c r="L27" s="20">
        <v>76281.603049515921</v>
      </c>
      <c r="M27" s="20">
        <v>102566.68633957111</v>
      </c>
      <c r="N27" s="20">
        <v>23845.785088012835</v>
      </c>
      <c r="O27" s="20">
        <v>89833.516153867648</v>
      </c>
      <c r="P27" s="20">
        <v>430371.99639661133</v>
      </c>
      <c r="Q27" s="20">
        <v>97020.489562872783</v>
      </c>
      <c r="R27" s="20">
        <v>129046.43081929669</v>
      </c>
      <c r="S27" s="20">
        <v>103868.52405626107</v>
      </c>
      <c r="T27" s="20">
        <v>-39443.748542389985</v>
      </c>
      <c r="U27" s="24">
        <v>2499270.6483408976</v>
      </c>
    </row>
    <row r="28" spans="1:21" x14ac:dyDescent="0.25">
      <c r="A28" s="95"/>
      <c r="B28" s="60"/>
      <c r="C28" s="53" t="s">
        <v>51</v>
      </c>
      <c r="D28" s="35">
        <v>1188292.8307008129</v>
      </c>
      <c r="E28" s="35">
        <v>121804.13739866983</v>
      </c>
      <c r="F28" s="35">
        <v>2337831.3713027933</v>
      </c>
      <c r="G28" s="35">
        <v>86786.286665574124</v>
      </c>
      <c r="H28" s="35">
        <v>529829.98194768792</v>
      </c>
      <c r="I28" s="35">
        <v>87553.297739763977</v>
      </c>
      <c r="J28" s="35">
        <v>1164426.3244442046</v>
      </c>
      <c r="K28" s="35">
        <v>1160342.8545422363</v>
      </c>
      <c r="L28" s="35">
        <v>234975.51680295402</v>
      </c>
      <c r="M28" s="35">
        <v>402561.61385725054</v>
      </c>
      <c r="N28" s="35">
        <v>90649.853345987285</v>
      </c>
      <c r="O28" s="35">
        <v>241339.61001111777</v>
      </c>
      <c r="P28" s="35">
        <v>1321874.0558149912</v>
      </c>
      <c r="Q28" s="35">
        <v>371975.3130046085</v>
      </c>
      <c r="R28" s="35">
        <v>481034.17487594474</v>
      </c>
      <c r="S28" s="35">
        <v>353397.70965064084</v>
      </c>
      <c r="T28" s="35">
        <v>-110071.52281561565</v>
      </c>
      <c r="U28" s="36">
        <v>10686627.50085219</v>
      </c>
    </row>
    <row r="29" spans="1:21" x14ac:dyDescent="0.25">
      <c r="A29" s="95"/>
      <c r="B29" s="100">
        <v>2007</v>
      </c>
      <c r="C29" s="16" t="s">
        <v>28</v>
      </c>
      <c r="D29" s="2">
        <v>351118.39784402633</v>
      </c>
      <c r="E29" s="2">
        <v>31168.400015930994</v>
      </c>
      <c r="F29" s="2">
        <v>595896.67308956583</v>
      </c>
      <c r="G29" s="2">
        <v>19612.76896628533</v>
      </c>
      <c r="H29" s="2">
        <v>122408.60254196642</v>
      </c>
      <c r="I29" s="2">
        <v>12680.442139416484</v>
      </c>
      <c r="J29" s="2">
        <v>291297.7852136835</v>
      </c>
      <c r="K29" s="2">
        <v>262462.17824309395</v>
      </c>
      <c r="L29" s="2">
        <v>25860.830352490168</v>
      </c>
      <c r="M29" s="2">
        <v>85380.098005920809</v>
      </c>
      <c r="N29" s="2">
        <v>20945.19589152154</v>
      </c>
      <c r="O29" s="2">
        <v>47125.502565540017</v>
      </c>
      <c r="P29" s="2">
        <v>290037.43933522771</v>
      </c>
      <c r="Q29" s="2">
        <v>90627.054059312562</v>
      </c>
      <c r="R29" s="2">
        <v>117101.95914952469</v>
      </c>
      <c r="S29" s="2">
        <v>89191.672912411494</v>
      </c>
      <c r="T29" s="2">
        <v>-27987.468360277497</v>
      </c>
      <c r="U29" s="23">
        <v>2658034.909494055</v>
      </c>
    </row>
    <row r="30" spans="1:21" x14ac:dyDescent="0.25">
      <c r="A30" s="95"/>
      <c r="B30" s="100"/>
      <c r="C30" s="16" t="s">
        <v>29</v>
      </c>
      <c r="D30" s="2">
        <v>443928.46152816975</v>
      </c>
      <c r="E30" s="2">
        <v>26238.315220405257</v>
      </c>
      <c r="F30" s="2">
        <v>568009.75933073636</v>
      </c>
      <c r="G30" s="2">
        <v>16649.152048697055</v>
      </c>
      <c r="H30" s="2">
        <v>126458.03844110646</v>
      </c>
      <c r="I30" s="2">
        <v>25063.449011537985</v>
      </c>
      <c r="J30" s="2">
        <v>271469.23612166243</v>
      </c>
      <c r="K30" s="2">
        <v>279038.87719694403</v>
      </c>
      <c r="L30" s="2">
        <v>56179.475204248411</v>
      </c>
      <c r="M30" s="2">
        <v>91614.220951555937</v>
      </c>
      <c r="N30" s="2">
        <v>21393.856140829615</v>
      </c>
      <c r="O30" s="2">
        <v>51617.035049730272</v>
      </c>
      <c r="P30" s="2">
        <v>293226.70868930285</v>
      </c>
      <c r="Q30" s="2">
        <v>91802.363447440963</v>
      </c>
      <c r="R30" s="2">
        <v>125239.89664463259</v>
      </c>
      <c r="S30" s="2">
        <v>86699.157968424057</v>
      </c>
      <c r="T30" s="2">
        <v>-14516.27846872555</v>
      </c>
      <c r="U30" s="23">
        <v>2626302.9261497408</v>
      </c>
    </row>
    <row r="31" spans="1:21" x14ac:dyDescent="0.25">
      <c r="A31" s="95"/>
      <c r="B31" s="100"/>
      <c r="C31" s="16" t="s">
        <v>30</v>
      </c>
      <c r="D31" s="2">
        <v>239488.28394604189</v>
      </c>
      <c r="E31" s="2">
        <v>24281.358203062722</v>
      </c>
      <c r="F31" s="2">
        <v>587099.19715917541</v>
      </c>
      <c r="G31" s="2">
        <v>22248.514871074334</v>
      </c>
      <c r="H31" s="2">
        <v>130562.23255369632</v>
      </c>
      <c r="I31" s="2">
        <v>24807.995065928892</v>
      </c>
      <c r="J31" s="2">
        <v>308756.37412444502</v>
      </c>
      <c r="K31" s="2">
        <v>298083.90484059963</v>
      </c>
      <c r="L31" s="2">
        <v>71585.101611285412</v>
      </c>
      <c r="M31" s="2">
        <v>110059.91770113546</v>
      </c>
      <c r="N31" s="2">
        <v>21763.257388645532</v>
      </c>
      <c r="O31" s="2">
        <v>65753.505037171766</v>
      </c>
      <c r="P31" s="2">
        <v>317818.7076404551</v>
      </c>
      <c r="Q31" s="2">
        <v>93581.494393398592</v>
      </c>
      <c r="R31" s="2">
        <v>124606.46570301842</v>
      </c>
      <c r="S31" s="2">
        <v>90215.896747172985</v>
      </c>
      <c r="T31" s="2">
        <v>-1526.1286096442</v>
      </c>
      <c r="U31" s="23">
        <v>2674965.7612048648</v>
      </c>
    </row>
    <row r="32" spans="1:21" x14ac:dyDescent="0.25">
      <c r="A32" s="95"/>
      <c r="B32" s="101"/>
      <c r="C32" s="28" t="s">
        <v>31</v>
      </c>
      <c r="D32" s="20">
        <v>153757.68738257486</v>
      </c>
      <c r="E32" s="20">
        <v>40116.063959270847</v>
      </c>
      <c r="F32" s="20">
        <v>586825.74172331567</v>
      </c>
      <c r="G32" s="20">
        <v>28275.850779517408</v>
      </c>
      <c r="H32" s="20">
        <v>150401.10841091877</v>
      </c>
      <c r="I32" s="20">
        <v>25001.411522880626</v>
      </c>
      <c r="J32" s="20">
        <v>292902.92898441351</v>
      </c>
      <c r="K32" s="20">
        <v>320757.8942615987</v>
      </c>
      <c r="L32" s="20">
        <v>81350.10963493005</v>
      </c>
      <c r="M32" s="20">
        <v>115507.37719863837</v>
      </c>
      <c r="N32" s="20">
        <v>26547.543924990587</v>
      </c>
      <c r="O32" s="20">
        <v>76843.567358675704</v>
      </c>
      <c r="P32" s="20">
        <v>420791.2001500054</v>
      </c>
      <c r="Q32" s="20">
        <v>95964.40110445641</v>
      </c>
      <c r="R32" s="20">
        <v>114085.85337876904</v>
      </c>
      <c r="S32" s="20">
        <v>87290.982022632321</v>
      </c>
      <c r="T32" s="20">
        <v>-66041.647376968409</v>
      </c>
      <c r="U32" s="24">
        <v>2727323.9040035279</v>
      </c>
    </row>
    <row r="33" spans="1:21" x14ac:dyDescent="0.25">
      <c r="A33" s="95"/>
      <c r="B33" s="60"/>
      <c r="C33" s="53" t="s">
        <v>51</v>
      </c>
      <c r="D33" s="35">
        <v>1259832.8682812622</v>
      </c>
      <c r="E33" s="35">
        <v>124485.09711417739</v>
      </c>
      <c r="F33" s="35">
        <v>2575625.920314067</v>
      </c>
      <c r="G33" s="35">
        <v>85153.114652608492</v>
      </c>
      <c r="H33" s="35">
        <v>550685.69836907648</v>
      </c>
      <c r="I33" s="35">
        <v>95875.890310901435</v>
      </c>
      <c r="J33" s="35">
        <v>1272284.9925790674</v>
      </c>
      <c r="K33" s="35">
        <v>1358858.4544749474</v>
      </c>
      <c r="L33" s="35">
        <v>257015.41162098132</v>
      </c>
      <c r="M33" s="35">
        <v>479041.85721074004</v>
      </c>
      <c r="N33" s="35">
        <v>125173.79870202151</v>
      </c>
      <c r="O33" s="35">
        <v>266381.4786027543</v>
      </c>
      <c r="P33" s="35">
        <v>1410577.0669909087</v>
      </c>
      <c r="Q33" s="35">
        <v>410615.23344654409</v>
      </c>
      <c r="R33" s="35">
        <v>507155.4406427794</v>
      </c>
      <c r="S33" s="35">
        <v>412375.41054402711</v>
      </c>
      <c r="T33" s="35">
        <v>-108442.46427794454</v>
      </c>
      <c r="U33" s="36">
        <v>11839355.115351811</v>
      </c>
    </row>
    <row r="34" spans="1:21" x14ac:dyDescent="0.25">
      <c r="A34" s="95"/>
      <c r="B34" s="100">
        <v>2008</v>
      </c>
      <c r="C34" s="16" t="s">
        <v>28</v>
      </c>
      <c r="D34" s="2">
        <v>370563.19971060107</v>
      </c>
      <c r="E34" s="2">
        <v>31443.450231284587</v>
      </c>
      <c r="F34" s="2">
        <v>658774.4015639642</v>
      </c>
      <c r="G34" s="2">
        <v>22384.442072568669</v>
      </c>
      <c r="H34" s="2">
        <v>127391.29889816276</v>
      </c>
      <c r="I34" s="2">
        <v>25157.044088278541</v>
      </c>
      <c r="J34" s="2">
        <v>329530.68144696264</v>
      </c>
      <c r="K34" s="2">
        <v>308997.72910986462</v>
      </c>
      <c r="L34" s="2">
        <v>27785.609762785905</v>
      </c>
      <c r="M34" s="2">
        <v>101326.93710666796</v>
      </c>
      <c r="N34" s="2">
        <v>26673.169780978973</v>
      </c>
      <c r="O34" s="2">
        <v>43600.991418870486</v>
      </c>
      <c r="P34" s="2">
        <v>254282.2832458074</v>
      </c>
      <c r="Q34" s="2">
        <v>96897.581386267542</v>
      </c>
      <c r="R34" s="2">
        <v>114401.69946414948</v>
      </c>
      <c r="S34" s="2">
        <v>81032.798356748506</v>
      </c>
      <c r="T34" s="2">
        <v>-21452.41518893875</v>
      </c>
      <c r="U34" s="23">
        <v>2916170.0712643089</v>
      </c>
    </row>
    <row r="35" spans="1:21" x14ac:dyDescent="0.25">
      <c r="A35" s="95"/>
      <c r="B35" s="100"/>
      <c r="C35" s="16" t="s">
        <v>29</v>
      </c>
      <c r="D35" s="2">
        <v>471928.64952259575</v>
      </c>
      <c r="E35" s="2">
        <v>26505.042844616219</v>
      </c>
      <c r="F35" s="2">
        <v>630002.68168879568</v>
      </c>
      <c r="G35" s="2">
        <v>23601.017121129204</v>
      </c>
      <c r="H35" s="2">
        <v>131196.68940948826</v>
      </c>
      <c r="I35" s="2">
        <v>20431.027669902498</v>
      </c>
      <c r="J35" s="2">
        <v>299456.426057317</v>
      </c>
      <c r="K35" s="2">
        <v>329761.21376449539</v>
      </c>
      <c r="L35" s="2">
        <v>60866.031225377214</v>
      </c>
      <c r="M35" s="2">
        <v>111156.19355589256</v>
      </c>
      <c r="N35" s="2">
        <v>29757.058228321592</v>
      </c>
      <c r="O35" s="2">
        <v>47283.245651025223</v>
      </c>
      <c r="P35" s="2">
        <v>284806.6297515952</v>
      </c>
      <c r="Q35" s="2">
        <v>100371.73214700706</v>
      </c>
      <c r="R35" s="2">
        <v>131732.6124087323</v>
      </c>
      <c r="S35" s="2">
        <v>106415.16855856701</v>
      </c>
      <c r="T35" s="2">
        <v>-44630.147953753651</v>
      </c>
      <c r="U35" s="23">
        <v>2789690.555685441</v>
      </c>
    </row>
    <row r="36" spans="1:21" x14ac:dyDescent="0.25">
      <c r="A36" s="95"/>
      <c r="B36" s="100"/>
      <c r="C36" s="16" t="s">
        <v>30</v>
      </c>
      <c r="D36" s="2">
        <v>254714.57483192653</v>
      </c>
      <c r="E36" s="2">
        <v>24797.510561116185</v>
      </c>
      <c r="F36" s="2">
        <v>646225.03427493724</v>
      </c>
      <c r="G36" s="2">
        <v>23816.48206514628</v>
      </c>
      <c r="H36" s="2">
        <v>135265.97392582221</v>
      </c>
      <c r="I36" s="2">
        <v>24922.616355486436</v>
      </c>
      <c r="J36" s="2">
        <v>333076.94193980197</v>
      </c>
      <c r="K36" s="2">
        <v>350318.51248696231</v>
      </c>
      <c r="L36" s="2">
        <v>78329.527276612134</v>
      </c>
      <c r="M36" s="2">
        <v>132610.72439925891</v>
      </c>
      <c r="N36" s="2">
        <v>31330.273445870494</v>
      </c>
      <c r="O36" s="2">
        <v>67425.599138088481</v>
      </c>
      <c r="P36" s="2">
        <v>349041.74556421046</v>
      </c>
      <c r="Q36" s="2">
        <v>104452.48498747838</v>
      </c>
      <c r="R36" s="2">
        <v>136307.02440559908</v>
      </c>
      <c r="S36" s="2">
        <v>113887.52492579518</v>
      </c>
      <c r="T36" s="2">
        <v>-35820.41338559729</v>
      </c>
      <c r="U36" s="23">
        <v>2864601.5821658848</v>
      </c>
    </row>
    <row r="37" spans="1:21" x14ac:dyDescent="0.25">
      <c r="A37" s="95"/>
      <c r="B37" s="101"/>
      <c r="C37" s="28" t="s">
        <v>31</v>
      </c>
      <c r="D37" s="20">
        <v>162626.44421613892</v>
      </c>
      <c r="E37" s="20">
        <v>41739.093477160415</v>
      </c>
      <c r="F37" s="20">
        <v>640623.80278636958</v>
      </c>
      <c r="G37" s="20">
        <v>15351.173393764351</v>
      </c>
      <c r="H37" s="20">
        <v>156831.73613560322</v>
      </c>
      <c r="I37" s="20">
        <v>25365.202197233957</v>
      </c>
      <c r="J37" s="20">
        <v>310220.94313498592</v>
      </c>
      <c r="K37" s="20">
        <v>369780.99911362526</v>
      </c>
      <c r="L37" s="20">
        <v>90034.243356206076</v>
      </c>
      <c r="M37" s="20">
        <v>133948.00214892061</v>
      </c>
      <c r="N37" s="20">
        <v>37413.297246850438</v>
      </c>
      <c r="O37" s="20">
        <v>108071.64239477014</v>
      </c>
      <c r="P37" s="20">
        <v>522446.40842929558</v>
      </c>
      <c r="Q37" s="20">
        <v>108893.43492579112</v>
      </c>
      <c r="R37" s="20">
        <v>124714.10436429856</v>
      </c>
      <c r="S37" s="20">
        <v>111039.91870291643</v>
      </c>
      <c r="T37" s="20">
        <v>-6539.4877496548479</v>
      </c>
      <c r="U37" s="24">
        <v>3268892.906236175</v>
      </c>
    </row>
    <row r="38" spans="1:21" x14ac:dyDescent="0.25">
      <c r="A38" s="95"/>
      <c r="B38" s="60"/>
      <c r="C38" s="53" t="s">
        <v>51</v>
      </c>
      <c r="D38" s="35">
        <v>1324525.4221527076</v>
      </c>
      <c r="E38" s="35">
        <v>133287.14014182519</v>
      </c>
      <c r="F38" s="35">
        <v>2415514.584877877</v>
      </c>
      <c r="G38" s="35">
        <v>88824.539485667759</v>
      </c>
      <c r="H38" s="35">
        <v>603047.393299927</v>
      </c>
      <c r="I38" s="35">
        <v>101523.06653007687</v>
      </c>
      <c r="J38" s="35">
        <v>1347059.0668233563</v>
      </c>
      <c r="K38" s="35">
        <v>1464867.7623167904</v>
      </c>
      <c r="L38" s="35">
        <v>290936.09760959167</v>
      </c>
      <c r="M38" s="35">
        <v>498690.5445560494</v>
      </c>
      <c r="N38" s="35">
        <v>151147.03620129102</v>
      </c>
      <c r="O38" s="35">
        <v>280278.08828892675</v>
      </c>
      <c r="P38" s="35">
        <v>1641413.5058117174</v>
      </c>
      <c r="Q38" s="35">
        <v>441742.73560350714</v>
      </c>
      <c r="R38" s="35">
        <v>531373.20013116591</v>
      </c>
      <c r="S38" s="35">
        <v>412375.41054402705</v>
      </c>
      <c r="T38" s="35">
        <v>-108442.46427794456</v>
      </c>
      <c r="U38" s="36">
        <v>12075619.995294185</v>
      </c>
    </row>
    <row r="39" spans="1:21" x14ac:dyDescent="0.25">
      <c r="A39" s="95"/>
      <c r="B39" s="100">
        <v>2009</v>
      </c>
      <c r="C39" s="16" t="s">
        <v>28</v>
      </c>
      <c r="D39" s="2">
        <v>387768.18696392386</v>
      </c>
      <c r="E39" s="2">
        <v>33719.498430303713</v>
      </c>
      <c r="F39" s="2">
        <v>610575.02970482071</v>
      </c>
      <c r="G39" s="2">
        <v>17293.646727064428</v>
      </c>
      <c r="H39" s="2">
        <v>136636.99254877426</v>
      </c>
      <c r="I39" s="2">
        <v>22546.327025273833</v>
      </c>
      <c r="J39" s="2">
        <v>344245.37717757793</v>
      </c>
      <c r="K39" s="2">
        <v>340764.50841220206</v>
      </c>
      <c r="L39" s="2">
        <v>31133.400078312647</v>
      </c>
      <c r="M39" s="2">
        <v>109813.55032622823</v>
      </c>
      <c r="N39" s="2">
        <v>35193.445165152021</v>
      </c>
      <c r="O39" s="2">
        <v>63299.243915818479</v>
      </c>
      <c r="P39" s="2">
        <v>335241.74809709634</v>
      </c>
      <c r="Q39" s="2">
        <v>97128.395142881898</v>
      </c>
      <c r="R39" s="2">
        <v>120610.11607909536</v>
      </c>
      <c r="S39" s="2">
        <v>114232.48139599305</v>
      </c>
      <c r="T39" s="2">
        <v>-8102.1083787990137</v>
      </c>
      <c r="U39" s="23">
        <v>2958010.1055545835</v>
      </c>
    </row>
    <row r="40" spans="1:21" x14ac:dyDescent="0.25">
      <c r="A40" s="95"/>
      <c r="B40" s="100"/>
      <c r="C40" s="16" t="s">
        <v>29</v>
      </c>
      <c r="D40" s="2">
        <v>493108.64103007043</v>
      </c>
      <c r="E40" s="2">
        <v>28764.992474749066</v>
      </c>
      <c r="F40" s="2">
        <v>589657.19885014126</v>
      </c>
      <c r="G40" s="2">
        <v>25973.424655247683</v>
      </c>
      <c r="H40" s="2">
        <v>143573.1604007445</v>
      </c>
      <c r="I40" s="2">
        <v>26571.430043944725</v>
      </c>
      <c r="J40" s="2">
        <v>313159.30380038865</v>
      </c>
      <c r="K40" s="2">
        <v>356442.86003884318</v>
      </c>
      <c r="L40" s="2">
        <v>68828.934336452498</v>
      </c>
      <c r="M40" s="2">
        <v>115481.26334907915</v>
      </c>
      <c r="N40" s="2">
        <v>37234.370970971955</v>
      </c>
      <c r="O40" s="2">
        <v>60974.851761661448</v>
      </c>
      <c r="P40" s="2">
        <v>357499.44471217261</v>
      </c>
      <c r="Q40" s="2">
        <v>110507.63412976771</v>
      </c>
      <c r="R40" s="2">
        <v>137123.39656719301</v>
      </c>
      <c r="S40" s="2">
        <v>91350.108582327899</v>
      </c>
      <c r="T40" s="2">
        <v>-15577.615019910081</v>
      </c>
      <c r="U40" s="23">
        <v>2974150.5674814396</v>
      </c>
    </row>
    <row r="41" spans="1:21" x14ac:dyDescent="0.25">
      <c r="A41" s="95"/>
      <c r="B41" s="100"/>
      <c r="C41" s="16" t="s">
        <v>30</v>
      </c>
      <c r="D41" s="2">
        <v>268723.75737549353</v>
      </c>
      <c r="E41" s="2">
        <v>26742.227035703061</v>
      </c>
      <c r="F41" s="2">
        <v>608868.98084111663</v>
      </c>
      <c r="G41" s="2">
        <v>23724.983574487851</v>
      </c>
      <c r="H41" s="2">
        <v>150978.1347650364</v>
      </c>
      <c r="I41" s="2">
        <v>25738.682061966596</v>
      </c>
      <c r="J41" s="2">
        <v>352852.90321443602</v>
      </c>
      <c r="K41" s="2">
        <v>373866.30451208528</v>
      </c>
      <c r="L41" s="2">
        <v>88930.171707168804</v>
      </c>
      <c r="M41" s="2">
        <v>135371.65319588187</v>
      </c>
      <c r="N41" s="2">
        <v>37196.751810107526</v>
      </c>
      <c r="O41" s="2">
        <v>85823.95872911012</v>
      </c>
      <c r="P41" s="2">
        <v>367193.89271679684</v>
      </c>
      <c r="Q41" s="2">
        <v>116010.24540133726</v>
      </c>
      <c r="R41" s="2">
        <v>142036.64211794574</v>
      </c>
      <c r="S41" s="2">
        <v>106892.41799047095</v>
      </c>
      <c r="T41" s="2">
        <v>-14821.290671938639</v>
      </c>
      <c r="U41" s="23">
        <v>3002247.8544811732</v>
      </c>
    </row>
    <row r="42" spans="1:21" x14ac:dyDescent="0.25">
      <c r="A42" s="95"/>
      <c r="B42" s="101"/>
      <c r="C42" s="28" t="s">
        <v>31</v>
      </c>
      <c r="D42" s="20">
        <v>174924.8367832198</v>
      </c>
      <c r="E42" s="20">
        <v>44060.422201069348</v>
      </c>
      <c r="F42" s="20">
        <v>606413.3754817982</v>
      </c>
      <c r="G42" s="20">
        <v>21832.484528867808</v>
      </c>
      <c r="H42" s="20">
        <v>171859.10558537181</v>
      </c>
      <c r="I42" s="20">
        <v>26666.627398891731</v>
      </c>
      <c r="J42" s="20">
        <v>336801.48263095372</v>
      </c>
      <c r="K42" s="20">
        <v>393794.08935365995</v>
      </c>
      <c r="L42" s="20">
        <v>102043.59148765773</v>
      </c>
      <c r="M42" s="20">
        <v>138024.07768486012</v>
      </c>
      <c r="N42" s="20">
        <v>41522.468255059517</v>
      </c>
      <c r="O42" s="20">
        <v>70180.033882336706</v>
      </c>
      <c r="P42" s="20">
        <v>581478.42028565134</v>
      </c>
      <c r="Q42" s="20">
        <v>118096.46092952022</v>
      </c>
      <c r="R42" s="20">
        <v>131603.04536693185</v>
      </c>
      <c r="S42" s="20">
        <v>99900.402575235188</v>
      </c>
      <c r="T42" s="20">
        <v>-69941.450207296817</v>
      </c>
      <c r="U42" s="24">
        <v>3141211.4677769891</v>
      </c>
    </row>
    <row r="43" spans="1:21" x14ac:dyDescent="0.25">
      <c r="A43" s="95"/>
      <c r="B43" s="60"/>
      <c r="C43" s="53" t="s">
        <v>51</v>
      </c>
      <c r="D43" s="35">
        <v>1480320.7043246501</v>
      </c>
      <c r="E43" s="35">
        <v>134915.39307414321</v>
      </c>
      <c r="F43" s="35">
        <v>2359599.0554323876</v>
      </c>
      <c r="G43" s="35">
        <v>82472.754446068226</v>
      </c>
      <c r="H43" s="35">
        <v>658031.78753524588</v>
      </c>
      <c r="I43" s="35">
        <v>111504.05405268431</v>
      </c>
      <c r="J43" s="35">
        <v>1516300.9952532626</v>
      </c>
      <c r="K43" s="35">
        <v>1589829.9186625364</v>
      </c>
      <c r="L43" s="35">
        <v>323774.14196042373</v>
      </c>
      <c r="M43" s="35">
        <v>546469.80822619435</v>
      </c>
      <c r="N43" s="35">
        <v>161190.13819225001</v>
      </c>
      <c r="O43" s="35">
        <v>286841.56614309031</v>
      </c>
      <c r="P43" s="35">
        <v>1675047.6908622421</v>
      </c>
      <c r="Q43" s="35">
        <v>468289.0088154577</v>
      </c>
      <c r="R43" s="35">
        <v>589925.16792824236</v>
      </c>
      <c r="S43" s="35">
        <v>439304.81322255742</v>
      </c>
      <c r="T43" s="35">
        <v>-131654.72308984472</v>
      </c>
      <c r="U43" s="36">
        <v>12714862.952452743</v>
      </c>
    </row>
    <row r="44" spans="1:21" x14ac:dyDescent="0.25">
      <c r="A44" s="95"/>
      <c r="B44" s="100">
        <v>2010</v>
      </c>
      <c r="C44" s="16" t="s">
        <v>28</v>
      </c>
      <c r="D44" s="2">
        <v>429208.42031864624</v>
      </c>
      <c r="E44" s="2">
        <v>34043.054446663838</v>
      </c>
      <c r="F44" s="2">
        <v>618953.63534562138</v>
      </c>
      <c r="G44" s="2">
        <v>21757.964229721387</v>
      </c>
      <c r="H44" s="2">
        <v>147830.86616591163</v>
      </c>
      <c r="I44" s="2">
        <v>28264.060751242268</v>
      </c>
      <c r="J44" s="2">
        <v>386656.8942684129</v>
      </c>
      <c r="K44" s="2">
        <v>364306.39765192359</v>
      </c>
      <c r="L44" s="2">
        <v>35033.869621498357</v>
      </c>
      <c r="M44" s="2">
        <v>117199.40050167451</v>
      </c>
      <c r="N44" s="2">
        <v>35575.118789183252</v>
      </c>
      <c r="O44" s="2">
        <v>53916.544117750484</v>
      </c>
      <c r="P44" s="2">
        <v>363656.63281938643</v>
      </c>
      <c r="Q44" s="2">
        <v>112240.75473052944</v>
      </c>
      <c r="R44" s="2">
        <v>129949.07069225528</v>
      </c>
      <c r="S44" s="2">
        <v>82672.158419790969</v>
      </c>
      <c r="T44" s="2">
        <v>-1638.0509982017563</v>
      </c>
      <c r="U44" s="23">
        <v>3193635.8121534544</v>
      </c>
    </row>
    <row r="45" spans="1:21" x14ac:dyDescent="0.25">
      <c r="A45" s="95"/>
      <c r="B45" s="100"/>
      <c r="C45" s="16" t="s">
        <v>29</v>
      </c>
      <c r="D45" s="2">
        <v>554444.48979433835</v>
      </c>
      <c r="E45" s="2">
        <v>28533.828238854097</v>
      </c>
      <c r="F45" s="2">
        <v>600419.36073521245</v>
      </c>
      <c r="G45" s="2">
        <v>19788.766098090018</v>
      </c>
      <c r="H45" s="2">
        <v>156933.27106269411</v>
      </c>
      <c r="I45" s="2">
        <v>25965.086317418903</v>
      </c>
      <c r="J45" s="2">
        <v>356406.19953579182</v>
      </c>
      <c r="K45" s="2">
        <v>383902.14116830786</v>
      </c>
      <c r="L45" s="2">
        <v>76947.011049302455</v>
      </c>
      <c r="M45" s="2">
        <v>126250.24780622362</v>
      </c>
      <c r="N45" s="2">
        <v>36150.608714700538</v>
      </c>
      <c r="O45" s="2">
        <v>62210.359148114141</v>
      </c>
      <c r="P45" s="2">
        <v>396818.7244185842</v>
      </c>
      <c r="Q45" s="2">
        <v>116908.64528808577</v>
      </c>
      <c r="R45" s="2">
        <v>151420.53832921252</v>
      </c>
      <c r="S45" s="2">
        <v>99101.935765878763</v>
      </c>
      <c r="T45" s="2">
        <v>-5522.0699408585351</v>
      </c>
      <c r="U45" s="23">
        <v>3282721.9086245541</v>
      </c>
    </row>
    <row r="46" spans="1:21" x14ac:dyDescent="0.25">
      <c r="A46" s="95"/>
      <c r="B46" s="100"/>
      <c r="C46" s="16" t="s">
        <v>30</v>
      </c>
      <c r="D46" s="2">
        <v>302312.35053841147</v>
      </c>
      <c r="E46" s="2">
        <v>26783.008020750389</v>
      </c>
      <c r="F46" s="2">
        <v>594711.11917009973</v>
      </c>
      <c r="G46" s="2">
        <v>20993.894912739379</v>
      </c>
      <c r="H46" s="2">
        <v>165762.94393554039</v>
      </c>
      <c r="I46" s="2">
        <v>27295.988524771423</v>
      </c>
      <c r="J46" s="2">
        <v>399878.8952804695</v>
      </c>
      <c r="K46" s="2">
        <v>407088.97054378339</v>
      </c>
      <c r="L46" s="2">
        <v>98861.393289936226</v>
      </c>
      <c r="M46" s="2">
        <v>149943.99185446071</v>
      </c>
      <c r="N46" s="2">
        <v>38249.314258859675</v>
      </c>
      <c r="O46" s="2">
        <v>73608.726809152125</v>
      </c>
      <c r="P46" s="2">
        <v>409602.73961195973</v>
      </c>
      <c r="Q46" s="2">
        <v>119391.95887555685</v>
      </c>
      <c r="R46" s="2">
        <v>159581.7879789836</v>
      </c>
      <c r="S46" s="2">
        <v>126983.41605287873</v>
      </c>
      <c r="T46" s="2">
        <v>-3272.7912505615868</v>
      </c>
      <c r="U46" s="23">
        <v>3255125.6239321274</v>
      </c>
    </row>
    <row r="47" spans="1:21" x14ac:dyDescent="0.25">
      <c r="A47" s="95"/>
      <c r="B47" s="101"/>
      <c r="C47" s="28" t="s">
        <v>31</v>
      </c>
      <c r="D47" s="20">
        <v>194355.44367325387</v>
      </c>
      <c r="E47" s="20">
        <v>45555.502367874877</v>
      </c>
      <c r="F47" s="20">
        <v>545514.94018145371</v>
      </c>
      <c r="G47" s="20">
        <v>19932.129205517442</v>
      </c>
      <c r="H47" s="20">
        <v>187504.70637109978</v>
      </c>
      <c r="I47" s="20">
        <v>29978.918459251719</v>
      </c>
      <c r="J47" s="20">
        <v>373359.00616858836</v>
      </c>
      <c r="K47" s="20">
        <v>434532.40929852152</v>
      </c>
      <c r="L47" s="20">
        <v>112931.8679996867</v>
      </c>
      <c r="M47" s="20">
        <v>153076.16806383547</v>
      </c>
      <c r="N47" s="20">
        <v>51215.096429506557</v>
      </c>
      <c r="O47" s="20">
        <v>97105.93606807357</v>
      </c>
      <c r="P47" s="20">
        <v>504969.5940123116</v>
      </c>
      <c r="Q47" s="20">
        <v>119747.64992128566</v>
      </c>
      <c r="R47" s="20">
        <v>148973.77092779093</v>
      </c>
      <c r="S47" s="20">
        <v>130547.30298400897</v>
      </c>
      <c r="T47" s="20">
        <v>-121221.81090022283</v>
      </c>
      <c r="U47" s="24">
        <v>2983379.6077426081</v>
      </c>
    </row>
    <row r="48" spans="1:21" x14ac:dyDescent="0.25">
      <c r="A48" s="95"/>
      <c r="B48" s="60"/>
      <c r="C48" s="53" t="s">
        <v>51</v>
      </c>
      <c r="D48" s="35">
        <v>1582517.6979337926</v>
      </c>
      <c r="E48" s="35">
        <v>155112.22741734242</v>
      </c>
      <c r="F48" s="35">
        <v>2239390.624596661</v>
      </c>
      <c r="G48" s="35">
        <v>85246.367439983442</v>
      </c>
      <c r="H48" s="35">
        <v>722337.36729185935</v>
      </c>
      <c r="I48" s="35">
        <v>115800.20060504528</v>
      </c>
      <c r="J48" s="35">
        <v>1643656.4634657043</v>
      </c>
      <c r="K48" s="35">
        <v>1729416.9855211072</v>
      </c>
      <c r="L48" s="35">
        <v>342882.80017659185</v>
      </c>
      <c r="M48" s="35">
        <v>608404.22517527745</v>
      </c>
      <c r="N48" s="35">
        <v>290743.70884915808</v>
      </c>
      <c r="O48" s="35">
        <v>293107.52376238402</v>
      </c>
      <c r="P48" s="35">
        <v>1680731.4006793881</v>
      </c>
      <c r="Q48" s="35">
        <v>494066.00461136864</v>
      </c>
      <c r="R48" s="35">
        <v>645240.55692202167</v>
      </c>
      <c r="S48" s="35">
        <v>421022.49680838658</v>
      </c>
      <c r="T48" s="35">
        <v>-150953.19282655275</v>
      </c>
      <c r="U48" s="36">
        <v>13171818.547087964</v>
      </c>
    </row>
    <row r="49" spans="1:21" x14ac:dyDescent="0.25">
      <c r="A49" s="95"/>
      <c r="B49" s="100">
        <v>2011</v>
      </c>
      <c r="C49" s="16" t="s">
        <v>28</v>
      </c>
      <c r="D49" s="2">
        <v>465960.7422005405</v>
      </c>
      <c r="E49" s="2">
        <v>37566.720257197005</v>
      </c>
      <c r="F49" s="2">
        <v>560235.20620946842</v>
      </c>
      <c r="G49" s="2">
        <v>19937.825019992804</v>
      </c>
      <c r="H49" s="2">
        <v>163319.77018378736</v>
      </c>
      <c r="I49" s="2">
        <v>31074.206862196173</v>
      </c>
      <c r="J49" s="2">
        <v>412962.02085880912</v>
      </c>
      <c r="K49" s="2">
        <v>402661.35770310287</v>
      </c>
      <c r="L49" s="2">
        <v>38648.996459713911</v>
      </c>
      <c r="M49" s="2">
        <v>128758.77467982355</v>
      </c>
      <c r="N49" s="2">
        <v>58178.218321154403</v>
      </c>
      <c r="O49" s="2">
        <v>63515.775238221533</v>
      </c>
      <c r="P49" s="2">
        <v>368741.18591341935</v>
      </c>
      <c r="Q49" s="2">
        <v>117040.63088844887</v>
      </c>
      <c r="R49" s="2">
        <v>145712.1448475772</v>
      </c>
      <c r="S49" s="2">
        <v>97256.780151734143</v>
      </c>
      <c r="T49" s="2">
        <v>-2040.623250157312</v>
      </c>
      <c r="U49" s="23">
        <v>3254073.498760737</v>
      </c>
    </row>
    <row r="50" spans="1:21" x14ac:dyDescent="0.25">
      <c r="A50" s="95"/>
      <c r="B50" s="100"/>
      <c r="C50" s="16" t="s">
        <v>29</v>
      </c>
      <c r="D50" s="2">
        <v>591810.78903875081</v>
      </c>
      <c r="E50" s="2">
        <v>32825.331521802589</v>
      </c>
      <c r="F50" s="2">
        <v>507017.01166227809</v>
      </c>
      <c r="G50" s="2">
        <v>24104.98484269586</v>
      </c>
      <c r="H50" s="2">
        <v>172865.34333148127</v>
      </c>
      <c r="I50" s="2">
        <v>29580.555285757895</v>
      </c>
      <c r="J50" s="2">
        <v>377980.84697546472</v>
      </c>
      <c r="K50" s="2">
        <v>422383.54065997683</v>
      </c>
      <c r="L50" s="2">
        <v>84040.184386559922</v>
      </c>
      <c r="M50" s="2">
        <v>138857.11820837844</v>
      </c>
      <c r="N50" s="2">
        <v>69824.066369269247</v>
      </c>
      <c r="O50" s="2">
        <v>54345.106015688434</v>
      </c>
      <c r="P50" s="2">
        <v>352206.35700060072</v>
      </c>
      <c r="Q50" s="2">
        <v>120051.43405422461</v>
      </c>
      <c r="R50" s="2">
        <v>167147.64990218892</v>
      </c>
      <c r="S50" s="2">
        <v>110094.14178469949</v>
      </c>
      <c r="T50" s="2">
        <v>-1956.0763240183871</v>
      </c>
      <c r="U50" s="23">
        <v>3206726.3080118103</v>
      </c>
    </row>
    <row r="51" spans="1:21" x14ac:dyDescent="0.25">
      <c r="A51" s="95"/>
      <c r="B51" s="100"/>
      <c r="C51" s="16" t="s">
        <v>30</v>
      </c>
      <c r="D51" s="2">
        <v>319766.86294016015</v>
      </c>
      <c r="E51" s="2">
        <v>31379.493637277425</v>
      </c>
      <c r="F51" s="2">
        <v>570309.53804620588</v>
      </c>
      <c r="G51" s="2">
        <v>18352.810771999651</v>
      </c>
      <c r="H51" s="2">
        <v>181652.6216631179</v>
      </c>
      <c r="I51" s="2">
        <v>27794.333423239121</v>
      </c>
      <c r="J51" s="2">
        <v>431801.59405961487</v>
      </c>
      <c r="K51" s="2">
        <v>441757.30727445893</v>
      </c>
      <c r="L51" s="2">
        <v>105265.73252022546</v>
      </c>
      <c r="M51" s="2">
        <v>166773.94299532607</v>
      </c>
      <c r="N51" s="2">
        <v>75385.069275387737</v>
      </c>
      <c r="O51" s="2">
        <v>85935.939792549281</v>
      </c>
      <c r="P51" s="2">
        <v>405617.73010184261</v>
      </c>
      <c r="Q51" s="2">
        <v>125028.50737299882</v>
      </c>
      <c r="R51" s="2">
        <v>173320.36022303617</v>
      </c>
      <c r="S51" s="2">
        <v>107153.21592752931</v>
      </c>
      <c r="T51" s="2">
        <v>-3818.2026213283998</v>
      </c>
      <c r="U51" s="23">
        <v>3365910.7898875047</v>
      </c>
    </row>
    <row r="52" spans="1:21" x14ac:dyDescent="0.25">
      <c r="A52" s="95"/>
      <c r="B52" s="101"/>
      <c r="C52" s="28" t="s">
        <v>31</v>
      </c>
      <c r="D52" s="20">
        <v>204979.30375434138</v>
      </c>
      <c r="E52" s="20">
        <v>53340.682001065397</v>
      </c>
      <c r="F52" s="20">
        <v>601828.86867870879</v>
      </c>
      <c r="G52" s="20">
        <v>22850.746805295126</v>
      </c>
      <c r="H52" s="20">
        <v>204499.63211347273</v>
      </c>
      <c r="I52" s="20">
        <v>27351.105033852084</v>
      </c>
      <c r="J52" s="20">
        <v>420912.00157181564</v>
      </c>
      <c r="K52" s="20">
        <v>462614.77988356864</v>
      </c>
      <c r="L52" s="20">
        <v>114927.88681009252</v>
      </c>
      <c r="M52" s="20">
        <v>174014.38929174936</v>
      </c>
      <c r="N52" s="20">
        <v>87356.354883346721</v>
      </c>
      <c r="O52" s="20">
        <v>89310.702715924752</v>
      </c>
      <c r="P52" s="20">
        <v>554166.12766352517</v>
      </c>
      <c r="Q52" s="20">
        <v>131945.43229569637</v>
      </c>
      <c r="R52" s="20">
        <v>159060.40194921941</v>
      </c>
      <c r="S52" s="20">
        <v>106518.35894442363</v>
      </c>
      <c r="T52" s="20">
        <v>-143138.29063104864</v>
      </c>
      <c r="U52" s="24">
        <v>3345107.9504279122</v>
      </c>
    </row>
    <row r="53" spans="1:21" x14ac:dyDescent="0.25">
      <c r="A53" s="95"/>
      <c r="B53" s="60"/>
      <c r="C53" s="53" t="s">
        <v>51</v>
      </c>
      <c r="D53" s="35">
        <v>1677458.1613165329</v>
      </c>
      <c r="E53" s="35">
        <v>170216.94888447272</v>
      </c>
      <c r="F53" s="35">
        <v>2429715.0612392225</v>
      </c>
      <c r="G53" s="35">
        <v>83448.03462075186</v>
      </c>
      <c r="H53" s="35">
        <v>780178.31441520085</v>
      </c>
      <c r="I53" s="35">
        <v>127676.24598310598</v>
      </c>
      <c r="J53" s="35">
        <v>2036772.2375831245</v>
      </c>
      <c r="K53" s="35">
        <v>1850562.8048250955</v>
      </c>
      <c r="L53" s="35">
        <v>319727.96999416262</v>
      </c>
      <c r="M53" s="35">
        <v>673002.28241445229</v>
      </c>
      <c r="N53" s="35">
        <v>306837.35555861413</v>
      </c>
      <c r="O53" s="35">
        <v>294323.86498928571</v>
      </c>
      <c r="P53" s="35">
        <v>1740088.5540878328</v>
      </c>
      <c r="Q53" s="35">
        <v>595920.67676505493</v>
      </c>
      <c r="R53" s="35">
        <v>689523.32335556904</v>
      </c>
      <c r="S53" s="35">
        <v>412327.12688772345</v>
      </c>
      <c r="T53" s="35">
        <v>-162597.72683585779</v>
      </c>
      <c r="U53" s="36">
        <v>14291834.458233129</v>
      </c>
    </row>
    <row r="54" spans="1:21" x14ac:dyDescent="0.25">
      <c r="A54" s="95"/>
      <c r="B54" s="100">
        <v>2012</v>
      </c>
      <c r="C54" s="16" t="s">
        <v>28</v>
      </c>
      <c r="D54" s="2">
        <v>492751.2432323164</v>
      </c>
      <c r="E54" s="2">
        <v>42801.738357643146</v>
      </c>
      <c r="F54" s="2">
        <v>616865.7447746651</v>
      </c>
      <c r="G54" s="2">
        <v>20731.380676091088</v>
      </c>
      <c r="H54" s="2">
        <v>175004.65028984222</v>
      </c>
      <c r="I54" s="2">
        <v>33457.179840673707</v>
      </c>
      <c r="J54" s="2">
        <v>496015.17925209564</v>
      </c>
      <c r="K54" s="2">
        <v>439530.4642415017</v>
      </c>
      <c r="L54" s="2">
        <v>36731.878978230481</v>
      </c>
      <c r="M54" s="2">
        <v>151037.6935359246</v>
      </c>
      <c r="N54" s="2">
        <v>74926.319529383079</v>
      </c>
      <c r="O54" s="2">
        <v>56056.661152524313</v>
      </c>
      <c r="P54" s="2">
        <v>363695.48983166635</v>
      </c>
      <c r="Q54" s="2">
        <v>140704.91743958698</v>
      </c>
      <c r="R54" s="2">
        <v>159515.51898074293</v>
      </c>
      <c r="S54" s="2">
        <v>92721.728385521361</v>
      </c>
      <c r="T54" s="2">
        <v>-3743.1403332030509</v>
      </c>
      <c r="U54" s="23">
        <v>3507842.7637564982</v>
      </c>
    </row>
    <row r="55" spans="1:21" x14ac:dyDescent="0.25">
      <c r="A55" s="95"/>
      <c r="B55" s="100"/>
      <c r="C55" s="16" t="s">
        <v>29</v>
      </c>
      <c r="D55" s="2">
        <v>627454.39007844485</v>
      </c>
      <c r="E55" s="2">
        <v>36490.65777308528</v>
      </c>
      <c r="F55" s="2">
        <v>591612.34411566542</v>
      </c>
      <c r="G55" s="2">
        <v>20253.299006565601</v>
      </c>
      <c r="H55" s="2">
        <v>186363.1143879185</v>
      </c>
      <c r="I55" s="2">
        <v>32823.036153056077</v>
      </c>
      <c r="J55" s="2">
        <v>470521.04380186257</v>
      </c>
      <c r="K55" s="2">
        <v>455335.8013377405</v>
      </c>
      <c r="L55" s="2">
        <v>76288.431847230357</v>
      </c>
      <c r="M55" s="2">
        <v>161555.35098732522</v>
      </c>
      <c r="N55" s="2">
        <v>74293.97406700124</v>
      </c>
      <c r="O55" s="2">
        <v>64646.127299085179</v>
      </c>
      <c r="P55" s="2">
        <v>343383.80264092155</v>
      </c>
      <c r="Q55" s="2">
        <v>147697.11501203966</v>
      </c>
      <c r="R55" s="2">
        <v>180671.51153894834</v>
      </c>
      <c r="S55" s="2">
        <v>109602.03350434139</v>
      </c>
      <c r="T55" s="2">
        <v>-3508.4956298095594</v>
      </c>
      <c r="U55" s="23">
        <v>3634676.9028615733</v>
      </c>
    </row>
    <row r="56" spans="1:21" x14ac:dyDescent="0.25">
      <c r="A56" s="95"/>
      <c r="B56" s="100"/>
      <c r="C56" s="16" t="s">
        <v>30</v>
      </c>
      <c r="D56" s="2">
        <v>339556.23786810297</v>
      </c>
      <c r="E56" s="2">
        <v>34113.010107120564</v>
      </c>
      <c r="F56" s="2">
        <v>594051.97163289541</v>
      </c>
      <c r="G56" s="2">
        <v>21010.156348313027</v>
      </c>
      <c r="H56" s="2">
        <v>196673.32994419226</v>
      </c>
      <c r="I56" s="2">
        <v>30993.863762680368</v>
      </c>
      <c r="J56" s="2">
        <v>544459.29628719902</v>
      </c>
      <c r="K56" s="2">
        <v>469880.3055112405</v>
      </c>
      <c r="L56" s="2">
        <v>95781.433516038916</v>
      </c>
      <c r="M56" s="2">
        <v>184904.88501490268</v>
      </c>
      <c r="N56" s="2">
        <v>72761.078231055377</v>
      </c>
      <c r="O56" s="2">
        <v>97165.318990786967</v>
      </c>
      <c r="P56" s="2">
        <v>445078.0781492258</v>
      </c>
      <c r="Q56" s="2">
        <v>152472.15432289802</v>
      </c>
      <c r="R56" s="2">
        <v>183874.07321252525</v>
      </c>
      <c r="S56" s="2">
        <v>98991.46950493427</v>
      </c>
      <c r="T56" s="2">
        <v>-3281.5977172468656</v>
      </c>
      <c r="U56" s="23">
        <v>3566414.9166188985</v>
      </c>
    </row>
    <row r="57" spans="1:21" x14ac:dyDescent="0.25">
      <c r="A57" s="95"/>
      <c r="B57" s="101"/>
      <c r="C57" s="28" t="s">
        <v>31</v>
      </c>
      <c r="D57" s="20">
        <v>217696.29013766869</v>
      </c>
      <c r="E57" s="20">
        <v>56811.542646623733</v>
      </c>
      <c r="F57" s="20">
        <v>627185.00071599672</v>
      </c>
      <c r="G57" s="20">
        <v>21453.198589782147</v>
      </c>
      <c r="H57" s="20">
        <v>222137.21979324793</v>
      </c>
      <c r="I57" s="20">
        <v>30402.166226695834</v>
      </c>
      <c r="J57" s="20">
        <v>525776.71824196726</v>
      </c>
      <c r="K57" s="20">
        <v>485816.23373461294</v>
      </c>
      <c r="L57" s="20">
        <v>110926.22565266286</v>
      </c>
      <c r="M57" s="20">
        <v>175504.35287629973</v>
      </c>
      <c r="N57" s="20">
        <v>84855.983731174405</v>
      </c>
      <c r="O57" s="20">
        <v>76455.757546889232</v>
      </c>
      <c r="P57" s="20">
        <v>587931.18346601911</v>
      </c>
      <c r="Q57" s="20">
        <v>155046.48999053024</v>
      </c>
      <c r="R57" s="20">
        <v>165462.21962335255</v>
      </c>
      <c r="S57" s="20">
        <v>111011.89549292643</v>
      </c>
      <c r="T57" s="20">
        <v>-152064.49315559832</v>
      </c>
      <c r="U57" s="24">
        <v>3582899.8749961583</v>
      </c>
    </row>
    <row r="58" spans="1:21" x14ac:dyDescent="0.25">
      <c r="A58" s="95"/>
      <c r="B58" s="60"/>
      <c r="C58" s="53" t="s">
        <v>51</v>
      </c>
      <c r="D58" s="35">
        <v>1757923.4905648786</v>
      </c>
      <c r="E58" s="35">
        <v>174268.52198511292</v>
      </c>
      <c r="F58" s="35">
        <v>2409479.4169036481</v>
      </c>
      <c r="G58" s="35">
        <v>86840.974394954188</v>
      </c>
      <c r="H58" s="35">
        <v>841477.76517367526</v>
      </c>
      <c r="I58" s="35">
        <v>159970.54731050381</v>
      </c>
      <c r="J58" s="35">
        <v>2365679.9934769552</v>
      </c>
      <c r="K58" s="35">
        <v>1954391.7825206195</v>
      </c>
      <c r="L58" s="35">
        <v>378237.1764409875</v>
      </c>
      <c r="M58" s="35">
        <v>711717.88482594525</v>
      </c>
      <c r="N58" s="35">
        <v>362191.91042220977</v>
      </c>
      <c r="O58" s="35">
        <v>284453.67167523934</v>
      </c>
      <c r="P58" s="35">
        <v>1849292.1058275788</v>
      </c>
      <c r="Q58" s="35">
        <v>613797.89841219294</v>
      </c>
      <c r="R58" s="35">
        <v>719723.01142823033</v>
      </c>
      <c r="S58" s="35">
        <v>487814.67646702123</v>
      </c>
      <c r="T58" s="35">
        <v>-186653.65985044278</v>
      </c>
      <c r="U58" s="36">
        <v>14989713.495277826</v>
      </c>
    </row>
    <row r="59" spans="1:21" x14ac:dyDescent="0.25">
      <c r="A59" s="95"/>
      <c r="B59" s="100">
        <v>2013</v>
      </c>
      <c r="C59" s="16" t="s">
        <v>28</v>
      </c>
      <c r="D59" s="2">
        <v>525189.94787175872</v>
      </c>
      <c r="E59" s="2">
        <v>44741.697148733911</v>
      </c>
      <c r="F59" s="2">
        <v>603402.60023134213</v>
      </c>
      <c r="G59" s="2">
        <v>20529.96869438632</v>
      </c>
      <c r="H59" s="2">
        <v>192221.51972591228</v>
      </c>
      <c r="I59" s="2">
        <v>40197.040284912473</v>
      </c>
      <c r="J59" s="2">
        <v>603158.62377319369</v>
      </c>
      <c r="K59" s="2">
        <v>459825.9469922703</v>
      </c>
      <c r="L59" s="2">
        <v>39759.29304008466</v>
      </c>
      <c r="M59" s="2">
        <v>181996.50529293096</v>
      </c>
      <c r="N59" s="2">
        <v>81641.449521383824</v>
      </c>
      <c r="O59" s="2">
        <v>48968.018624350516</v>
      </c>
      <c r="P59" s="2">
        <v>419927.30432752031</v>
      </c>
      <c r="Q59" s="2">
        <v>155405.32278107243</v>
      </c>
      <c r="R59" s="2">
        <v>162926.89246703533</v>
      </c>
      <c r="S59" s="2">
        <v>110841.83892328788</v>
      </c>
      <c r="T59" s="2">
        <v>-2795.5904433252654</v>
      </c>
      <c r="U59" s="23">
        <v>3939099.5551469605</v>
      </c>
    </row>
    <row r="60" spans="1:21" x14ac:dyDescent="0.25">
      <c r="A60" s="95"/>
      <c r="B60" s="100"/>
      <c r="C60" s="16" t="s">
        <v>29</v>
      </c>
      <c r="D60" s="2">
        <v>662909.08473270631</v>
      </c>
      <c r="E60" s="2">
        <v>37567.914697859531</v>
      </c>
      <c r="F60" s="2">
        <v>609500.79272545269</v>
      </c>
      <c r="G60" s="2">
        <v>21104.310628593703</v>
      </c>
      <c r="H60" s="2">
        <v>204087.92063148943</v>
      </c>
      <c r="I60" s="2">
        <v>42947.188116472629</v>
      </c>
      <c r="J60" s="2">
        <v>555830.02895709884</v>
      </c>
      <c r="K60" s="2">
        <v>476508.23228169041</v>
      </c>
      <c r="L60" s="2">
        <v>89665.030445568889</v>
      </c>
      <c r="M60" s="2">
        <v>191190.9152774495</v>
      </c>
      <c r="N60" s="2">
        <v>88080.06411183301</v>
      </c>
      <c r="O60" s="2">
        <v>63095.804601634525</v>
      </c>
      <c r="P60" s="2">
        <v>384285.7982610318</v>
      </c>
      <c r="Q60" s="2">
        <v>154761.7247944448</v>
      </c>
      <c r="R60" s="2">
        <v>184897.31442498177</v>
      </c>
      <c r="S60" s="2">
        <v>113794.74884365474</v>
      </c>
      <c r="T60" s="2">
        <v>-9138.3661201841369</v>
      </c>
      <c r="U60" s="23">
        <v>3917081.6848815284</v>
      </c>
    </row>
    <row r="61" spans="1:21" x14ac:dyDescent="0.25">
      <c r="A61" s="95"/>
      <c r="B61" s="100"/>
      <c r="C61" s="16" t="s">
        <v>30</v>
      </c>
      <c r="D61" s="2">
        <v>351185.64347445627</v>
      </c>
      <c r="E61" s="2">
        <v>34702.465033102308</v>
      </c>
      <c r="F61" s="2">
        <v>612981.4415905911</v>
      </c>
      <c r="G61" s="2">
        <v>22537.423865074164</v>
      </c>
      <c r="H61" s="2">
        <v>212000.48410153671</v>
      </c>
      <c r="I61" s="2">
        <v>35650.864867980803</v>
      </c>
      <c r="J61" s="2">
        <v>623790.59876687475</v>
      </c>
      <c r="K61" s="2">
        <v>496699.5355564293</v>
      </c>
      <c r="L61" s="2">
        <v>116338.34970856135</v>
      </c>
      <c r="M61" s="2">
        <v>187072.55194980834</v>
      </c>
      <c r="N61" s="2">
        <v>89751.655953047928</v>
      </c>
      <c r="O61" s="2">
        <v>88179.74621072867</v>
      </c>
      <c r="P61" s="2">
        <v>445362.27183325926</v>
      </c>
      <c r="Q61" s="2">
        <v>153126.63159482743</v>
      </c>
      <c r="R61" s="2">
        <v>192204.32545580651</v>
      </c>
      <c r="S61" s="2">
        <v>116714.6066319988</v>
      </c>
      <c r="T61" s="2">
        <v>-132705.89397292887</v>
      </c>
      <c r="U61" s="23">
        <v>3256109.2745561088</v>
      </c>
    </row>
    <row r="62" spans="1:21" x14ac:dyDescent="0.25">
      <c r="A62" s="95"/>
      <c r="B62" s="101"/>
      <c r="C62" s="28" t="s">
        <v>31</v>
      </c>
      <c r="D62" s="20">
        <v>218638.81448595729</v>
      </c>
      <c r="E62" s="20">
        <v>57256.445105417166</v>
      </c>
      <c r="F62" s="20">
        <v>583594.58235626237</v>
      </c>
      <c r="G62" s="20">
        <v>22669.271206899997</v>
      </c>
      <c r="H62" s="20">
        <v>233167.84071473678</v>
      </c>
      <c r="I62" s="20">
        <v>41175.45404113792</v>
      </c>
      <c r="J62" s="20">
        <v>582900.74197978794</v>
      </c>
      <c r="K62" s="20">
        <v>521358.06769022957</v>
      </c>
      <c r="L62" s="20">
        <v>132474.50324677263</v>
      </c>
      <c r="M62" s="20">
        <v>151457.91230575644</v>
      </c>
      <c r="N62" s="20">
        <v>102718.74083594498</v>
      </c>
      <c r="O62" s="20">
        <v>84210.102238525666</v>
      </c>
      <c r="P62" s="20">
        <v>599716.7314057675</v>
      </c>
      <c r="Q62" s="20">
        <v>150504.21924184833</v>
      </c>
      <c r="R62" s="20">
        <v>179694.47908040675</v>
      </c>
      <c r="S62" s="20">
        <v>146463.48206807984</v>
      </c>
      <c r="T62" s="20">
        <v>-42013.809314004509</v>
      </c>
      <c r="U62" s="24">
        <v>3877422.9806932276</v>
      </c>
    </row>
    <row r="63" spans="1:21" x14ac:dyDescent="0.25">
      <c r="A63" s="95"/>
      <c r="B63" s="60"/>
      <c r="C63" s="53" t="s">
        <v>51</v>
      </c>
      <c r="D63" s="35">
        <v>1854141.950568177</v>
      </c>
      <c r="E63" s="35">
        <v>227697.38173422468</v>
      </c>
      <c r="F63" s="35">
        <v>2349826.8991428642</v>
      </c>
      <c r="G63" s="35">
        <v>87423.677333144282</v>
      </c>
      <c r="H63" s="35">
        <v>791159.40389961912</v>
      </c>
      <c r="I63" s="35">
        <v>165726.21152611464</v>
      </c>
      <c r="J63" s="35">
        <v>2398607.3496465539</v>
      </c>
      <c r="K63" s="35">
        <v>2431576.8338404791</v>
      </c>
      <c r="L63" s="35">
        <v>381755.7825664354</v>
      </c>
      <c r="M63" s="35">
        <v>799491.98994880053</v>
      </c>
      <c r="N63" s="35">
        <v>393992.36015727976</v>
      </c>
      <c r="O63" s="35">
        <v>252614.2086684345</v>
      </c>
      <c r="P63" s="35">
        <v>2005283.2228271465</v>
      </c>
      <c r="Q63" s="35">
        <v>592192.05289625772</v>
      </c>
      <c r="R63" s="35">
        <v>827872.98725337849</v>
      </c>
      <c r="S63" s="35">
        <v>524392.94990935223</v>
      </c>
      <c r="T63" s="35">
        <v>-194411.35072499196</v>
      </c>
      <c r="U63" s="36">
        <v>15687593.118526982</v>
      </c>
    </row>
    <row r="64" spans="1:21" x14ac:dyDescent="0.25">
      <c r="A64" s="95"/>
      <c r="B64" s="100">
        <v>2014</v>
      </c>
      <c r="C64" s="16" t="s">
        <v>28</v>
      </c>
      <c r="D64" s="2">
        <v>555168.4479682995</v>
      </c>
      <c r="E64" s="2">
        <v>61722.331702053212</v>
      </c>
      <c r="F64" s="2">
        <v>544581.52268431371</v>
      </c>
      <c r="G64" s="2">
        <v>19509.064838289305</v>
      </c>
      <c r="H64" s="2">
        <v>167611.03245485356</v>
      </c>
      <c r="I64" s="2">
        <v>45199.761620753474</v>
      </c>
      <c r="J64" s="2">
        <v>610975.09676638793</v>
      </c>
      <c r="K64" s="2">
        <v>539312.90362260607</v>
      </c>
      <c r="L64" s="2">
        <v>62412.403353992726</v>
      </c>
      <c r="M64" s="2">
        <v>205530.40335727541</v>
      </c>
      <c r="N64" s="2">
        <v>93885.83887122602</v>
      </c>
      <c r="O64" s="2">
        <v>47994.57385021435</v>
      </c>
      <c r="P64" s="2">
        <v>460221.77199739206</v>
      </c>
      <c r="Q64" s="2">
        <v>151881.28238235691</v>
      </c>
      <c r="R64" s="2">
        <v>202861.8546927268</v>
      </c>
      <c r="S64" s="2">
        <v>126460.39040944776</v>
      </c>
      <c r="T64" s="2">
        <v>-67005.567532313144</v>
      </c>
      <c r="U64" s="23">
        <v>3608677.450141293</v>
      </c>
    </row>
    <row r="65" spans="1:23" x14ac:dyDescent="0.25">
      <c r="A65" s="95"/>
      <c r="B65" s="100"/>
      <c r="C65" s="16" t="s">
        <v>29</v>
      </c>
      <c r="D65" s="2">
        <v>704261.5007933114</v>
      </c>
      <c r="E65" s="2">
        <v>46459.749283712808</v>
      </c>
      <c r="F65" s="2">
        <v>568296.69081414025</v>
      </c>
      <c r="G65" s="2">
        <v>22032.62933150191</v>
      </c>
      <c r="H65" s="2">
        <v>176784.68872555997</v>
      </c>
      <c r="I65" s="2">
        <v>38080.074073109688</v>
      </c>
      <c r="J65" s="2">
        <v>433997.30732040096</v>
      </c>
      <c r="K65" s="2">
        <v>569716.4026053733</v>
      </c>
      <c r="L65" s="2">
        <v>144337.26369936316</v>
      </c>
      <c r="M65" s="2">
        <v>218456.03415806821</v>
      </c>
      <c r="N65" s="2">
        <v>93804.746489224141</v>
      </c>
      <c r="O65" s="2">
        <v>55044.04039796647</v>
      </c>
      <c r="P65" s="2">
        <v>420602.1182010044</v>
      </c>
      <c r="Q65" s="2">
        <v>148723.87365079677</v>
      </c>
      <c r="R65" s="2">
        <v>211261.55876441725</v>
      </c>
      <c r="S65" s="2">
        <v>154831.31047359412</v>
      </c>
      <c r="T65" s="2">
        <v>-70239.410727280119</v>
      </c>
      <c r="U65" s="23">
        <v>3724029.1765881181</v>
      </c>
    </row>
    <row r="66" spans="1:23" x14ac:dyDescent="0.25">
      <c r="A66" s="95"/>
      <c r="B66" s="100"/>
      <c r="C66" s="16" t="s">
        <v>30</v>
      </c>
      <c r="D66" s="2">
        <v>371758.45578341471</v>
      </c>
      <c r="E66" s="2">
        <v>45620.901630119428</v>
      </c>
      <c r="F66" s="2">
        <v>614864.46379923145</v>
      </c>
      <c r="G66" s="2">
        <v>24094.655329618927</v>
      </c>
      <c r="H66" s="2">
        <v>192251.46649144904</v>
      </c>
      <c r="I66" s="2">
        <v>37750.709911528371</v>
      </c>
      <c r="J66" s="2">
        <v>682808.63176772685</v>
      </c>
      <c r="K66" s="2">
        <v>626136.60361912125</v>
      </c>
      <c r="L66" s="2">
        <v>83752.033826647501</v>
      </c>
      <c r="M66" s="2">
        <v>206682.21326842325</v>
      </c>
      <c r="N66" s="2">
        <v>99898.551371984853</v>
      </c>
      <c r="O66" s="2">
        <v>54569.267578422856</v>
      </c>
      <c r="P66" s="2">
        <v>486610.43322095514</v>
      </c>
      <c r="Q66" s="2">
        <v>146455.83556940139</v>
      </c>
      <c r="R66" s="2">
        <v>212420.14332644764</v>
      </c>
      <c r="S66" s="2">
        <v>149773.35529066969</v>
      </c>
      <c r="T66" s="2">
        <v>-35472.483811131933</v>
      </c>
      <c r="U66" s="23">
        <v>3990775.4886836172</v>
      </c>
    </row>
    <row r="67" spans="1:23" x14ac:dyDescent="0.25">
      <c r="A67" s="95"/>
      <c r="B67" s="101"/>
      <c r="C67" s="28" t="s">
        <v>31</v>
      </c>
      <c r="D67" s="20">
        <v>222953.54602315169</v>
      </c>
      <c r="E67" s="20">
        <v>73894.399118339235</v>
      </c>
      <c r="F67" s="20">
        <v>622084.22184517886</v>
      </c>
      <c r="G67" s="20">
        <v>21787.327833734147</v>
      </c>
      <c r="H67" s="20">
        <v>254512.21622775661</v>
      </c>
      <c r="I67" s="20">
        <v>44695.665920723106</v>
      </c>
      <c r="J67" s="20">
        <v>670826.31379203836</v>
      </c>
      <c r="K67" s="20">
        <v>696410.92399337864</v>
      </c>
      <c r="L67" s="20">
        <v>91254.081686432008</v>
      </c>
      <c r="M67" s="20">
        <v>168823.3391650336</v>
      </c>
      <c r="N67" s="20">
        <v>106403.22342484482</v>
      </c>
      <c r="O67" s="20">
        <v>95006.326841830829</v>
      </c>
      <c r="P67" s="20">
        <v>637848.89940779493</v>
      </c>
      <c r="Q67" s="20">
        <v>145131.06129370269</v>
      </c>
      <c r="R67" s="20">
        <v>201329.43046978686</v>
      </c>
      <c r="S67" s="20">
        <v>93327.893735640624</v>
      </c>
      <c r="T67" s="20">
        <v>-21693.888654266779</v>
      </c>
      <c r="U67" s="24">
        <v>4364111.0031139534</v>
      </c>
    </row>
    <row r="68" spans="1:23" x14ac:dyDescent="0.25">
      <c r="A68" s="95"/>
      <c r="B68" s="60"/>
      <c r="C68" s="53" t="s">
        <v>51</v>
      </c>
      <c r="D68" s="35">
        <v>1899851.4793126381</v>
      </c>
      <c r="E68" s="35">
        <v>260024.37217325397</v>
      </c>
      <c r="F68" s="35">
        <v>2607992.9277057014</v>
      </c>
      <c r="G68" s="35">
        <v>93147.27925001907</v>
      </c>
      <c r="H68" s="35">
        <v>828384.93019869644</v>
      </c>
      <c r="I68" s="35">
        <v>182525.87563522893</v>
      </c>
      <c r="J68" s="35">
        <v>2120053.3878588239</v>
      </c>
      <c r="K68" s="35">
        <v>2350525.4879440228</v>
      </c>
      <c r="L68" s="35">
        <v>384531.3417801733</v>
      </c>
      <c r="M68" s="35">
        <v>863166.93669357896</v>
      </c>
      <c r="N68" s="35">
        <v>393009.41241554823</v>
      </c>
      <c r="O68" s="35">
        <v>295802.26506063691</v>
      </c>
      <c r="P68" s="35">
        <v>1933012.0855653519</v>
      </c>
      <c r="Q68" s="35">
        <v>594799.63213071565</v>
      </c>
      <c r="R68" s="35">
        <v>753830.50317395758</v>
      </c>
      <c r="S68" s="35">
        <v>471057.30780678277</v>
      </c>
      <c r="T68" s="35">
        <v>-224397.89211851</v>
      </c>
      <c r="U68" s="36">
        <v>15807317.332586618</v>
      </c>
    </row>
    <row r="69" spans="1:23" x14ac:dyDescent="0.25">
      <c r="A69" s="95"/>
      <c r="B69" s="100">
        <v>2015</v>
      </c>
      <c r="C69" s="16" t="s">
        <v>28</v>
      </c>
      <c r="D69" s="2">
        <v>561872.28496799467</v>
      </c>
      <c r="E69" s="2">
        <v>74663.8761150106</v>
      </c>
      <c r="F69" s="2">
        <v>632239.20821737067</v>
      </c>
      <c r="G69" s="2">
        <v>20558.200798292641</v>
      </c>
      <c r="H69" s="2">
        <v>209495.89138510104</v>
      </c>
      <c r="I69" s="2">
        <v>47878.883905460068</v>
      </c>
      <c r="J69" s="2">
        <v>464280.75316545001</v>
      </c>
      <c r="K69" s="2">
        <v>574372.25987975928</v>
      </c>
      <c r="L69" s="2">
        <v>67345.796416488825</v>
      </c>
      <c r="M69" s="2">
        <v>217940.45912990961</v>
      </c>
      <c r="N69" s="2">
        <v>90630.446313281762</v>
      </c>
      <c r="O69" s="2">
        <v>70296.029637116721</v>
      </c>
      <c r="P69" s="2">
        <v>474336.61159356748</v>
      </c>
      <c r="Q69" s="2">
        <v>149195.845856125</v>
      </c>
      <c r="R69" s="2">
        <v>208828.74135996829</v>
      </c>
      <c r="S69" s="2">
        <v>116210.95966157464</v>
      </c>
      <c r="T69" s="2">
        <v>-107128.76829981229</v>
      </c>
      <c r="U69" s="23">
        <v>3871688.9144952558</v>
      </c>
    </row>
    <row r="70" spans="1:23" x14ac:dyDescent="0.25">
      <c r="A70" s="95"/>
      <c r="B70" s="100"/>
      <c r="C70" s="16" t="s">
        <v>29</v>
      </c>
      <c r="D70" s="2">
        <v>719916.80994327005</v>
      </c>
      <c r="E70" s="2">
        <v>47381.976553033586</v>
      </c>
      <c r="F70" s="2">
        <v>653236.08796467108</v>
      </c>
      <c r="G70" s="2">
        <v>23326.825116989356</v>
      </c>
      <c r="H70" s="2">
        <v>195512.85479812414</v>
      </c>
      <c r="I70" s="2">
        <v>44317.479791765203</v>
      </c>
      <c r="J70" s="2">
        <v>421826.21293828235</v>
      </c>
      <c r="K70" s="2">
        <v>569387.39738320524</v>
      </c>
      <c r="L70" s="2">
        <v>155469.13166437473</v>
      </c>
      <c r="M70" s="2">
        <v>228094.39595062746</v>
      </c>
      <c r="N70" s="2">
        <v>94980.193681113247</v>
      </c>
      <c r="O70" s="2">
        <v>71289.412970728197</v>
      </c>
      <c r="P70" s="2">
        <v>434922.3062964516</v>
      </c>
      <c r="Q70" s="2">
        <v>148737.07020359885</v>
      </c>
      <c r="R70" s="2">
        <v>185944.26184289457</v>
      </c>
      <c r="S70" s="2">
        <v>90112.298765677217</v>
      </c>
      <c r="T70" s="2">
        <v>-17622.191766818665</v>
      </c>
      <c r="U70" s="23">
        <v>4066797.4013301269</v>
      </c>
    </row>
    <row r="71" spans="1:23" x14ac:dyDescent="0.25">
      <c r="A71" s="95"/>
      <c r="B71" s="100"/>
      <c r="C71" s="16" t="s">
        <v>30</v>
      </c>
      <c r="D71" s="2">
        <v>377251.50675370084</v>
      </c>
      <c r="E71" s="2">
        <v>56313.531514706585</v>
      </c>
      <c r="F71" s="2">
        <v>664810.04115062079</v>
      </c>
      <c r="G71" s="2">
        <v>24103.20820281261</v>
      </c>
      <c r="H71" s="2">
        <v>189917.52502151032</v>
      </c>
      <c r="I71" s="2">
        <v>42198.749609306578</v>
      </c>
      <c r="J71" s="2">
        <v>653133.29314855812</v>
      </c>
      <c r="K71" s="2">
        <v>583966.99816258042</v>
      </c>
      <c r="L71" s="2">
        <v>81127.77302015142</v>
      </c>
      <c r="M71" s="2">
        <v>246911.56021543359</v>
      </c>
      <c r="N71" s="2">
        <v>98992.066028229834</v>
      </c>
      <c r="O71" s="2">
        <v>77887.838164683242</v>
      </c>
      <c r="P71" s="2">
        <v>446662.51334597578</v>
      </c>
      <c r="Q71" s="2">
        <v>148439.71988609564</v>
      </c>
      <c r="R71" s="2">
        <v>179337.28373126016</v>
      </c>
      <c r="S71" s="2">
        <v>93713.366674254576</v>
      </c>
      <c r="T71" s="2">
        <v>-7351.3722219234132</v>
      </c>
      <c r="U71" s="23">
        <v>3958090.941383414</v>
      </c>
    </row>
    <row r="72" spans="1:23" x14ac:dyDescent="0.25">
      <c r="A72" s="95"/>
      <c r="B72" s="101"/>
      <c r="C72" s="28" t="s">
        <v>31</v>
      </c>
      <c r="D72" s="20">
        <v>240810.87764767249</v>
      </c>
      <c r="E72" s="20">
        <v>81664.987990503199</v>
      </c>
      <c r="F72" s="20">
        <v>657707.59037303878</v>
      </c>
      <c r="G72" s="20">
        <v>25159.045131924464</v>
      </c>
      <c r="H72" s="20">
        <v>233458.65899396091</v>
      </c>
      <c r="I72" s="20">
        <v>48130.762328697063</v>
      </c>
      <c r="J72" s="20">
        <v>580813.1286065334</v>
      </c>
      <c r="K72" s="20">
        <v>622798.83251847757</v>
      </c>
      <c r="L72" s="20">
        <v>80588.640679158343</v>
      </c>
      <c r="M72" s="20">
        <v>170220.5213976083</v>
      </c>
      <c r="N72" s="20">
        <v>108406.7063929234</v>
      </c>
      <c r="O72" s="20">
        <v>76328.984288108753</v>
      </c>
      <c r="P72" s="20">
        <v>577090.65432935732</v>
      </c>
      <c r="Q72" s="20">
        <v>148426.99618489621</v>
      </c>
      <c r="R72" s="20">
        <v>179720.21623983455</v>
      </c>
      <c r="S72" s="20">
        <v>171020.68270527638</v>
      </c>
      <c r="T72" s="20">
        <v>-92295.55982995563</v>
      </c>
      <c r="U72" s="24">
        <v>3910740.0753778224</v>
      </c>
    </row>
    <row r="73" spans="1:23" x14ac:dyDescent="0.25">
      <c r="A73" s="95"/>
      <c r="B73" s="60"/>
      <c r="C73" s="53" t="s">
        <v>51</v>
      </c>
      <c r="D73" s="35">
        <v>1933402.7037878088</v>
      </c>
      <c r="E73" s="35">
        <v>279406.68471756711</v>
      </c>
      <c r="F73" s="35">
        <v>2541598.6775159002</v>
      </c>
      <c r="G73" s="35">
        <v>93173.360450041102</v>
      </c>
      <c r="H73" s="35">
        <v>870309.87525086664</v>
      </c>
      <c r="I73" s="35">
        <v>199331.81768137583</v>
      </c>
      <c r="J73" s="35">
        <v>2174024.2034256682</v>
      </c>
      <c r="K73" s="35">
        <v>2226685.3514304943</v>
      </c>
      <c r="L73" s="35">
        <v>387777.97031813074</v>
      </c>
      <c r="M73" s="35">
        <v>894527.68380318</v>
      </c>
      <c r="N73" s="35">
        <v>373146.99748585862</v>
      </c>
      <c r="O73" s="35">
        <v>301438.26166758698</v>
      </c>
      <c r="P73" s="35">
        <v>1631022.7328098158</v>
      </c>
      <c r="Q73" s="35">
        <v>612643.6210946372</v>
      </c>
      <c r="R73" s="35">
        <v>832350.83735564339</v>
      </c>
      <c r="S73" s="35">
        <v>478492.43012863217</v>
      </c>
      <c r="T73" s="35">
        <v>-58859.090211794581</v>
      </c>
      <c r="U73" s="36">
        <v>15770474.118711416</v>
      </c>
    </row>
    <row r="74" spans="1:23" x14ac:dyDescent="0.25">
      <c r="A74" s="95"/>
      <c r="B74" s="100">
        <v>2016</v>
      </c>
      <c r="C74" s="16" t="s">
        <v>28</v>
      </c>
      <c r="D74" s="2">
        <v>573242.75517267792</v>
      </c>
      <c r="E74" s="2">
        <v>56607.615346685867</v>
      </c>
      <c r="F74" s="2">
        <v>661157.74679763557</v>
      </c>
      <c r="G74" s="2">
        <v>22841.295903505863</v>
      </c>
      <c r="H74" s="2">
        <v>215037.45162088814</v>
      </c>
      <c r="I74" s="2">
        <v>51754.958103641387</v>
      </c>
      <c r="J74" s="2">
        <v>557258.65872644424</v>
      </c>
      <c r="K74" s="2">
        <v>593061.04786220088</v>
      </c>
      <c r="L74" s="2">
        <v>71461.814301703082</v>
      </c>
      <c r="M74" s="2">
        <v>224594.11059621026</v>
      </c>
      <c r="N74" s="2">
        <v>92856.765014655408</v>
      </c>
      <c r="O74" s="2">
        <v>72693.925852953485</v>
      </c>
      <c r="P74" s="2">
        <v>417225.04493510199</v>
      </c>
      <c r="Q74" s="2">
        <v>152793.5610693949</v>
      </c>
      <c r="R74" s="2">
        <v>213150.5511878063</v>
      </c>
      <c r="S74" s="2">
        <v>103634.97677033827</v>
      </c>
      <c r="T74" s="2">
        <v>-5367.7569831511109</v>
      </c>
      <c r="U74" s="23">
        <v>4074125.6957655684</v>
      </c>
    </row>
    <row r="75" spans="1:23" x14ac:dyDescent="0.25">
      <c r="A75" s="95"/>
      <c r="B75" s="100"/>
      <c r="C75" s="16" t="s">
        <v>29</v>
      </c>
      <c r="D75" s="2">
        <v>744899.51816589118</v>
      </c>
      <c r="E75" s="2">
        <v>49714.925055097134</v>
      </c>
      <c r="F75" s="2">
        <v>645097.91973257205</v>
      </c>
      <c r="G75" s="2">
        <v>21147.004325034439</v>
      </c>
      <c r="H75" s="2">
        <v>201608.03911637096</v>
      </c>
      <c r="I75" s="2">
        <v>48660.094944656579</v>
      </c>
      <c r="J75" s="2">
        <v>466169.1359021361</v>
      </c>
      <c r="K75" s="2">
        <v>552254.40836374182</v>
      </c>
      <c r="L75" s="2">
        <v>135784.41716516908</v>
      </c>
      <c r="M75" s="2">
        <v>230359.97428365654</v>
      </c>
      <c r="N75" s="2">
        <v>92710.714923849067</v>
      </c>
      <c r="O75" s="2">
        <v>72502.036584680798</v>
      </c>
      <c r="P75" s="2">
        <v>349505.89999515604</v>
      </c>
      <c r="Q75" s="2">
        <v>152977.0725437298</v>
      </c>
      <c r="R75" s="2">
        <v>198032.6935229041</v>
      </c>
      <c r="S75" s="2">
        <v>112443.76126538</v>
      </c>
      <c r="T75" s="2">
        <v>-19461.667356535585</v>
      </c>
      <c r="U75" s="23">
        <v>4054254.0174213191</v>
      </c>
    </row>
    <row r="76" spans="1:23" x14ac:dyDescent="0.25">
      <c r="A76" s="95"/>
      <c r="B76" s="100"/>
      <c r="C76" s="16" t="s">
        <v>30</v>
      </c>
      <c r="D76" s="2">
        <v>393933.58668899414</v>
      </c>
      <c r="E76" s="2">
        <v>72012.056251444214</v>
      </c>
      <c r="F76" s="2">
        <v>641846.57340793032</v>
      </c>
      <c r="G76" s="2">
        <v>25461.120434547411</v>
      </c>
      <c r="H76" s="2">
        <v>206801.53328565578</v>
      </c>
      <c r="I76" s="2">
        <v>46178.801588395763</v>
      </c>
      <c r="J76" s="2">
        <v>538358.27277379215</v>
      </c>
      <c r="K76" s="2">
        <v>546035.02915271185</v>
      </c>
      <c r="L76" s="2">
        <v>84213.592461821696</v>
      </c>
      <c r="M76" s="2">
        <v>268008.78926061461</v>
      </c>
      <c r="N76" s="2">
        <v>92999.724558113128</v>
      </c>
      <c r="O76" s="2">
        <v>75028.375810132755</v>
      </c>
      <c r="P76" s="2">
        <v>393089.2196189707</v>
      </c>
      <c r="Q76" s="2">
        <v>153204.79787048447</v>
      </c>
      <c r="R76" s="2">
        <v>201258.4719745499</v>
      </c>
      <c r="S76" s="2">
        <v>118010.81862433637</v>
      </c>
      <c r="T76" s="2">
        <v>-16614.463048180842</v>
      </c>
      <c r="U76" s="23">
        <v>3839677.356191603</v>
      </c>
    </row>
    <row r="77" spans="1:23" x14ac:dyDescent="0.25">
      <c r="A77" s="95"/>
      <c r="B77" s="101"/>
      <c r="C77" s="28" t="s">
        <v>31</v>
      </c>
      <c r="D77" s="20">
        <v>221326.84376024557</v>
      </c>
      <c r="E77" s="20">
        <v>101072.0880643399</v>
      </c>
      <c r="F77" s="20">
        <v>593496.43757776218</v>
      </c>
      <c r="G77" s="20">
        <v>23723.93978695339</v>
      </c>
      <c r="H77" s="20">
        <v>246862.8512279517</v>
      </c>
      <c r="I77" s="20">
        <v>52737.96304468211</v>
      </c>
      <c r="J77" s="20">
        <v>612238.13602329558</v>
      </c>
      <c r="K77" s="20">
        <v>535334.86605183955</v>
      </c>
      <c r="L77" s="20">
        <v>96318.146389436908</v>
      </c>
      <c r="M77" s="20">
        <v>171564.80966269856</v>
      </c>
      <c r="N77" s="20">
        <v>94579.792989241017</v>
      </c>
      <c r="O77" s="20">
        <v>81213.923419819883</v>
      </c>
      <c r="P77" s="20">
        <v>471202.56826058705</v>
      </c>
      <c r="Q77" s="20">
        <v>153668.18961102804</v>
      </c>
      <c r="R77" s="20">
        <v>219909.12067038313</v>
      </c>
      <c r="S77" s="20">
        <v>144402.87346857751</v>
      </c>
      <c r="T77" s="20">
        <v>-17415.20282392704</v>
      </c>
      <c r="U77" s="24">
        <v>3802417.0493329242</v>
      </c>
      <c r="W77" s="32">
        <f>+D78/D73-1</f>
        <v>6.4576317750164591E-4</v>
      </c>
    </row>
    <row r="78" spans="1:23" x14ac:dyDescent="0.25">
      <c r="A78" s="95"/>
      <c r="B78" s="60"/>
      <c r="C78" s="53" t="s">
        <v>51</v>
      </c>
      <c r="D78" s="35">
        <v>1934651.2240611971</v>
      </c>
      <c r="E78" s="35">
        <v>276358.21627057373</v>
      </c>
      <c r="F78" s="35">
        <v>2323155.486084471</v>
      </c>
      <c r="G78" s="35">
        <v>92446.940799676027</v>
      </c>
      <c r="H78" s="35">
        <v>884416.57188252534</v>
      </c>
      <c r="I78" s="35">
        <v>195968.94041689776</v>
      </c>
      <c r="J78" s="35">
        <v>2228499.3600567281</v>
      </c>
      <c r="K78" s="35">
        <v>2229673.7194771534</v>
      </c>
      <c r="L78" s="35">
        <v>384688.36488824664</v>
      </c>
      <c r="M78" s="35">
        <v>917684.71140906052</v>
      </c>
      <c r="N78" s="35">
        <v>376378.60187070753</v>
      </c>
      <c r="O78" s="35">
        <v>269223.22892634547</v>
      </c>
      <c r="P78" s="35">
        <v>1635492.8062138464</v>
      </c>
      <c r="Q78" s="35">
        <v>631055.94046816172</v>
      </c>
      <c r="R78" s="35">
        <v>912269.54984128382</v>
      </c>
      <c r="S78" s="35">
        <v>476310.45596041024</v>
      </c>
      <c r="T78" s="35">
        <v>-35898.964038838109</v>
      </c>
      <c r="U78" s="36">
        <v>15744501.936688852</v>
      </c>
      <c r="W78" s="13">
        <f>+D78/D73*100-100</f>
        <v>6.4576317750166368E-2</v>
      </c>
    </row>
    <row r="79" spans="1:23" x14ac:dyDescent="0.25">
      <c r="A79" s="95"/>
      <c r="B79" s="100">
        <v>2017</v>
      </c>
      <c r="C79" s="16" t="s">
        <v>28</v>
      </c>
      <c r="D79" s="2">
        <v>557008.26435728977</v>
      </c>
      <c r="E79" s="2">
        <v>63330.394006968745</v>
      </c>
      <c r="F79" s="2">
        <v>580987.18452078616</v>
      </c>
      <c r="G79" s="2">
        <v>23150.738816908713</v>
      </c>
      <c r="H79" s="2">
        <v>226416.4146950951</v>
      </c>
      <c r="I79" s="2">
        <v>51265.697418238618</v>
      </c>
      <c r="J79" s="2">
        <v>456666.02446873963</v>
      </c>
      <c r="K79" s="2">
        <v>556716.2788126081</v>
      </c>
      <c r="L79" s="2">
        <v>67244.356574966252</v>
      </c>
      <c r="M79" s="2">
        <v>224515.66639729284</v>
      </c>
      <c r="N79" s="2">
        <v>93609.536644664739</v>
      </c>
      <c r="O79" s="2">
        <v>64396.269100804675</v>
      </c>
      <c r="P79" s="2">
        <v>381710.87866494543</v>
      </c>
      <c r="Q79" s="2">
        <v>158125.3293682842</v>
      </c>
      <c r="R79" s="2">
        <v>241181.75308924183</v>
      </c>
      <c r="S79" s="2">
        <v>116964.96735588434</v>
      </c>
      <c r="T79" s="2">
        <v>-2878.1972261817614</v>
      </c>
      <c r="U79" s="23">
        <v>3871842.9172191666</v>
      </c>
    </row>
    <row r="80" spans="1:23" x14ac:dyDescent="0.25">
      <c r="A80" s="95"/>
      <c r="B80" s="100"/>
      <c r="C80" s="16" t="s">
        <v>29</v>
      </c>
      <c r="D80" s="2">
        <v>750337.64233846159</v>
      </c>
      <c r="E80" s="2">
        <v>59839.587879895211</v>
      </c>
      <c r="F80" s="2">
        <v>579221.18298935145</v>
      </c>
      <c r="G80" s="2">
        <v>23487.876705073235</v>
      </c>
      <c r="H80" s="2">
        <v>200925.45069779109</v>
      </c>
      <c r="I80" s="2">
        <v>45523.288725093596</v>
      </c>
      <c r="J80" s="2">
        <v>415291.63435390516</v>
      </c>
      <c r="K80" s="2">
        <v>563097.38678774051</v>
      </c>
      <c r="L80" s="2">
        <v>145281.38450384213</v>
      </c>
      <c r="M80" s="2">
        <v>233257.34341677398</v>
      </c>
      <c r="N80" s="2">
        <v>92763.790838701592</v>
      </c>
      <c r="O80" s="2">
        <v>65805.001997747851</v>
      </c>
      <c r="P80" s="2">
        <v>344074.43311739573</v>
      </c>
      <c r="Q80" s="2">
        <v>158221.20955388492</v>
      </c>
      <c r="R80" s="2">
        <v>222465.53998448729</v>
      </c>
      <c r="S80" s="2">
        <v>136222.0775112354</v>
      </c>
      <c r="T80" s="2">
        <v>-12749.409495373933</v>
      </c>
      <c r="U80" s="23">
        <v>4019185.3803329528</v>
      </c>
    </row>
    <row r="81" spans="1:21" x14ac:dyDescent="0.25">
      <c r="A81" s="95"/>
      <c r="B81" s="100"/>
      <c r="C81" s="16" t="s">
        <v>30</v>
      </c>
      <c r="D81" s="2">
        <v>398368.64767562615</v>
      </c>
      <c r="E81" s="2">
        <v>71682.448857470619</v>
      </c>
      <c r="F81" s="2">
        <v>596132.27763936471</v>
      </c>
      <c r="G81" s="2">
        <v>20273.974150616221</v>
      </c>
      <c r="H81" s="2">
        <v>209350.66254627</v>
      </c>
      <c r="I81" s="2">
        <v>47112.60918445982</v>
      </c>
      <c r="J81" s="2">
        <v>677821.30850377737</v>
      </c>
      <c r="K81" s="2">
        <v>558096.08081641491</v>
      </c>
      <c r="L81" s="2">
        <v>82956.422993567554</v>
      </c>
      <c r="M81" s="2">
        <v>284230.24297528336</v>
      </c>
      <c r="N81" s="2">
        <v>95453.307415452975</v>
      </c>
      <c r="O81" s="2">
        <v>70799.662338213122</v>
      </c>
      <c r="P81" s="2">
        <v>409961.24811538367</v>
      </c>
      <c r="Q81" s="2">
        <v>157747.01012644809</v>
      </c>
      <c r="R81" s="2">
        <v>221360.13044629048</v>
      </c>
      <c r="S81" s="2">
        <v>117071.11122363908</v>
      </c>
      <c r="T81" s="2">
        <v>-13907.088924282667</v>
      </c>
      <c r="U81" s="23">
        <v>4003230.2378651891</v>
      </c>
    </row>
    <row r="82" spans="1:21" x14ac:dyDescent="0.25">
      <c r="A82" s="95"/>
      <c r="B82" s="101"/>
      <c r="C82" s="28" t="s">
        <v>31</v>
      </c>
      <c r="D82" s="20">
        <v>228936.66968981945</v>
      </c>
      <c r="E82" s="20">
        <v>81505.785526239153</v>
      </c>
      <c r="F82" s="20">
        <v>566814.84093496844</v>
      </c>
      <c r="G82" s="20">
        <v>25534.351127077851</v>
      </c>
      <c r="H82" s="20">
        <v>247724.04394336918</v>
      </c>
      <c r="I82" s="20">
        <v>52067.345089105758</v>
      </c>
      <c r="J82" s="20">
        <v>678720.3927303059</v>
      </c>
      <c r="K82" s="20">
        <v>551763.97306038952</v>
      </c>
      <c r="L82" s="20">
        <v>89206.200815870689</v>
      </c>
      <c r="M82" s="20">
        <v>175681.45861971023</v>
      </c>
      <c r="N82" s="20">
        <v>94551.966971888192</v>
      </c>
      <c r="O82" s="20">
        <v>68222.295489579818</v>
      </c>
      <c r="P82" s="20">
        <v>499746.24631612131</v>
      </c>
      <c r="Q82" s="20">
        <v>156962.39141954447</v>
      </c>
      <c r="R82" s="20">
        <v>227262.12632126414</v>
      </c>
      <c r="S82" s="20">
        <v>106052.2998696514</v>
      </c>
      <c r="T82" s="20">
        <v>-6364.2683929997465</v>
      </c>
      <c r="U82" s="24">
        <v>3850243.4012715416</v>
      </c>
    </row>
    <row r="83" spans="1:21" x14ac:dyDescent="0.25">
      <c r="A83" s="95"/>
      <c r="B83" s="60"/>
      <c r="C83" s="53" t="s">
        <v>51</v>
      </c>
      <c r="D83" s="35">
        <v>1929492.6833635599</v>
      </c>
      <c r="E83" s="35">
        <v>265969.83806559921</v>
      </c>
      <c r="F83" s="35">
        <v>2109669.0083357799</v>
      </c>
      <c r="G83" s="35">
        <v>89593.120921294263</v>
      </c>
      <c r="H83" s="35">
        <v>895010.10119847697</v>
      </c>
      <c r="I83" s="35">
        <v>201981.86578916348</v>
      </c>
      <c r="J83" s="35">
        <v>2228381.2261212105</v>
      </c>
      <c r="K83" s="35">
        <v>2222969.0302491239</v>
      </c>
      <c r="L83" s="35">
        <v>384841.86973987258</v>
      </c>
      <c r="M83" s="35">
        <v>916321.7839172699</v>
      </c>
      <c r="N83" s="35">
        <v>376315.63257190614</v>
      </c>
      <c r="O83" s="35">
        <v>346316.9930677602</v>
      </c>
      <c r="P83" s="35">
        <v>1669591.0778928585</v>
      </c>
      <c r="Q83" s="35">
        <v>633210.09619546845</v>
      </c>
      <c r="R83" s="35">
        <v>916280.25911767641</v>
      </c>
      <c r="S83" s="35">
        <v>502038.48527675576</v>
      </c>
      <c r="T83" s="35">
        <v>-25738.548947085557</v>
      </c>
      <c r="U83" s="36">
        <v>15664724.932121055</v>
      </c>
    </row>
    <row r="84" spans="1:21" x14ac:dyDescent="0.25">
      <c r="A84" s="95"/>
      <c r="B84" s="100">
        <v>2018</v>
      </c>
      <c r="C84" s="16" t="s">
        <v>28</v>
      </c>
      <c r="D84" s="2">
        <v>567483.30665862362</v>
      </c>
      <c r="E84" s="2">
        <v>64347.388878923295</v>
      </c>
      <c r="F84" s="2">
        <v>541517.9431768416</v>
      </c>
      <c r="G84" s="2">
        <v>22435.2451846566</v>
      </c>
      <c r="H84" s="2">
        <v>229250.10766718001</v>
      </c>
      <c r="I84" s="2">
        <v>53886.201867465861</v>
      </c>
      <c r="J84" s="2">
        <v>331952.02670499624</v>
      </c>
      <c r="K84" s="2">
        <v>563067.39592862094</v>
      </c>
      <c r="L84" s="2">
        <v>68506.609795015625</v>
      </c>
      <c r="M84" s="2">
        <v>230934.46140336286</v>
      </c>
      <c r="N84" s="2">
        <v>92686.879818436195</v>
      </c>
      <c r="O84" s="2">
        <v>75983.375646769753</v>
      </c>
      <c r="P84" s="2">
        <v>407611.44158547337</v>
      </c>
      <c r="Q84" s="2">
        <v>159155.94405562748</v>
      </c>
      <c r="R84" s="2">
        <v>248229.34588749209</v>
      </c>
      <c r="S84" s="2">
        <v>126578.35642128799</v>
      </c>
      <c r="T84" s="2">
        <v>-0.58635468413635683</v>
      </c>
      <c r="U84" s="23">
        <v>3815803.3384074336</v>
      </c>
    </row>
    <row r="85" spans="1:21" x14ac:dyDescent="0.25">
      <c r="A85" s="95"/>
      <c r="B85" s="100"/>
      <c r="C85" s="16" t="s">
        <v>29</v>
      </c>
      <c r="D85" s="2">
        <v>736258.6067245442</v>
      </c>
      <c r="E85" s="2">
        <v>64145.44494464733</v>
      </c>
      <c r="F85" s="2">
        <v>535391.27484390594</v>
      </c>
      <c r="G85" s="2">
        <v>22824.749840008488</v>
      </c>
      <c r="H85" s="2">
        <v>195625.13147461327</v>
      </c>
      <c r="I85" s="2">
        <v>50966.753314793648</v>
      </c>
      <c r="J85" s="2">
        <v>381870.81066313718</v>
      </c>
      <c r="K85" s="2">
        <v>540220.31501371565</v>
      </c>
      <c r="L85" s="2">
        <v>145105.55197539108</v>
      </c>
      <c r="M85" s="2">
        <v>240183.09666444885</v>
      </c>
      <c r="N85" s="2">
        <v>96515.970891416146</v>
      </c>
      <c r="O85" s="2">
        <v>75816.393650289363</v>
      </c>
      <c r="P85" s="2">
        <v>332308.02557486715</v>
      </c>
      <c r="Q85" s="2">
        <v>158343.27220572892</v>
      </c>
      <c r="R85" s="2">
        <v>208602.73785339898</v>
      </c>
      <c r="S85" s="2">
        <v>123024.52455006338</v>
      </c>
      <c r="T85" s="2">
        <v>-4934.5195219507686</v>
      </c>
      <c r="U85" s="23">
        <v>3916169.5457454571</v>
      </c>
    </row>
    <row r="86" spans="1:21" x14ac:dyDescent="0.25">
      <c r="A86" s="95"/>
      <c r="B86" s="100"/>
      <c r="C86" s="16" t="s">
        <v>30</v>
      </c>
      <c r="D86" s="2">
        <v>392034.81609894877</v>
      </c>
      <c r="E86" s="2">
        <v>60803.208209719414</v>
      </c>
      <c r="F86" s="2">
        <v>523398.40678172262</v>
      </c>
      <c r="G86" s="2">
        <v>17625.777017569897</v>
      </c>
      <c r="H86" s="2">
        <v>205907.12133872506</v>
      </c>
      <c r="I86" s="2">
        <v>45097.988840644735</v>
      </c>
      <c r="J86" s="2">
        <v>680883.4448367001</v>
      </c>
      <c r="K86" s="2">
        <v>544203.63093532389</v>
      </c>
      <c r="L86" s="2">
        <v>82595.996284346969</v>
      </c>
      <c r="M86" s="2">
        <v>272362.76386783953</v>
      </c>
      <c r="N86" s="2">
        <v>103107.96873395807</v>
      </c>
      <c r="O86" s="2">
        <v>80805.985160610711</v>
      </c>
      <c r="P86" s="2">
        <v>430487.32039916562</v>
      </c>
      <c r="Q86" s="2">
        <v>157813.33437813618</v>
      </c>
      <c r="R86" s="2">
        <v>228733.60506438621</v>
      </c>
      <c r="S86" s="2">
        <v>122562.23038978961</v>
      </c>
      <c r="T86" s="2">
        <v>-2494.2897353824669</v>
      </c>
      <c r="U86" s="23">
        <v>3925139.327475958</v>
      </c>
    </row>
    <row r="87" spans="1:21" x14ac:dyDescent="0.25">
      <c r="A87" s="95"/>
      <c r="B87" s="101"/>
      <c r="C87" s="28" t="s">
        <v>31</v>
      </c>
      <c r="D87" s="20">
        <v>233715.95388144345</v>
      </c>
      <c r="E87" s="20">
        <v>76673.796032309168</v>
      </c>
      <c r="F87" s="20">
        <v>509361.38353330997</v>
      </c>
      <c r="G87" s="20">
        <v>26707.348879059286</v>
      </c>
      <c r="H87" s="20">
        <v>264227.74071795866</v>
      </c>
      <c r="I87" s="20">
        <v>52030.921766259242</v>
      </c>
      <c r="J87" s="20">
        <v>833674.94391637715</v>
      </c>
      <c r="K87" s="20">
        <v>575477.68837146333</v>
      </c>
      <c r="L87" s="20">
        <v>88633.71168511892</v>
      </c>
      <c r="M87" s="20">
        <v>172841.46198161863</v>
      </c>
      <c r="N87" s="20">
        <v>84004.813128095717</v>
      </c>
      <c r="O87" s="20">
        <v>113711.23861009038</v>
      </c>
      <c r="P87" s="20">
        <v>499184.29033335252</v>
      </c>
      <c r="Q87" s="20">
        <v>157897.54555597587</v>
      </c>
      <c r="R87" s="20">
        <v>230714.57031239916</v>
      </c>
      <c r="S87" s="20">
        <v>129873.37391561479</v>
      </c>
      <c r="T87" s="20">
        <v>-18309.153335068186</v>
      </c>
      <c r="U87" s="24">
        <v>4007612.720492206</v>
      </c>
    </row>
    <row r="88" spans="1:21" x14ac:dyDescent="0.25">
      <c r="A88" s="95"/>
      <c r="B88" s="60"/>
      <c r="C88" s="53" t="s">
        <v>51</v>
      </c>
      <c r="D88" s="35">
        <v>1955627.4822600959</v>
      </c>
      <c r="E88" s="35">
        <v>226637.45062121484</v>
      </c>
      <c r="F88" s="35">
        <v>1957855.2421203875</v>
      </c>
      <c r="G88" s="35">
        <v>93691.211801429657</v>
      </c>
      <c r="H88" s="35">
        <v>869863.33646460751</v>
      </c>
      <c r="I88" s="35">
        <v>211075.74408529958</v>
      </c>
      <c r="J88" s="35">
        <v>2328507.7263045004</v>
      </c>
      <c r="K88" s="35">
        <v>2264707.4893416418</v>
      </c>
      <c r="L88" s="35">
        <v>386820.58137684286</v>
      </c>
      <c r="M88" s="35">
        <v>980416.19890288054</v>
      </c>
      <c r="N88" s="35">
        <v>369869.90412200062</v>
      </c>
      <c r="O88" s="35">
        <v>320945.45130974299</v>
      </c>
      <c r="P88" s="35">
        <v>1709888.3639744988</v>
      </c>
      <c r="Q88" s="35">
        <v>649029.10694049241</v>
      </c>
      <c r="R88" s="35">
        <v>967419.51392954052</v>
      </c>
      <c r="S88" s="35">
        <v>362906.33459525555</v>
      </c>
      <c r="T88" s="35">
        <v>-15959.722635671689</v>
      </c>
      <c r="U88" s="36">
        <v>15499425.405925913</v>
      </c>
    </row>
    <row r="89" spans="1:21" x14ac:dyDescent="0.25">
      <c r="A89" s="95"/>
      <c r="B89" s="100">
        <v>2019</v>
      </c>
      <c r="C89" s="16" t="s">
        <v>28</v>
      </c>
      <c r="D89" s="2">
        <v>575447.50714613032</v>
      </c>
      <c r="E89" s="2">
        <v>68456.794136730023</v>
      </c>
      <c r="F89" s="2">
        <v>500757.82740042591</v>
      </c>
      <c r="G89" s="2">
        <v>23253.300020817183</v>
      </c>
      <c r="H89" s="2">
        <v>207549.46221230307</v>
      </c>
      <c r="I89" s="2">
        <v>54505.232908373357</v>
      </c>
      <c r="J89" s="2">
        <v>537640.32201619016</v>
      </c>
      <c r="K89" s="2">
        <v>571120.09162013361</v>
      </c>
      <c r="L89" s="2">
        <v>69148.077039114432</v>
      </c>
      <c r="M89" s="2">
        <v>230010.1983357548</v>
      </c>
      <c r="N89" s="2">
        <v>93510.126508106128</v>
      </c>
      <c r="O89" s="2">
        <v>71243.431929890197</v>
      </c>
      <c r="P89" s="2">
        <v>415804.14477684698</v>
      </c>
      <c r="Q89" s="2">
        <v>161449.16932503731</v>
      </c>
      <c r="R89" s="2">
        <v>232617.91866541281</v>
      </c>
      <c r="S89" s="2">
        <v>76405.949059684324</v>
      </c>
      <c r="T89" s="2">
        <v>-0.48298384923668214</v>
      </c>
      <c r="U89" s="23">
        <v>3892206.4573273645</v>
      </c>
    </row>
    <row r="90" spans="1:21" x14ac:dyDescent="0.25">
      <c r="A90" s="95"/>
      <c r="B90" s="100"/>
      <c r="C90" s="16" t="s">
        <v>29</v>
      </c>
      <c r="D90" s="2">
        <v>749317.39516565471</v>
      </c>
      <c r="E90" s="2">
        <v>50689.14021504941</v>
      </c>
      <c r="F90" s="2">
        <v>500372.98464564024</v>
      </c>
      <c r="G90" s="2">
        <v>22444.957179001547</v>
      </c>
      <c r="H90" s="2">
        <v>199508.09443768117</v>
      </c>
      <c r="I90" s="2">
        <v>51379.789434200517</v>
      </c>
      <c r="J90" s="2">
        <v>330485.06760075386</v>
      </c>
      <c r="K90" s="2">
        <v>558500.55366997712</v>
      </c>
      <c r="L90" s="2">
        <v>142430.37290083026</v>
      </c>
      <c r="M90" s="2">
        <v>233799.93028218069</v>
      </c>
      <c r="N90" s="2">
        <v>93987.149574022245</v>
      </c>
      <c r="O90" s="2">
        <v>63465.979929713794</v>
      </c>
      <c r="P90" s="2">
        <v>336962.36300910084</v>
      </c>
      <c r="Q90" s="2">
        <v>162070.48791711711</v>
      </c>
      <c r="R90" s="2">
        <v>234533.84965301474</v>
      </c>
      <c r="S90" s="2">
        <v>74104.106651831244</v>
      </c>
      <c r="T90" s="2">
        <v>-7418.9851927905811</v>
      </c>
      <c r="U90" s="23">
        <v>3824649.1531144744</v>
      </c>
    </row>
    <row r="91" spans="1:21" x14ac:dyDescent="0.25">
      <c r="A91" s="95"/>
      <c r="B91" s="100"/>
      <c r="C91" s="16" t="s">
        <v>30</v>
      </c>
      <c r="D91" s="2">
        <v>399489.7562560325</v>
      </c>
      <c r="E91" s="2">
        <v>44855.203872211445</v>
      </c>
      <c r="F91" s="2">
        <v>482147.93827585626</v>
      </c>
      <c r="G91" s="2">
        <v>25295.411206018733</v>
      </c>
      <c r="H91" s="2">
        <v>199168.85076403138</v>
      </c>
      <c r="I91" s="2">
        <v>47614.398163510785</v>
      </c>
      <c r="J91" s="2">
        <v>694743.60058554658</v>
      </c>
      <c r="K91" s="2">
        <v>561661.96082857298</v>
      </c>
      <c r="L91" s="2">
        <v>83531.520381160313</v>
      </c>
      <c r="M91" s="2">
        <v>272559.45174657821</v>
      </c>
      <c r="N91" s="2">
        <v>100615.59176936529</v>
      </c>
      <c r="O91" s="2">
        <v>57356.571452065364</v>
      </c>
      <c r="P91" s="2">
        <v>456418.2465984429</v>
      </c>
      <c r="Q91" s="2">
        <v>162466.99658072807</v>
      </c>
      <c r="R91" s="2">
        <v>245591.39782682492</v>
      </c>
      <c r="S91" s="2">
        <v>77453.227895784628</v>
      </c>
      <c r="T91" s="2">
        <v>-7547.0765894022688</v>
      </c>
      <c r="U91" s="23">
        <v>3822863.7634235197</v>
      </c>
    </row>
    <row r="92" spans="1:21" x14ac:dyDescent="0.25">
      <c r="A92" s="95"/>
      <c r="B92" s="101"/>
      <c r="C92" s="28" t="s">
        <v>31</v>
      </c>
      <c r="D92" s="20">
        <v>231372.8236922783</v>
      </c>
      <c r="E92" s="20">
        <v>62636.312397223955</v>
      </c>
      <c r="F92" s="20">
        <v>474576.49179846502</v>
      </c>
      <c r="G92" s="20">
        <v>22697.543395592198</v>
      </c>
      <c r="H92" s="20">
        <v>263636.92905059189</v>
      </c>
      <c r="I92" s="20">
        <v>57576.323579214928</v>
      </c>
      <c r="J92" s="20">
        <v>765638.73610200989</v>
      </c>
      <c r="K92" s="20">
        <v>573424.88322295796</v>
      </c>
      <c r="L92" s="20">
        <v>91710.6110557379</v>
      </c>
      <c r="M92" s="20">
        <v>244046.61853836683</v>
      </c>
      <c r="N92" s="20">
        <v>81757.036270506986</v>
      </c>
      <c r="O92" s="20">
        <v>128879.46799807358</v>
      </c>
      <c r="P92" s="20">
        <v>500703.60959010833</v>
      </c>
      <c r="Q92" s="20">
        <v>163042.45311760996</v>
      </c>
      <c r="R92" s="20">
        <v>254676.34778428805</v>
      </c>
      <c r="S92" s="20">
        <v>134943.05098795533</v>
      </c>
      <c r="T92" s="20">
        <v>-993.17786962960258</v>
      </c>
      <c r="U92" s="24">
        <v>3959706.0320605543</v>
      </c>
    </row>
    <row r="93" spans="1:21" x14ac:dyDescent="0.25">
      <c r="A93" s="95"/>
      <c r="B93" s="60"/>
      <c r="C93" s="53" t="s">
        <v>51</v>
      </c>
      <c r="D93" s="35">
        <v>2062742.7205677375</v>
      </c>
      <c r="E93" s="35">
        <v>212863.35706465546</v>
      </c>
      <c r="F93" s="35">
        <v>1826093.0271756179</v>
      </c>
      <c r="G93" s="35">
        <v>83376.86522507442</v>
      </c>
      <c r="H93" s="35">
        <v>911883.69904130301</v>
      </c>
      <c r="I93" s="35">
        <v>217228.54202944535</v>
      </c>
      <c r="J93" s="35">
        <v>1728347.0382318641</v>
      </c>
      <c r="K93" s="35">
        <v>2343461.7729061651</v>
      </c>
      <c r="L93" s="35">
        <v>386611.49015387683</v>
      </c>
      <c r="M93" s="35">
        <v>600823.06559023459</v>
      </c>
      <c r="N93" s="35">
        <v>333691.98683651647</v>
      </c>
      <c r="O93" s="35">
        <v>305166.27480850788</v>
      </c>
      <c r="P93" s="35">
        <v>1623343.6504573228</v>
      </c>
      <c r="Q93" s="35">
        <v>618585.09683610033</v>
      </c>
      <c r="R93" s="35">
        <v>994845.18570459902</v>
      </c>
      <c r="S93" s="35">
        <v>562178.8349825039</v>
      </c>
      <c r="T93" s="35">
        <v>-215334.71234933933</v>
      </c>
      <c r="U93" s="36">
        <v>14682064.558229282</v>
      </c>
    </row>
    <row r="94" spans="1:21" x14ac:dyDescent="0.25">
      <c r="A94" s="95"/>
      <c r="B94" s="100">
        <v>2020</v>
      </c>
      <c r="C94" s="16" t="s">
        <v>28</v>
      </c>
      <c r="D94" s="2">
        <v>612894.11028727074</v>
      </c>
      <c r="E94" s="2">
        <v>66855.281557379145</v>
      </c>
      <c r="F94" s="2">
        <v>494620.79843438225</v>
      </c>
      <c r="G94" s="2">
        <v>21909.501499128302</v>
      </c>
      <c r="H94" s="2">
        <v>224724.20835730431</v>
      </c>
      <c r="I94" s="2">
        <v>57603.895148809141</v>
      </c>
      <c r="J94" s="2">
        <v>436047.21589999594</v>
      </c>
      <c r="K94" s="2">
        <v>585542.05068094144</v>
      </c>
      <c r="L94" s="2">
        <v>68527.660922507785</v>
      </c>
      <c r="M94" s="2">
        <v>225711.26894212773</v>
      </c>
      <c r="N94" s="2">
        <v>83437.502543342212</v>
      </c>
      <c r="O94" s="2">
        <v>122407.9749595086</v>
      </c>
      <c r="P94" s="2">
        <v>415748.92499198823</v>
      </c>
      <c r="Q94" s="2">
        <v>166220.78915104654</v>
      </c>
      <c r="R94" s="2">
        <v>284191.01996822766</v>
      </c>
      <c r="S94" s="2">
        <v>136492.48179393934</v>
      </c>
      <c r="T94" s="2">
        <v>-73611.135409633454</v>
      </c>
      <c r="U94" s="23">
        <v>3934764.3902258808</v>
      </c>
    </row>
    <row r="95" spans="1:21" x14ac:dyDescent="0.25">
      <c r="A95" s="95"/>
      <c r="B95" s="100"/>
      <c r="C95" s="16" t="s">
        <v>29</v>
      </c>
      <c r="D95" s="2">
        <v>753142.5691416373</v>
      </c>
      <c r="E95" s="2">
        <v>40984.381395459444</v>
      </c>
      <c r="F95" s="2">
        <v>455100.77269670507</v>
      </c>
      <c r="G95" s="2">
        <v>18684.398188990683</v>
      </c>
      <c r="H95" s="2">
        <v>188785.57407912859</v>
      </c>
      <c r="I95" s="2">
        <v>54341.473959008581</v>
      </c>
      <c r="J95" s="2">
        <v>239049.62957010485</v>
      </c>
      <c r="K95" s="2">
        <v>487615.03676769853</v>
      </c>
      <c r="L95" s="2">
        <v>144722.63600012325</v>
      </c>
      <c r="M95" s="2">
        <v>49064.188684392429</v>
      </c>
      <c r="N95" s="2">
        <v>84095.777563830139</v>
      </c>
      <c r="O95" s="2">
        <v>79414.56709447391</v>
      </c>
      <c r="P95" s="2">
        <v>312834.2209823741</v>
      </c>
      <c r="Q95" s="2">
        <v>133563.66515310327</v>
      </c>
      <c r="R95" s="2">
        <v>195260.31573833106</v>
      </c>
      <c r="S95" s="2">
        <v>129698.10311631199</v>
      </c>
      <c r="T95" s="2">
        <v>-28803.97318082293</v>
      </c>
      <c r="U95" s="23">
        <v>3423389.6605199971</v>
      </c>
    </row>
    <row r="96" spans="1:21" x14ac:dyDescent="0.25">
      <c r="A96" s="95"/>
      <c r="B96" s="100"/>
      <c r="C96" s="16" t="s">
        <v>30</v>
      </c>
      <c r="D96" s="2">
        <v>422839.73114521278</v>
      </c>
      <c r="E96" s="2">
        <v>37937.361315298906</v>
      </c>
      <c r="F96" s="2">
        <v>454560.76413929503</v>
      </c>
      <c r="G96" s="2">
        <v>19111.78563736767</v>
      </c>
      <c r="H96" s="2">
        <v>214368.07289685705</v>
      </c>
      <c r="I96" s="2">
        <v>49143.004853753257</v>
      </c>
      <c r="J96" s="2">
        <v>489633.48880376539</v>
      </c>
      <c r="K96" s="2">
        <v>579910.59114308178</v>
      </c>
      <c r="L96" s="2">
        <v>83268.636364502439</v>
      </c>
      <c r="M96" s="2">
        <v>87411.160897545909</v>
      </c>
      <c r="N96" s="2">
        <v>87203.499984309819</v>
      </c>
      <c r="O96" s="2">
        <v>54241.89814150567</v>
      </c>
      <c r="P96" s="2">
        <v>431908.05117437954</v>
      </c>
      <c r="Q96" s="2">
        <v>150682.63888264608</v>
      </c>
      <c r="R96" s="2">
        <v>259583.76818883209</v>
      </c>
      <c r="S96" s="2">
        <v>145696.93184933509</v>
      </c>
      <c r="T96" s="2">
        <v>-51937.888770859427</v>
      </c>
      <c r="U96" s="23">
        <v>3558678.3660143614</v>
      </c>
    </row>
    <row r="97" spans="1:21" x14ac:dyDescent="0.25">
      <c r="A97" s="95"/>
      <c r="B97" s="101"/>
      <c r="C97" s="28" t="s">
        <v>31</v>
      </c>
      <c r="D97" s="20">
        <v>273866.30999361648</v>
      </c>
      <c r="E97" s="20">
        <v>67086.332796517949</v>
      </c>
      <c r="F97" s="20">
        <v>421810.69190523541</v>
      </c>
      <c r="G97" s="20">
        <v>23671.179899587773</v>
      </c>
      <c r="H97" s="20">
        <v>284005.84370801313</v>
      </c>
      <c r="I97" s="20">
        <v>56140.16806787438</v>
      </c>
      <c r="J97" s="20">
        <v>563616.70395799784</v>
      </c>
      <c r="K97" s="20">
        <v>690394.09431444353</v>
      </c>
      <c r="L97" s="20">
        <v>90092.55686674334</v>
      </c>
      <c r="M97" s="20">
        <v>238636.44706616848</v>
      </c>
      <c r="N97" s="20">
        <v>78955.206745034331</v>
      </c>
      <c r="O97" s="20">
        <v>49101.834613019688</v>
      </c>
      <c r="P97" s="20">
        <v>462852.45330858108</v>
      </c>
      <c r="Q97" s="20">
        <v>168118.00364930439</v>
      </c>
      <c r="R97" s="20">
        <v>255810.08180920812</v>
      </c>
      <c r="S97" s="20">
        <v>150291.31822291753</v>
      </c>
      <c r="T97" s="20">
        <v>-60981.714988023523</v>
      </c>
      <c r="U97" s="24">
        <v>3765232.1414690427</v>
      </c>
    </row>
    <row r="98" spans="1:21" x14ac:dyDescent="0.25">
      <c r="A98" s="95"/>
      <c r="B98" s="60"/>
      <c r="C98" s="53" t="s">
        <v>51</v>
      </c>
      <c r="D98" s="35">
        <v>2168767.696404919</v>
      </c>
      <c r="E98" s="35">
        <v>311674.52741406846</v>
      </c>
      <c r="F98" s="35">
        <v>1616993.9326330991</v>
      </c>
      <c r="G98" s="35">
        <v>92073.072268049698</v>
      </c>
      <c r="H98" s="35">
        <v>967075.25891215121</v>
      </c>
      <c r="I98" s="35">
        <v>221116.93293177238</v>
      </c>
      <c r="J98" s="35">
        <v>1612720.6213741526</v>
      </c>
      <c r="K98" s="35">
        <v>2671312.0749357375</v>
      </c>
      <c r="L98" s="35">
        <v>300358.46670054691</v>
      </c>
      <c r="M98" s="35">
        <v>774400.84923925321</v>
      </c>
      <c r="N98" s="35">
        <v>338196.82865880954</v>
      </c>
      <c r="O98" s="35">
        <v>256461.73734907003</v>
      </c>
      <c r="P98" s="35">
        <v>1662628.5667983904</v>
      </c>
      <c r="Q98" s="35">
        <v>637142.64974118304</v>
      </c>
      <c r="R98" s="35">
        <v>1073022.1463973967</v>
      </c>
      <c r="S98" s="35">
        <v>517084.73360662878</v>
      </c>
      <c r="T98" s="35">
        <v>-354257.57078456105</v>
      </c>
      <c r="U98" s="36">
        <v>14842184.76104378</v>
      </c>
    </row>
    <row r="99" spans="1:21" x14ac:dyDescent="0.25">
      <c r="A99" s="95"/>
      <c r="B99" s="100">
        <v>2021</v>
      </c>
      <c r="C99" s="16" t="s">
        <v>28</v>
      </c>
      <c r="D99" s="2">
        <v>546551.07643521752</v>
      </c>
      <c r="E99" s="2">
        <v>89521.598346043815</v>
      </c>
      <c r="F99" s="2">
        <v>399743.51864040294</v>
      </c>
      <c r="G99" s="2">
        <v>27880.218406344455</v>
      </c>
      <c r="H99" s="2">
        <v>226807.0855340735</v>
      </c>
      <c r="I99" s="2">
        <v>58096.94042487663</v>
      </c>
      <c r="J99" s="2">
        <v>317262.37942262425</v>
      </c>
      <c r="K99" s="2">
        <v>572713.10350588348</v>
      </c>
      <c r="L99" s="2">
        <v>68904.025835192806</v>
      </c>
      <c r="M99" s="2">
        <v>214049.66214244408</v>
      </c>
      <c r="N99" s="2">
        <v>80465.42637042336</v>
      </c>
      <c r="O99" s="2">
        <v>59126.045730075515</v>
      </c>
      <c r="P99" s="2">
        <v>432140.93423122959</v>
      </c>
      <c r="Q99" s="2">
        <v>171001.13885729935</v>
      </c>
      <c r="R99" s="2">
        <v>271758.19822584762</v>
      </c>
      <c r="S99" s="2">
        <v>129374.97379913743</v>
      </c>
      <c r="T99" s="2">
        <v>-74003.380031088353</v>
      </c>
      <c r="U99" s="23">
        <v>3610832.576111116</v>
      </c>
    </row>
    <row r="100" spans="1:21" x14ac:dyDescent="0.25">
      <c r="A100" s="95"/>
      <c r="B100" s="100"/>
      <c r="C100" s="16" t="s">
        <v>29</v>
      </c>
      <c r="D100" s="2">
        <v>834227.34546651167</v>
      </c>
      <c r="E100" s="2">
        <v>69100.819933610575</v>
      </c>
      <c r="F100" s="2">
        <v>399221.81345542253</v>
      </c>
      <c r="G100" s="2">
        <v>16858.979529892382</v>
      </c>
      <c r="H100" s="2">
        <v>200277.83401604276</v>
      </c>
      <c r="I100" s="2">
        <v>55535.437178683962</v>
      </c>
      <c r="J100" s="2">
        <v>164070.38873776491</v>
      </c>
      <c r="K100" s="2">
        <v>537682.63670091471</v>
      </c>
      <c r="L100" s="2">
        <v>129390.55437609265</v>
      </c>
      <c r="M100" s="2">
        <v>78980.905605249558</v>
      </c>
      <c r="N100" s="2">
        <v>89598.875851768258</v>
      </c>
      <c r="O100" s="2">
        <v>65573.45518078962</v>
      </c>
      <c r="P100" s="2">
        <v>326622.7152327284</v>
      </c>
      <c r="Q100" s="2">
        <v>137541.14696895384</v>
      </c>
      <c r="R100" s="2">
        <v>267750.87267624948</v>
      </c>
      <c r="S100" s="2">
        <v>130435.41917074578</v>
      </c>
      <c r="T100" s="2">
        <v>-85989.384054123773</v>
      </c>
      <c r="U100" s="23">
        <v>3506612.0729667712</v>
      </c>
    </row>
    <row r="101" spans="1:21" x14ac:dyDescent="0.25">
      <c r="A101" s="95"/>
      <c r="B101" s="100"/>
      <c r="C101" s="16" t="s">
        <v>30</v>
      </c>
      <c r="D101" s="2">
        <v>460386.94588419137</v>
      </c>
      <c r="E101" s="2">
        <v>66653.89023126231</v>
      </c>
      <c r="F101" s="2">
        <v>405682.84822256281</v>
      </c>
      <c r="G101" s="2">
        <v>18619.703893108046</v>
      </c>
      <c r="H101" s="2">
        <v>245364.76304387752</v>
      </c>
      <c r="I101" s="2">
        <v>50239.86504322035</v>
      </c>
      <c r="J101" s="2">
        <v>447804.99065461563</v>
      </c>
      <c r="K101" s="2">
        <v>718107.62695221044</v>
      </c>
      <c r="L101" s="2">
        <v>40802.741317992972</v>
      </c>
      <c r="M101" s="2">
        <v>148410.19955186115</v>
      </c>
      <c r="N101" s="2">
        <v>93011.824548583041</v>
      </c>
      <c r="O101" s="2">
        <v>67059.223639485543</v>
      </c>
      <c r="P101" s="2">
        <v>439920.95771177451</v>
      </c>
      <c r="Q101" s="2">
        <v>155263.48100831258</v>
      </c>
      <c r="R101" s="2">
        <v>256641.18668121676</v>
      </c>
      <c r="S101" s="2">
        <v>127410.16546158608</v>
      </c>
      <c r="T101" s="2">
        <v>-92740.255121626411</v>
      </c>
      <c r="U101" s="23">
        <v>3648724.4441596786</v>
      </c>
    </row>
    <row r="102" spans="1:21" x14ac:dyDescent="0.25">
      <c r="A102" s="95"/>
      <c r="B102" s="101"/>
      <c r="C102" s="28" t="s">
        <v>31</v>
      </c>
      <c r="D102" s="20">
        <v>327602.32861899852</v>
      </c>
      <c r="E102" s="20">
        <v>86398.218903151763</v>
      </c>
      <c r="F102" s="20">
        <v>412345.75231471087</v>
      </c>
      <c r="G102" s="20">
        <v>28714.170438704816</v>
      </c>
      <c r="H102" s="20">
        <v>294625.57631815731</v>
      </c>
      <c r="I102" s="20">
        <v>57244.690284991419</v>
      </c>
      <c r="J102" s="20">
        <v>683582.86255914788</v>
      </c>
      <c r="K102" s="20">
        <v>842808.7077767289</v>
      </c>
      <c r="L102" s="20">
        <v>61261.145171268465</v>
      </c>
      <c r="M102" s="20">
        <v>332960.08193969843</v>
      </c>
      <c r="N102" s="20">
        <v>75120.701888034848</v>
      </c>
      <c r="O102" s="20">
        <v>64703.012798719326</v>
      </c>
      <c r="P102" s="20">
        <v>463943.95962265792</v>
      </c>
      <c r="Q102" s="20">
        <v>173336.88290661731</v>
      </c>
      <c r="R102" s="20">
        <v>276871.88881408283</v>
      </c>
      <c r="S102" s="20">
        <v>129864.17517515946</v>
      </c>
      <c r="T102" s="20">
        <v>-101524.55157772246</v>
      </c>
      <c r="U102" s="24">
        <v>4076015.6678062128</v>
      </c>
    </row>
    <row r="103" spans="1:21" x14ac:dyDescent="0.25">
      <c r="A103" s="95"/>
      <c r="B103" s="60"/>
      <c r="C103" s="53" t="s">
        <v>51</v>
      </c>
      <c r="D103" s="35">
        <v>2251180.8688683058</v>
      </c>
      <c r="E103" s="35">
        <v>324764.85756545933</v>
      </c>
      <c r="F103" s="35">
        <v>1698038.1656746096</v>
      </c>
      <c r="G103" s="35">
        <v>97072.640092204791</v>
      </c>
      <c r="H103" s="35">
        <v>996082.7428982663</v>
      </c>
      <c r="I103" s="35">
        <v>232245.56774278078</v>
      </c>
      <c r="J103" s="35">
        <v>1701581.5276118685</v>
      </c>
      <c r="K103" s="35">
        <v>2700429.3765525366</v>
      </c>
      <c r="L103" s="35">
        <v>314835.74479551322</v>
      </c>
      <c r="M103" s="35">
        <v>1028481.7678746522</v>
      </c>
      <c r="N103" s="35">
        <v>322301.57771184557</v>
      </c>
      <c r="O103" s="35">
        <v>238225.52328078353</v>
      </c>
      <c r="P103" s="35">
        <v>1785155.1423956682</v>
      </c>
      <c r="Q103" s="35">
        <v>656256.92923341878</v>
      </c>
      <c r="R103" s="35">
        <v>1125792.0217296795</v>
      </c>
      <c r="S103" s="35">
        <v>498779.70452298957</v>
      </c>
      <c r="T103" s="35">
        <v>-477064.62487038522</v>
      </c>
      <c r="U103" s="36">
        <v>15370194.306451254</v>
      </c>
    </row>
    <row r="104" spans="1:21" x14ac:dyDescent="0.25">
      <c r="A104" s="95"/>
      <c r="B104" s="100">
        <v>2022</v>
      </c>
      <c r="C104" s="16" t="s">
        <v>28</v>
      </c>
      <c r="D104" s="2">
        <v>525215.55404471629</v>
      </c>
      <c r="E104" s="2">
        <v>92857.89514425263</v>
      </c>
      <c r="F104" s="2">
        <v>427795.39827746281</v>
      </c>
      <c r="G104" s="2">
        <v>20475.65422893305</v>
      </c>
      <c r="H104" s="2">
        <v>250244.77052921144</v>
      </c>
      <c r="I104" s="2">
        <v>59567.430386171218</v>
      </c>
      <c r="J104" s="2">
        <v>349198.67550025391</v>
      </c>
      <c r="K104" s="2">
        <v>617346.94350262219</v>
      </c>
      <c r="L104" s="2">
        <v>73030.261961726064</v>
      </c>
      <c r="M104" s="2">
        <v>281824.86031486827</v>
      </c>
      <c r="N104" s="2">
        <v>77045.427727051123</v>
      </c>
      <c r="O104" s="2">
        <v>65722.491904949813</v>
      </c>
      <c r="P104" s="2">
        <v>458895.20208700496</v>
      </c>
      <c r="Q104" s="2">
        <v>175872.39568188012</v>
      </c>
      <c r="R104" s="2">
        <v>252329.31549842123</v>
      </c>
      <c r="S104" s="2">
        <v>108973.06950368262</v>
      </c>
      <c r="T104" s="2">
        <v>-107270.04784929082</v>
      </c>
      <c r="U104" s="23">
        <v>3738322.0759116639</v>
      </c>
    </row>
    <row r="105" spans="1:21" x14ac:dyDescent="0.25">
      <c r="A105" s="95"/>
      <c r="B105" s="100"/>
      <c r="C105" s="16" t="s">
        <v>29</v>
      </c>
      <c r="D105" s="2">
        <v>1047422.1756651422</v>
      </c>
      <c r="E105" s="2">
        <v>74264.926381547542</v>
      </c>
      <c r="F105" s="2">
        <v>428669.75268514117</v>
      </c>
      <c r="G105" s="2">
        <v>25058.783655899439</v>
      </c>
      <c r="H105" s="2">
        <v>210464.66755368136</v>
      </c>
      <c r="I105" s="2">
        <v>57113.840180350278</v>
      </c>
      <c r="J105" s="2">
        <v>183834.95616723603</v>
      </c>
      <c r="K105" s="2">
        <v>658763.3631517886</v>
      </c>
      <c r="L105" s="2">
        <v>131519.30982454546</v>
      </c>
      <c r="M105" s="2">
        <v>105717.21577558175</v>
      </c>
      <c r="N105" s="2">
        <v>85714.026211765638</v>
      </c>
      <c r="O105" s="2">
        <v>65411.070398284828</v>
      </c>
      <c r="P105" s="2">
        <v>335357.10723382083</v>
      </c>
      <c r="Q105" s="2">
        <v>141605.78050437188</v>
      </c>
      <c r="R105" s="2">
        <v>278209.46170832723</v>
      </c>
      <c r="S105" s="2">
        <v>102819.21419643251</v>
      </c>
      <c r="T105" s="2">
        <v>-126497.97581782872</v>
      </c>
      <c r="U105" s="23">
        <v>3992411.0642431974</v>
      </c>
    </row>
    <row r="106" spans="1:21" x14ac:dyDescent="0.25">
      <c r="A106" s="95"/>
      <c r="B106" s="100"/>
      <c r="C106" s="16" t="s">
        <v>30</v>
      </c>
      <c r="D106" s="2">
        <v>386636.03610961721</v>
      </c>
      <c r="E106" s="2">
        <v>63023.538737776122</v>
      </c>
      <c r="F106" s="2">
        <v>437713.12214296486</v>
      </c>
      <c r="G106" s="2">
        <v>21265.67675994795</v>
      </c>
      <c r="H106" s="2">
        <v>244520.18792136502</v>
      </c>
      <c r="I106" s="2">
        <v>53011.933649825303</v>
      </c>
      <c r="J106" s="2">
        <v>419544.38514404319</v>
      </c>
      <c r="K106" s="2">
        <v>644167.92139064253</v>
      </c>
      <c r="L106" s="2">
        <v>44079.044789830601</v>
      </c>
      <c r="M106" s="2">
        <v>186723.33192496165</v>
      </c>
      <c r="N106" s="2">
        <v>90037.065713554286</v>
      </c>
      <c r="O106" s="2">
        <v>55227.46123097925</v>
      </c>
      <c r="P106" s="2">
        <v>478804.99061455351</v>
      </c>
      <c r="Q106" s="2">
        <v>159984.05760600092</v>
      </c>
      <c r="R106" s="2">
        <v>283283.04375027638</v>
      </c>
      <c r="S106" s="2">
        <v>119864.45408479236</v>
      </c>
      <c r="T106" s="2">
        <v>-126443.27240956813</v>
      </c>
      <c r="U106" s="23">
        <v>3567498.6271995041</v>
      </c>
    </row>
    <row r="107" spans="1:21" x14ac:dyDescent="0.25">
      <c r="A107" s="95"/>
      <c r="B107" s="101"/>
      <c r="C107" s="28" t="s">
        <v>31</v>
      </c>
      <c r="D107" s="20">
        <v>291907.10304883012</v>
      </c>
      <c r="E107" s="20">
        <v>94618.497301883035</v>
      </c>
      <c r="F107" s="20">
        <v>403859.89256904082</v>
      </c>
      <c r="G107" s="20">
        <v>30272.525447424359</v>
      </c>
      <c r="H107" s="20">
        <v>290853.11689400848</v>
      </c>
      <c r="I107" s="20">
        <v>62552.363526433968</v>
      </c>
      <c r="J107" s="20">
        <v>749003.51080033532</v>
      </c>
      <c r="K107" s="20">
        <v>780151.1485074833</v>
      </c>
      <c r="L107" s="20">
        <v>66207.128219411112</v>
      </c>
      <c r="M107" s="20">
        <v>454216.35985924047</v>
      </c>
      <c r="N107" s="20">
        <v>69505.058059474497</v>
      </c>
      <c r="O107" s="20">
        <v>51864.499746569629</v>
      </c>
      <c r="P107" s="20">
        <v>512097.84246028878</v>
      </c>
      <c r="Q107" s="20">
        <v>178794.69544116582</v>
      </c>
      <c r="R107" s="20">
        <v>311970.20077265473</v>
      </c>
      <c r="S107" s="20">
        <v>167122.96673808206</v>
      </c>
      <c r="T107" s="20">
        <v>-116853.32879369757</v>
      </c>
      <c r="U107" s="24">
        <v>4071962.5390968882</v>
      </c>
    </row>
    <row r="108" spans="1:21" x14ac:dyDescent="0.25">
      <c r="A108" s="95"/>
      <c r="B108" s="60"/>
      <c r="C108" s="53" t="s">
        <v>51</v>
      </c>
      <c r="D108" s="35">
        <v>2310883.6738986871</v>
      </c>
      <c r="E108" s="35">
        <v>333909.26615907758</v>
      </c>
      <c r="F108" s="35">
        <v>1657006.72783673</v>
      </c>
      <c r="G108" s="35">
        <v>108954.99297586828</v>
      </c>
      <c r="H108" s="35">
        <v>1050178.9004223491</v>
      </c>
      <c r="I108" s="35">
        <v>244455.03760879842</v>
      </c>
      <c r="J108" s="35">
        <v>1675914.9588779488</v>
      </c>
      <c r="K108" s="35">
        <v>2765810.8712505493</v>
      </c>
      <c r="L108" s="35">
        <v>303104.52553816867</v>
      </c>
      <c r="M108" s="35">
        <v>1036579.8637673511</v>
      </c>
      <c r="N108" s="35">
        <v>326719.39455203444</v>
      </c>
      <c r="O108" s="35">
        <v>228268.40809694864</v>
      </c>
      <c r="P108" s="35">
        <v>1853844.9967582326</v>
      </c>
      <c r="Q108" s="35">
        <v>674869.64113868284</v>
      </c>
      <c r="R108" s="35">
        <v>1175629.6834022761</v>
      </c>
      <c r="S108" s="35">
        <v>445842.47500828968</v>
      </c>
      <c r="T108" s="35">
        <v>-471834.24066588667</v>
      </c>
      <c r="U108" s="36">
        <v>15573106.365962267</v>
      </c>
    </row>
    <row r="109" spans="1:21" x14ac:dyDescent="0.25">
      <c r="A109" s="95"/>
      <c r="B109" s="100">
        <v>2023</v>
      </c>
      <c r="C109" s="16" t="s">
        <v>28</v>
      </c>
      <c r="D109" s="2">
        <v>509433.23446909949</v>
      </c>
      <c r="E109" s="2">
        <v>95899.522278312259</v>
      </c>
      <c r="F109" s="2">
        <v>401112.96381354058</v>
      </c>
      <c r="G109" s="2">
        <v>25839.586115046422</v>
      </c>
      <c r="H109" s="2">
        <v>254068.99310617647</v>
      </c>
      <c r="I109" s="2">
        <v>64369.93906054549</v>
      </c>
      <c r="J109" s="2">
        <v>326511.5893447487</v>
      </c>
      <c r="K109" s="2">
        <v>626473.76405900856</v>
      </c>
      <c r="L109" s="2">
        <v>70235.728291440566</v>
      </c>
      <c r="M109" s="2">
        <v>349247.0009558677</v>
      </c>
      <c r="N109" s="2">
        <v>82688.926693159476</v>
      </c>
      <c r="O109" s="2">
        <v>56575.226329000841</v>
      </c>
      <c r="P109" s="2">
        <v>482904.55574308283</v>
      </c>
      <c r="Q109" s="2">
        <v>181078.74488343747</v>
      </c>
      <c r="R109" s="2">
        <v>281844.44307602075</v>
      </c>
      <c r="S109" s="2">
        <v>100157.98177814025</v>
      </c>
      <c r="T109" s="2">
        <v>-109421.43929606638</v>
      </c>
      <c r="U109" s="23">
        <v>3733450.3165444215</v>
      </c>
    </row>
    <row r="110" spans="1:21" x14ac:dyDescent="0.25">
      <c r="A110" s="95"/>
      <c r="B110" s="100"/>
      <c r="C110" s="16" t="s">
        <v>29</v>
      </c>
      <c r="D110" s="2">
        <v>1078274.3479305932</v>
      </c>
      <c r="E110" s="2">
        <v>76669.267922520157</v>
      </c>
      <c r="F110" s="2">
        <v>419951.3602068511</v>
      </c>
      <c r="G110" s="2">
        <v>20835.318425436406</v>
      </c>
      <c r="H110" s="2">
        <v>229781.58546351304</v>
      </c>
      <c r="I110" s="2">
        <v>60147.639421159482</v>
      </c>
      <c r="J110" s="2">
        <v>273052.02977945027</v>
      </c>
      <c r="K110" s="2">
        <v>672788.69588564627</v>
      </c>
      <c r="L110" s="2">
        <v>114632.66769370958</v>
      </c>
      <c r="M110" s="2">
        <v>108039.72623735644</v>
      </c>
      <c r="N110" s="2">
        <v>84553.123664702725</v>
      </c>
      <c r="O110" s="2">
        <v>57679.682234261578</v>
      </c>
      <c r="P110" s="2">
        <v>357697.12085905275</v>
      </c>
      <c r="Q110" s="2">
        <v>145916.22480136191</v>
      </c>
      <c r="R110" s="2">
        <v>325940.85932569247</v>
      </c>
      <c r="S110" s="2">
        <v>95988.82076534981</v>
      </c>
      <c r="T110" s="2">
        <v>-46785.673929967612</v>
      </c>
      <c r="U110" s="23">
        <v>4293044.4131804984</v>
      </c>
    </row>
    <row r="111" spans="1:21" x14ac:dyDescent="0.25">
      <c r="A111" s="95"/>
      <c r="B111" s="100"/>
      <c r="C111" s="16" t="s">
        <v>30</v>
      </c>
      <c r="D111" s="2">
        <v>398283.0044281481</v>
      </c>
      <c r="E111" s="2">
        <v>70018.089767839483</v>
      </c>
      <c r="F111" s="2">
        <v>425524.75259816396</v>
      </c>
      <c r="G111" s="2">
        <v>30906.278201080928</v>
      </c>
      <c r="H111" s="2">
        <v>257947.59769436164</v>
      </c>
      <c r="I111" s="2">
        <v>55508.08073435173</v>
      </c>
      <c r="J111" s="2">
        <v>533030.49007813458</v>
      </c>
      <c r="K111" s="2">
        <v>663601.86687016848</v>
      </c>
      <c r="L111" s="2">
        <v>45590.571756888959</v>
      </c>
      <c r="M111" s="2">
        <v>186977.84476763356</v>
      </c>
      <c r="N111" s="2">
        <v>86254.283667283205</v>
      </c>
      <c r="O111" s="2">
        <v>53780.943430969834</v>
      </c>
      <c r="P111" s="2">
        <v>493884.32783013594</v>
      </c>
      <c r="Q111" s="2">
        <v>163781.03730182038</v>
      </c>
      <c r="R111" s="2">
        <v>286055.01396420115</v>
      </c>
      <c r="S111" s="2">
        <v>124160.51237921129</v>
      </c>
      <c r="T111" s="2">
        <v>-127801.30552522972</v>
      </c>
      <c r="U111" s="23">
        <v>3672267.5546602691</v>
      </c>
    </row>
    <row r="112" spans="1:21" x14ac:dyDescent="0.25">
      <c r="A112" s="95"/>
      <c r="B112" s="101"/>
      <c r="C112" s="28" t="s">
        <v>31</v>
      </c>
      <c r="D112" s="20">
        <v>324893.08707084635</v>
      </c>
      <c r="E112" s="20">
        <v>91322.386190405698</v>
      </c>
      <c r="F112" s="20">
        <v>410417.65121817414</v>
      </c>
      <c r="G112" s="20">
        <v>31373.810234304532</v>
      </c>
      <c r="H112" s="20">
        <v>308380.72415829799</v>
      </c>
      <c r="I112" s="20">
        <v>64429.378392741732</v>
      </c>
      <c r="J112" s="20">
        <v>543320.84967561509</v>
      </c>
      <c r="K112" s="20">
        <v>802946.5444357259</v>
      </c>
      <c r="L112" s="20">
        <v>72645.557796129593</v>
      </c>
      <c r="M112" s="20">
        <v>392315.29180649342</v>
      </c>
      <c r="N112" s="20">
        <v>73223.060526889079</v>
      </c>
      <c r="O112" s="20">
        <v>60232.5561027164</v>
      </c>
      <c r="P112" s="20">
        <v>519358.99232596083</v>
      </c>
      <c r="Q112" s="20">
        <v>184093.63415206299</v>
      </c>
      <c r="R112" s="20">
        <v>281789.36703636171</v>
      </c>
      <c r="S112" s="20">
        <v>125535.16008558834</v>
      </c>
      <c r="T112" s="20">
        <v>-187825.821914623</v>
      </c>
      <c r="U112" s="24">
        <v>3874344.0815770784</v>
      </c>
    </row>
    <row r="113" spans="1:22" x14ac:dyDescent="0.25">
      <c r="A113" s="95"/>
      <c r="B113" s="60"/>
      <c r="C113" s="53" t="s">
        <v>51</v>
      </c>
      <c r="D113" s="35">
        <v>2454573.3568399921</v>
      </c>
      <c r="E113" s="35">
        <v>344664.76370383467</v>
      </c>
      <c r="F113" s="35">
        <v>1712383.5901747067</v>
      </c>
      <c r="G113" s="35">
        <v>156996.6517741596</v>
      </c>
      <c r="H113" s="35">
        <v>1094594.3427531158</v>
      </c>
      <c r="I113" s="35">
        <v>254257.99787249212</v>
      </c>
      <c r="J113" s="35">
        <v>1714690.7200622158</v>
      </c>
      <c r="K113" s="35">
        <v>2805996.7131389794</v>
      </c>
      <c r="L113" s="35">
        <v>328058.53114424116</v>
      </c>
      <c r="M113" s="35">
        <v>1208860.1622500634</v>
      </c>
      <c r="N113" s="35">
        <v>365879.1694873732</v>
      </c>
      <c r="O113" s="35">
        <v>233334.32691147071</v>
      </c>
      <c r="P113" s="35">
        <v>1934597.9094387053</v>
      </c>
      <c r="Q113" s="35">
        <v>691048.4883079112</v>
      </c>
      <c r="R113" s="35">
        <v>1261019.3953091835</v>
      </c>
      <c r="S113" s="35">
        <v>424832.19489164813</v>
      </c>
      <c r="T113" s="35">
        <v>-432329.65923664207</v>
      </c>
      <c r="U113" s="36">
        <v>16344392.272967907</v>
      </c>
    </row>
    <row r="114" spans="1:22" x14ac:dyDescent="0.25">
      <c r="A114" s="95"/>
      <c r="B114" s="100">
        <v>2024</v>
      </c>
      <c r="C114" s="16" t="s">
        <v>28</v>
      </c>
      <c r="D114" s="2">
        <v>556046.7003210698</v>
      </c>
      <c r="E114" s="2">
        <v>88866.130954122636</v>
      </c>
      <c r="F114" s="2">
        <v>425002.23813071998</v>
      </c>
      <c r="G114" s="2">
        <v>26404.689788478783</v>
      </c>
      <c r="H114" s="2">
        <v>258122.18013346204</v>
      </c>
      <c r="I114" s="2">
        <v>67498.689194025676</v>
      </c>
      <c r="J114" s="2">
        <v>333373.38721087214</v>
      </c>
      <c r="K114" s="2">
        <v>656122.60854252311</v>
      </c>
      <c r="L114" s="2">
        <v>74064.564026949069</v>
      </c>
      <c r="M114" s="2">
        <v>438090.03354849067</v>
      </c>
      <c r="N114" s="2">
        <v>72591.299599024132</v>
      </c>
      <c r="O114" s="2">
        <v>57819.201608322146</v>
      </c>
      <c r="P114" s="2">
        <v>506169.56112943141</v>
      </c>
      <c r="Q114" s="2">
        <v>185617.53960531551</v>
      </c>
      <c r="R114" s="2">
        <v>274546.06879165478</v>
      </c>
      <c r="S114" s="2">
        <v>104914.07204787174</v>
      </c>
      <c r="T114" s="2">
        <v>-129599.95359191243</v>
      </c>
      <c r="U114" s="23">
        <v>3904785.6943882476</v>
      </c>
    </row>
    <row r="115" spans="1:22" x14ac:dyDescent="0.25">
      <c r="A115" s="95"/>
      <c r="B115" s="100"/>
      <c r="C115" s="16" t="s">
        <v>29</v>
      </c>
      <c r="D115" s="2">
        <v>1166828.6782803982</v>
      </c>
      <c r="E115" s="2">
        <v>79127.480613276712</v>
      </c>
      <c r="F115" s="2">
        <v>432717.25171204674</v>
      </c>
      <c r="G115" s="2">
        <v>33802.197057829209</v>
      </c>
      <c r="H115" s="2">
        <v>244632.87672120432</v>
      </c>
      <c r="I115" s="2">
        <v>64618.034344169464</v>
      </c>
      <c r="J115" s="2">
        <v>291180.06247312634</v>
      </c>
      <c r="K115" s="2">
        <v>708790.33649130515</v>
      </c>
      <c r="L115" s="2">
        <v>126970.32252139511</v>
      </c>
      <c r="M115" s="2">
        <v>125869.53847247276</v>
      </c>
      <c r="N115" s="2">
        <v>95581.31959594143</v>
      </c>
      <c r="O115" s="2">
        <v>58171.405480744863</v>
      </c>
      <c r="P115" s="2">
        <v>376826.98201009131</v>
      </c>
      <c r="Q115" s="2">
        <v>149559.25530728995</v>
      </c>
      <c r="R115" s="2">
        <v>365373.99707763246</v>
      </c>
      <c r="S115" s="2">
        <v>92923.790360738858</v>
      </c>
      <c r="T115" s="2">
        <v>-86685.501372504456</v>
      </c>
      <c r="U115" s="23">
        <v>4595994.5377293648</v>
      </c>
    </row>
    <row r="116" spans="1:22" x14ac:dyDescent="0.25">
      <c r="A116" s="95"/>
      <c r="B116" s="100"/>
      <c r="C116" s="16" t="s">
        <v>30</v>
      </c>
      <c r="D116" s="2">
        <v>411723.54489336541</v>
      </c>
      <c r="E116" s="2">
        <v>80577.749071739789</v>
      </c>
      <c r="F116" s="2">
        <v>443175.55595188495</v>
      </c>
      <c r="G116" s="2">
        <v>44288.777542186552</v>
      </c>
      <c r="H116" s="2">
        <v>272889.5214611775</v>
      </c>
      <c r="I116" s="2">
        <v>55992.892214979031</v>
      </c>
      <c r="J116" s="2">
        <v>545904.97158705839</v>
      </c>
      <c r="K116" s="2">
        <v>667328.38134633808</v>
      </c>
      <c r="L116" s="2">
        <v>46704.046875235887</v>
      </c>
      <c r="M116" s="2">
        <v>212468.75173536772</v>
      </c>
      <c r="N116" s="2">
        <v>98975.051842158951</v>
      </c>
      <c r="O116" s="2">
        <v>57112.54957929597</v>
      </c>
      <c r="P116" s="2">
        <v>512095.97079017031</v>
      </c>
      <c r="Q116" s="2">
        <v>166856.61216823023</v>
      </c>
      <c r="R116" s="2">
        <v>303833.63017924427</v>
      </c>
      <c r="S116" s="2">
        <v>116138.22619257035</v>
      </c>
      <c r="T116" s="2">
        <v>-100196.98535463841</v>
      </c>
      <c r="U116" s="23">
        <v>3841696.579121151</v>
      </c>
    </row>
    <row r="117" spans="1:22" x14ac:dyDescent="0.25">
      <c r="A117" s="95"/>
      <c r="B117" s="101"/>
      <c r="C117" s="28" t="s">
        <v>31</v>
      </c>
      <c r="D117" s="20">
        <v>319974.43334515835</v>
      </c>
      <c r="E117" s="20">
        <v>96093.403064695551</v>
      </c>
      <c r="F117" s="20">
        <v>411488.54438005493</v>
      </c>
      <c r="G117" s="20">
        <v>52500.987385665059</v>
      </c>
      <c r="H117" s="20">
        <v>318949.76443727204</v>
      </c>
      <c r="I117" s="20">
        <v>66148.382119317961</v>
      </c>
      <c r="J117" s="20">
        <v>544232.29879115906</v>
      </c>
      <c r="K117" s="20">
        <v>773755.38675881329</v>
      </c>
      <c r="L117" s="20">
        <v>80319.597720661113</v>
      </c>
      <c r="M117" s="20">
        <v>432431.83849373233</v>
      </c>
      <c r="N117" s="20">
        <v>98731.498450248662</v>
      </c>
      <c r="O117" s="20">
        <v>60231.170243107743</v>
      </c>
      <c r="P117" s="20">
        <v>539505.39550901228</v>
      </c>
      <c r="Q117" s="20">
        <v>189015.08122707554</v>
      </c>
      <c r="R117" s="20">
        <v>317265.69926065212</v>
      </c>
      <c r="S117" s="20">
        <v>110856.10629046721</v>
      </c>
      <c r="T117" s="20">
        <v>-115847.21891758678</v>
      </c>
      <c r="U117" s="24">
        <v>4001915.4617291447</v>
      </c>
    </row>
    <row r="118" spans="1:22" x14ac:dyDescent="0.25">
      <c r="A118" s="95"/>
      <c r="B118" s="60"/>
      <c r="C118" s="53" t="s">
        <v>51</v>
      </c>
      <c r="D118" s="35">
        <v>2544611.1908761733</v>
      </c>
      <c r="E118" s="35">
        <v>345546.75192520674</v>
      </c>
      <c r="F118" s="35">
        <v>1622835.3252519344</v>
      </c>
      <c r="G118" s="35">
        <v>170160.38595820349</v>
      </c>
      <c r="H118" s="35">
        <v>1209475.8530378356</v>
      </c>
      <c r="I118" s="35">
        <v>256727.42430634523</v>
      </c>
      <c r="J118" s="35">
        <v>1764680.9392085616</v>
      </c>
      <c r="K118" s="35">
        <v>2872254.8976402492</v>
      </c>
      <c r="L118" s="35">
        <v>350478.17815793247</v>
      </c>
      <c r="M118" s="35">
        <v>1285645.8025671474</v>
      </c>
      <c r="N118" s="35">
        <v>550728.44588027545</v>
      </c>
      <c r="O118" s="35">
        <v>250980.7122608099</v>
      </c>
      <c r="P118" s="35">
        <v>2017489.3897228115</v>
      </c>
      <c r="Q118" s="35">
        <v>712141.32763266482</v>
      </c>
      <c r="R118" s="35">
        <v>1285199.6579626186</v>
      </c>
      <c r="S118" s="35">
        <v>384041.31264122436</v>
      </c>
      <c r="T118" s="35">
        <v>-276411.95018131571</v>
      </c>
      <c r="U118" s="36">
        <v>16856549.594760593</v>
      </c>
      <c r="V118" s="6">
        <f>+U118/U113*100-100</f>
        <v>3.1335354244999678</v>
      </c>
    </row>
    <row r="119" spans="1:22" x14ac:dyDescent="0.25">
      <c r="A119" s="95"/>
      <c r="B119" s="100">
        <v>2025</v>
      </c>
      <c r="C119" s="16" t="s">
        <v>28</v>
      </c>
      <c r="D119" s="2">
        <v>581737.26594103524</v>
      </c>
      <c r="E119" s="2">
        <v>90942.002429514949</v>
      </c>
      <c r="F119" s="2">
        <v>407786.76526187774</v>
      </c>
      <c r="G119" s="2">
        <v>39841.264746371759</v>
      </c>
      <c r="H119" s="2">
        <v>272786.27245420765</v>
      </c>
      <c r="I119" s="2">
        <v>67609.817842757562</v>
      </c>
      <c r="J119" s="2">
        <v>351476.62931410805</v>
      </c>
      <c r="K119" s="2">
        <v>672405.95878040115</v>
      </c>
      <c r="L119" s="2">
        <v>71987.832882950475</v>
      </c>
      <c r="M119" s="2">
        <v>460259.30417741329</v>
      </c>
      <c r="N119" s="2">
        <v>105442.79003444548</v>
      </c>
      <c r="O119" s="2">
        <v>61721.563286549666</v>
      </c>
      <c r="P119" s="2">
        <v>558854.65492707305</v>
      </c>
      <c r="Q119" s="2">
        <v>190452.59722460606</v>
      </c>
      <c r="R119" s="2">
        <v>280557.04342860001</v>
      </c>
      <c r="S119" s="2">
        <v>102464.09169897123</v>
      </c>
      <c r="T119" s="2">
        <v>-88992.40871031041</v>
      </c>
      <c r="U119" s="23">
        <v>4074602.5736440495</v>
      </c>
    </row>
    <row r="120" spans="1:22" x14ac:dyDescent="0.25">
      <c r="A120" s="95"/>
      <c r="B120" s="100"/>
      <c r="C120" s="16" t="s">
        <v>29</v>
      </c>
      <c r="D120" s="2">
        <v>1206839.220234226</v>
      </c>
      <c r="E120" s="2">
        <v>79045.915340003485</v>
      </c>
      <c r="F120" s="2">
        <v>396186.78194114432</v>
      </c>
      <c r="G120" s="2">
        <v>36273.250491068808</v>
      </c>
      <c r="H120" s="2">
        <v>261365.22489131475</v>
      </c>
      <c r="I120" s="2">
        <v>66036.063052581667</v>
      </c>
      <c r="J120" s="2">
        <v>297163.47273347952</v>
      </c>
      <c r="K120" s="2">
        <v>716543.92191462219</v>
      </c>
      <c r="L120" s="2">
        <v>137275.14912197914</v>
      </c>
      <c r="M120" s="2">
        <v>136943.18278077545</v>
      </c>
      <c r="N120" s="2">
        <v>154413.03540047369</v>
      </c>
      <c r="O120" s="2">
        <v>61810.939061258701</v>
      </c>
      <c r="P120" s="2">
        <v>357446.97297317808</v>
      </c>
      <c r="Q120" s="2">
        <v>153797.02206250312</v>
      </c>
      <c r="R120" s="2">
        <v>368274.86714232498</v>
      </c>
      <c r="S120" s="2">
        <v>69401.015207304212</v>
      </c>
      <c r="T120" s="2">
        <v>-51024.057078516074</v>
      </c>
      <c r="U120" s="23">
        <v>4667083.2790895067</v>
      </c>
    </row>
    <row r="121" spans="1:22" x14ac:dyDescent="0.25">
      <c r="A121" s="95"/>
      <c r="B121" s="100"/>
      <c r="C121" s="16" t="s">
        <v>30</v>
      </c>
      <c r="D121" s="2">
        <v>426394.24822679511</v>
      </c>
      <c r="E121" s="2">
        <v>73915.943069380621</v>
      </c>
      <c r="F121" s="2">
        <v>412402.07826933509</v>
      </c>
      <c r="G121" s="2">
        <v>45228.667060727661</v>
      </c>
      <c r="H121" s="2">
        <v>302732.50469102093</v>
      </c>
      <c r="I121" s="2">
        <v>55979.702261831168</v>
      </c>
      <c r="J121" s="2">
        <v>560845.84098568547</v>
      </c>
      <c r="K121" s="2">
        <v>681539.33632876992</v>
      </c>
      <c r="L121" s="2">
        <v>46438.07084262267</v>
      </c>
      <c r="M121" s="2">
        <v>231020.38153360365</v>
      </c>
      <c r="N121" s="2">
        <v>153311.34515479836</v>
      </c>
      <c r="O121" s="2">
        <v>62603.454805415313</v>
      </c>
      <c r="P121" s="2">
        <v>538572.96970795782</v>
      </c>
      <c r="Q121" s="2">
        <v>172450.11435676061</v>
      </c>
      <c r="R121" s="2">
        <v>313937.73718933488</v>
      </c>
      <c r="S121" s="2">
        <v>92444.638088695938</v>
      </c>
      <c r="T121" s="2">
        <v>-74583.172050951674</v>
      </c>
      <c r="U121" s="23">
        <v>3907573.0615719571</v>
      </c>
    </row>
    <row r="122" spans="1:22" x14ac:dyDescent="0.25">
      <c r="A122" s="95"/>
      <c r="B122" s="101"/>
      <c r="C122" s="28" t="s">
        <v>31</v>
      </c>
      <c r="D122" s="20">
        <v>329640.45647411689</v>
      </c>
      <c r="E122" s="20">
        <v>101642.89108630766</v>
      </c>
      <c r="F122" s="20">
        <v>406459.69977957732</v>
      </c>
      <c r="G122" s="20">
        <v>48817.20366003528</v>
      </c>
      <c r="H122" s="20">
        <v>372591.85100129235</v>
      </c>
      <c r="I122" s="20">
        <v>67101.841149174827</v>
      </c>
      <c r="J122" s="20">
        <v>555194.9961752888</v>
      </c>
      <c r="K122" s="20">
        <v>801765.68061645608</v>
      </c>
      <c r="L122" s="20">
        <v>94777.125310380216</v>
      </c>
      <c r="M122" s="20">
        <v>457422.93407535506</v>
      </c>
      <c r="N122" s="20">
        <v>137561.27529055791</v>
      </c>
      <c r="O122" s="20">
        <v>64844.755107586207</v>
      </c>
      <c r="P122" s="20">
        <v>562614.79211460229</v>
      </c>
      <c r="Q122" s="20">
        <v>195441.59398879504</v>
      </c>
      <c r="R122" s="20">
        <v>322430.01020235871</v>
      </c>
      <c r="S122" s="20">
        <v>119731.56764625301</v>
      </c>
      <c r="T122" s="20">
        <v>-61812.312341537567</v>
      </c>
      <c r="U122" s="24">
        <v>4207290.6804550793</v>
      </c>
    </row>
    <row r="123" spans="1:22" x14ac:dyDescent="0.25">
      <c r="A123" s="95"/>
      <c r="B123" s="60"/>
      <c r="C123" s="53" t="s">
        <v>51</v>
      </c>
      <c r="D123" s="35">
        <v>591826.58705027995</v>
      </c>
      <c r="E123" s="35">
        <v>98882.093801491937</v>
      </c>
      <c r="F123" s="35">
        <v>406941.70288504619</v>
      </c>
      <c r="G123" s="35">
        <v>41583.739952077165</v>
      </c>
      <c r="H123" s="35">
        <v>292743.23215286201</v>
      </c>
      <c r="I123" s="35">
        <v>73123.37076350073</v>
      </c>
      <c r="J123" s="35">
        <v>357867.666495485</v>
      </c>
      <c r="K123" s="35">
        <v>687242.16180827364</v>
      </c>
      <c r="L123" s="35">
        <v>69593.355534435512</v>
      </c>
      <c r="M123" s="35">
        <v>534451.61375868961</v>
      </c>
      <c r="N123" s="35">
        <v>134573.64250341392</v>
      </c>
      <c r="O123" s="35">
        <v>65940.801973549795</v>
      </c>
      <c r="P123" s="35">
        <v>574655.66313126683</v>
      </c>
      <c r="Q123" s="35">
        <v>196876.90119509309</v>
      </c>
      <c r="R123" s="35">
        <v>283658.85862525488</v>
      </c>
      <c r="S123" s="35">
        <v>88378.667899064181</v>
      </c>
      <c r="T123" s="35">
        <v>-51391.283706272712</v>
      </c>
      <c r="U123" s="36">
        <v>4291557.1080160625</v>
      </c>
      <c r="V123" s="6">
        <f>+U123/U118*100-100</f>
        <v>-74.540714374014129</v>
      </c>
    </row>
    <row r="124" spans="1:22" x14ac:dyDescent="0.25">
      <c r="A124" s="95"/>
      <c r="B124" s="100">
        <v>2026</v>
      </c>
      <c r="C124" s="16" t="s">
        <v>28</v>
      </c>
      <c r="D124" s="2">
        <v>591826.58705027995</v>
      </c>
      <c r="E124" s="2">
        <v>98882.093801491937</v>
      </c>
      <c r="F124" s="2">
        <v>406941.70288504619</v>
      </c>
      <c r="G124" s="2">
        <v>41583.739952077165</v>
      </c>
      <c r="H124" s="2">
        <v>292743.23215286201</v>
      </c>
      <c r="I124" s="2">
        <v>73123.37076350073</v>
      </c>
      <c r="J124" s="2">
        <v>357867.666495485</v>
      </c>
      <c r="K124" s="2">
        <v>687242.16180827364</v>
      </c>
      <c r="L124" s="2">
        <v>69593.355534435512</v>
      </c>
      <c r="M124" s="2">
        <v>534451.61375868961</v>
      </c>
      <c r="N124" s="2">
        <v>134573.64250341392</v>
      </c>
      <c r="O124" s="2">
        <v>65940.801973549795</v>
      </c>
      <c r="P124" s="2">
        <v>574655.66313126683</v>
      </c>
      <c r="Q124" s="2">
        <v>196876.90119509309</v>
      </c>
      <c r="R124" s="2">
        <v>283658.85862525488</v>
      </c>
      <c r="S124" s="2">
        <v>88378.667899064181</v>
      </c>
      <c r="T124" s="2">
        <v>-51391.283706272712</v>
      </c>
      <c r="U124" s="23">
        <v>4291557.1080160625</v>
      </c>
    </row>
    <row r="125" spans="1:22" x14ac:dyDescent="0.25">
      <c r="A125" s="95"/>
      <c r="B125" s="100"/>
      <c r="C125" s="16" t="s">
        <v>29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2" x14ac:dyDescent="0.25">
      <c r="A126" s="95"/>
      <c r="B126" s="100"/>
      <c r="C126" s="16" t="s">
        <v>30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3"/>
    </row>
    <row r="127" spans="1:22" x14ac:dyDescent="0.25">
      <c r="A127" s="95"/>
      <c r="B127" s="101"/>
      <c r="C127" s="28" t="s">
        <v>31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4"/>
    </row>
  </sheetData>
  <mergeCells count="28">
    <mergeCell ref="B124:B127"/>
    <mergeCell ref="A1:A127"/>
    <mergeCell ref="C1:U1"/>
    <mergeCell ref="B2:C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B54:B57"/>
    <mergeCell ref="B59:B62"/>
    <mergeCell ref="B64:B67"/>
    <mergeCell ref="B69:B72"/>
    <mergeCell ref="B74:B77"/>
    <mergeCell ref="B79:B82"/>
    <mergeCell ref="B84:B87"/>
    <mergeCell ref="B89:B92"/>
    <mergeCell ref="B119:B122"/>
    <mergeCell ref="B94:B97"/>
    <mergeCell ref="B99:B102"/>
    <mergeCell ref="B104:B107"/>
    <mergeCell ref="B109:B112"/>
    <mergeCell ref="B114:B11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1"/>
  <sheetViews>
    <sheetView showGridLines="0" zoomScale="115" zoomScaleNormal="115" workbookViewId="0">
      <pane xSplit="3" ySplit="2" topLeftCell="D3" activePane="bottomRight" state="frozen"/>
      <selection activeCell="B1" sqref="B1:T1"/>
      <selection pane="topRight" activeCell="B1" sqref="B1:T1"/>
      <selection pane="bottomLeft" activeCell="B1" sqref="B1:T1"/>
      <selection pane="bottomRight" activeCell="C7" sqref="C7"/>
    </sheetView>
  </sheetViews>
  <sheetFormatPr defaultRowHeight="15.75" x14ac:dyDescent="0.25"/>
  <cols>
    <col min="2" max="2" width="6" style="18" customWidth="1"/>
    <col min="3" max="3" width="8.5" style="18" customWidth="1"/>
    <col min="4" max="4" width="16.625" customWidth="1"/>
  </cols>
  <sheetData>
    <row r="1" spans="1:23" x14ac:dyDescent="0.25">
      <c r="A1" s="95"/>
      <c r="C1" s="102" t="s">
        <v>34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61" t="s">
        <v>28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3">
        <v>0</v>
      </c>
    </row>
    <row r="4" spans="1:23" x14ac:dyDescent="0.25">
      <c r="A4" s="95"/>
      <c r="B4" s="100"/>
      <c r="C4" s="19" t="s">
        <v>29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3">
        <v>0</v>
      </c>
    </row>
    <row r="5" spans="1:23" x14ac:dyDescent="0.25">
      <c r="A5" s="95"/>
      <c r="B5" s="100"/>
      <c r="C5" s="19" t="s">
        <v>30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3">
        <v>0</v>
      </c>
    </row>
    <row r="6" spans="1:23" x14ac:dyDescent="0.25">
      <c r="A6" s="95"/>
      <c r="B6" s="101"/>
      <c r="C6" s="52" t="s">
        <v>31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4">
        <v>0</v>
      </c>
    </row>
    <row r="7" spans="1:23" x14ac:dyDescent="0.25">
      <c r="A7" s="95"/>
      <c r="B7" s="57"/>
      <c r="C7" s="57" t="s">
        <v>51</v>
      </c>
      <c r="D7" s="26">
        <v>8.3983943389876146</v>
      </c>
      <c r="E7" s="26">
        <v>7.5785256720993743</v>
      </c>
      <c r="F7" s="26">
        <v>-3.8749524772044452</v>
      </c>
      <c r="G7" s="26">
        <v>19.806284674996107</v>
      </c>
      <c r="H7" s="26">
        <v>6.2291452826921585</v>
      </c>
      <c r="I7" s="26">
        <v>12.035862993712726</v>
      </c>
      <c r="J7" s="26">
        <v>16.418557900225949</v>
      </c>
      <c r="K7" s="26">
        <v>6.3049019587802206</v>
      </c>
      <c r="L7" s="26">
        <v>12.58360186502172</v>
      </c>
      <c r="M7" s="26">
        <v>0.90967306744079224</v>
      </c>
      <c r="N7" s="26">
        <v>4.7738001016516307</v>
      </c>
      <c r="O7" s="26">
        <v>6.0331707128020327</v>
      </c>
      <c r="P7" s="26">
        <v>7.5874450487426657</v>
      </c>
      <c r="Q7" s="26">
        <v>3.0573830513807536</v>
      </c>
      <c r="R7" s="26">
        <v>2.4987107993508175</v>
      </c>
      <c r="S7" s="26">
        <v>13.911839578402052</v>
      </c>
      <c r="T7" s="26">
        <v>-6.5346418287594616</v>
      </c>
      <c r="U7" s="26">
        <v>3.4873124009751706</v>
      </c>
    </row>
    <row r="8" spans="1:23" x14ac:dyDescent="0.25">
      <c r="A8" s="95"/>
      <c r="B8" s="99">
        <v>2003</v>
      </c>
      <c r="C8" s="61" t="s">
        <v>28</v>
      </c>
      <c r="D8" s="21">
        <v>6.5204189100096954</v>
      </c>
      <c r="E8" s="21">
        <v>5.6267198556469395</v>
      </c>
      <c r="F8" s="21">
        <v>-4.0007567861190267</v>
      </c>
      <c r="G8" s="21">
        <v>-0.97287036889362355</v>
      </c>
      <c r="H8" s="21">
        <v>3.6917823667195222</v>
      </c>
      <c r="I8" s="21">
        <v>24.155809161335256</v>
      </c>
      <c r="J8" s="21">
        <v>10.776402113452747</v>
      </c>
      <c r="K8" s="21">
        <v>9.0964366339919565</v>
      </c>
      <c r="L8" s="21">
        <v>6.2587460261560182</v>
      </c>
      <c r="M8" s="21">
        <v>-0.21814973135191451</v>
      </c>
      <c r="N8" s="21">
        <v>4.2170337012174883</v>
      </c>
      <c r="O8" s="21">
        <v>-2.8738667669367857</v>
      </c>
      <c r="P8" s="21">
        <v>9.7462856965697284</v>
      </c>
      <c r="Q8" s="21">
        <v>-4.9930385429132969</v>
      </c>
      <c r="R8" s="21">
        <v>3.2500495062098906</v>
      </c>
      <c r="S8" s="21">
        <v>21.151608770749263</v>
      </c>
      <c r="T8" s="21">
        <v>18.212086653458442</v>
      </c>
      <c r="U8" s="22">
        <v>0.81915072456071414</v>
      </c>
    </row>
    <row r="9" spans="1:23" x14ac:dyDescent="0.25">
      <c r="A9" s="95"/>
      <c r="B9" s="100"/>
      <c r="C9" s="19" t="s">
        <v>29</v>
      </c>
      <c r="D9" s="2">
        <v>8.4971379818415471</v>
      </c>
      <c r="E9" s="2">
        <v>7.2680411841550665</v>
      </c>
      <c r="F9" s="2">
        <v>-4.1256313678341883</v>
      </c>
      <c r="G9" s="2">
        <v>30.188339824762863</v>
      </c>
      <c r="H9" s="2">
        <v>5.6555189774570351</v>
      </c>
      <c r="I9" s="2">
        <v>15.980407080201587</v>
      </c>
      <c r="J9" s="2">
        <v>14.75085555108582</v>
      </c>
      <c r="K9" s="2">
        <v>13.338935667481806</v>
      </c>
      <c r="L9" s="2">
        <v>9.3670024984339477</v>
      </c>
      <c r="M9" s="2">
        <v>0.14520126363419195</v>
      </c>
      <c r="N9" s="2">
        <v>5.2228446913150179</v>
      </c>
      <c r="O9" s="2">
        <v>7.6165520862290634</v>
      </c>
      <c r="P9" s="2">
        <v>10.591831298697628</v>
      </c>
      <c r="Q9" s="2">
        <v>3.0113281835370032</v>
      </c>
      <c r="R9" s="2">
        <v>5.9606042194148046</v>
      </c>
      <c r="S9" s="2">
        <v>18.782723955938124</v>
      </c>
      <c r="T9" s="2">
        <v>2.8412704492133827</v>
      </c>
      <c r="U9" s="23">
        <v>4.4533141739577786</v>
      </c>
    </row>
    <row r="10" spans="1:23" x14ac:dyDescent="0.25">
      <c r="A10" s="95"/>
      <c r="B10" s="100"/>
      <c r="C10" s="19" t="s">
        <v>30</v>
      </c>
      <c r="D10" s="2">
        <v>9.5532275483962508</v>
      </c>
      <c r="E10" s="2">
        <v>8.3053319512432324</v>
      </c>
      <c r="F10" s="2">
        <v>-4.0190518426124697</v>
      </c>
      <c r="G10" s="2">
        <v>32.556758896778774</v>
      </c>
      <c r="H10" s="2">
        <v>7.1547454243899153</v>
      </c>
      <c r="I10" s="2">
        <v>-1.636410187646959</v>
      </c>
      <c r="J10" s="2">
        <v>18.41386470028668</v>
      </c>
      <c r="K10" s="2">
        <v>7.6700991510857364</v>
      </c>
      <c r="L10" s="2">
        <v>12.801608433278815</v>
      </c>
      <c r="M10" s="2">
        <v>0.99356016906962452</v>
      </c>
      <c r="N10" s="2">
        <v>5.3371670768588757</v>
      </c>
      <c r="O10" s="2">
        <v>10.631080098198353</v>
      </c>
      <c r="P10" s="2">
        <v>8.8059741215431302</v>
      </c>
      <c r="Q10" s="2">
        <v>10.521868117139775</v>
      </c>
      <c r="R10" s="2">
        <v>3.5266133197062572</v>
      </c>
      <c r="S10" s="2">
        <v>14.198503125205846</v>
      </c>
      <c r="T10" s="2">
        <v>-12.018952848122325</v>
      </c>
      <c r="U10" s="23">
        <v>5.2157830768363738</v>
      </c>
    </row>
    <row r="11" spans="1:23" x14ac:dyDescent="0.25">
      <c r="A11" s="95"/>
      <c r="B11" s="101"/>
      <c r="C11" s="52" t="s">
        <v>31</v>
      </c>
      <c r="D11" s="20">
        <v>10.641602176465085</v>
      </c>
      <c r="E11" s="20">
        <v>8.8257680885686369</v>
      </c>
      <c r="F11" s="20">
        <v>-3.3574444010015014</v>
      </c>
      <c r="G11" s="20">
        <v>16.901692238205385</v>
      </c>
      <c r="H11" s="20">
        <v>7.909922061280966</v>
      </c>
      <c r="I11" s="20">
        <v>10.885262511370627</v>
      </c>
      <c r="J11" s="20">
        <v>21.721071570728043</v>
      </c>
      <c r="K11" s="20">
        <v>-1.2814643933253507</v>
      </c>
      <c r="L11" s="20">
        <v>16.673480377758594</v>
      </c>
      <c r="M11" s="20">
        <v>2.4177500349901635</v>
      </c>
      <c r="N11" s="20">
        <v>4.365584164906295</v>
      </c>
      <c r="O11" s="20">
        <v>6.3874507583393694</v>
      </c>
      <c r="P11" s="20">
        <v>4.0683258813911181</v>
      </c>
      <c r="Q11" s="20">
        <v>2.219777609017811</v>
      </c>
      <c r="R11" s="20">
        <v>-1.8483125277162458</v>
      </c>
      <c r="S11" s="20">
        <v>5.6824914717789312</v>
      </c>
      <c r="T11" s="20">
        <v>-23.604464482926701</v>
      </c>
      <c r="U11" s="24">
        <v>3.4359467519616658</v>
      </c>
    </row>
    <row r="12" spans="1:23" x14ac:dyDescent="0.25">
      <c r="A12" s="95"/>
      <c r="B12" s="58"/>
      <c r="C12" s="57" t="s">
        <v>51</v>
      </c>
      <c r="D12" s="26">
        <v>9.6942046749858548</v>
      </c>
      <c r="E12" s="26">
        <v>6.3857050147774856</v>
      </c>
      <c r="F12" s="26">
        <v>13.7555858740199</v>
      </c>
      <c r="G12" s="26">
        <v>7.4830692030236463</v>
      </c>
      <c r="H12" s="26">
        <v>19.858222216696461</v>
      </c>
      <c r="I12" s="26">
        <v>14.105669432185238</v>
      </c>
      <c r="J12" s="26">
        <v>23.939903472872757</v>
      </c>
      <c r="K12" s="26">
        <v>6.2160717001583805</v>
      </c>
      <c r="L12" s="26">
        <v>19.089565716242163</v>
      </c>
      <c r="M12" s="26">
        <v>7.0505503742361242</v>
      </c>
      <c r="N12" s="26">
        <v>3.5795998302872221</v>
      </c>
      <c r="O12" s="26">
        <v>3.3612219305298794</v>
      </c>
      <c r="P12" s="26">
        <v>10.013680659192033</v>
      </c>
      <c r="Q12" s="26">
        <v>2.256944289183167</v>
      </c>
      <c r="R12" s="26">
        <v>12.929761650426912</v>
      </c>
      <c r="S12" s="26">
        <v>4.2198252165835726</v>
      </c>
      <c r="T12" s="26">
        <v>11.618172537008718</v>
      </c>
      <c r="U12" s="26">
        <v>11.419863390458488</v>
      </c>
    </row>
    <row r="13" spans="1:23" x14ac:dyDescent="0.25">
      <c r="A13" s="95"/>
      <c r="B13" s="99">
        <v>2004</v>
      </c>
      <c r="C13" s="61" t="s">
        <v>28</v>
      </c>
      <c r="D13" s="21">
        <v>10.341789457279731</v>
      </c>
      <c r="E13" s="21">
        <v>8.5356622128772273</v>
      </c>
      <c r="F13" s="21">
        <v>12.669736802307568</v>
      </c>
      <c r="G13" s="21">
        <v>23.79879897745181</v>
      </c>
      <c r="H13" s="21">
        <v>17.366018885643712</v>
      </c>
      <c r="I13" s="21">
        <v>0.38198352392606694</v>
      </c>
      <c r="J13" s="21">
        <v>24.703610307576398</v>
      </c>
      <c r="K13" s="21">
        <v>20.103763497436546</v>
      </c>
      <c r="L13" s="21">
        <v>21.082783050875491</v>
      </c>
      <c r="M13" s="21">
        <v>4.4396164578572268</v>
      </c>
      <c r="N13" s="21">
        <v>1.7222347168828236</v>
      </c>
      <c r="O13" s="21">
        <v>23.158281020631051</v>
      </c>
      <c r="P13" s="21">
        <v>17.062861360353779</v>
      </c>
      <c r="Q13" s="21">
        <v>30.118558733435464</v>
      </c>
      <c r="R13" s="21">
        <v>25.987485421888294</v>
      </c>
      <c r="S13" s="21">
        <v>4.1210843460309121</v>
      </c>
      <c r="T13" s="21">
        <v>328.99789393455035</v>
      </c>
      <c r="U13" s="22">
        <v>0.53098981216696473</v>
      </c>
    </row>
    <row r="14" spans="1:23" x14ac:dyDescent="0.25">
      <c r="A14" s="95"/>
      <c r="B14" s="100"/>
      <c r="C14" s="19" t="s">
        <v>29</v>
      </c>
      <c r="D14" s="2">
        <v>9.7649046937294628</v>
      </c>
      <c r="E14" s="2">
        <v>7.6624059656426908</v>
      </c>
      <c r="F14" s="2">
        <v>13.932514702325832</v>
      </c>
      <c r="G14" s="2">
        <v>8.2131609311427241</v>
      </c>
      <c r="H14" s="2">
        <v>22.525168858240406</v>
      </c>
      <c r="I14" s="2">
        <v>10.262818291579777</v>
      </c>
      <c r="J14" s="2">
        <v>25.462152696075719</v>
      </c>
      <c r="K14" s="2">
        <v>8.4830401556234278</v>
      </c>
      <c r="L14" s="2">
        <v>23.438923409035965</v>
      </c>
      <c r="M14" s="2">
        <v>6.2527453728645099</v>
      </c>
      <c r="N14" s="2">
        <v>2.1312674802991012</v>
      </c>
      <c r="O14" s="2">
        <v>-4.9873377451145728</v>
      </c>
      <c r="P14" s="2">
        <v>7.1892583876267366</v>
      </c>
      <c r="Q14" s="2">
        <v>14.534849368069587</v>
      </c>
      <c r="R14" s="2">
        <v>17.54315933965978</v>
      </c>
      <c r="S14" s="2">
        <v>10.493312747851277</v>
      </c>
      <c r="T14" s="2">
        <v>-93.836216864132169</v>
      </c>
      <c r="U14" s="23">
        <v>17.580720475129084</v>
      </c>
    </row>
    <row r="15" spans="1:23" x14ac:dyDescent="0.25">
      <c r="A15" s="95"/>
      <c r="B15" s="100"/>
      <c r="C15" s="19" t="s">
        <v>30</v>
      </c>
      <c r="D15" s="2">
        <v>9.2279677350052083</v>
      </c>
      <c r="E15" s="2">
        <v>6.1315546782060295</v>
      </c>
      <c r="F15" s="2">
        <v>14.301669534536444</v>
      </c>
      <c r="G15" s="2">
        <v>-5.9026268353757558</v>
      </c>
      <c r="H15" s="2">
        <v>23.205225342092845</v>
      </c>
      <c r="I15" s="2">
        <v>30.34922141790787</v>
      </c>
      <c r="J15" s="2">
        <v>24.367669176487226</v>
      </c>
      <c r="K15" s="2">
        <v>1.3071019364113283</v>
      </c>
      <c r="L15" s="2">
        <v>21.282232495014057</v>
      </c>
      <c r="M15" s="2">
        <v>7.8185023692182796</v>
      </c>
      <c r="N15" s="2">
        <v>4.7738276323066202</v>
      </c>
      <c r="O15" s="2">
        <v>-2.2394246394552084</v>
      </c>
      <c r="P15" s="2">
        <v>15.632889444395687</v>
      </c>
      <c r="Q15" s="2">
        <v>-9.084973601673056</v>
      </c>
      <c r="R15" s="2">
        <v>8.8050451760867077</v>
      </c>
      <c r="S15" s="2">
        <v>-10.712012421597564</v>
      </c>
      <c r="T15" s="2">
        <v>-93.519255288987523</v>
      </c>
      <c r="U15" s="23">
        <v>13.623714281353983</v>
      </c>
    </row>
    <row r="16" spans="1:23" x14ac:dyDescent="0.25">
      <c r="A16" s="95"/>
      <c r="B16" s="101"/>
      <c r="C16" s="52" t="s">
        <v>31</v>
      </c>
      <c r="D16" s="20">
        <v>8.7742015199272032</v>
      </c>
      <c r="E16" s="20">
        <v>4.1467149028409267</v>
      </c>
      <c r="F16" s="20">
        <v>14.143115876551462</v>
      </c>
      <c r="G16" s="20">
        <v>9.91255924337473</v>
      </c>
      <c r="H16" s="20">
        <v>16.868263242148913</v>
      </c>
      <c r="I16" s="20">
        <v>17.697491118724869</v>
      </c>
      <c r="J16" s="20">
        <v>21.440138870355625</v>
      </c>
      <c r="K16" s="20">
        <v>-2.9505733610051266E-2</v>
      </c>
      <c r="L16" s="20">
        <v>13.8037536806644</v>
      </c>
      <c r="M16" s="20">
        <v>9.0657026640374738</v>
      </c>
      <c r="N16" s="20">
        <v>5.4411168686937543</v>
      </c>
      <c r="O16" s="20">
        <v>3.0465622670298558</v>
      </c>
      <c r="P16" s="20">
        <v>4.0613093195504604</v>
      </c>
      <c r="Q16" s="20">
        <v>-14.094707713598737</v>
      </c>
      <c r="R16" s="20">
        <v>4.168592756832723</v>
      </c>
      <c r="S16" s="20">
        <v>11.858513068917034</v>
      </c>
      <c r="T16" s="20">
        <v>-93.670374242251228</v>
      </c>
      <c r="U16" s="24">
        <v>13.288968288348471</v>
      </c>
    </row>
    <row r="17" spans="1:21" x14ac:dyDescent="0.25">
      <c r="A17" s="95"/>
      <c r="B17" s="58"/>
      <c r="C17" s="57" t="s">
        <v>51</v>
      </c>
      <c r="D17" s="26">
        <v>4.3161188417969214</v>
      </c>
      <c r="E17" s="26">
        <v>4.9350389538817865</v>
      </c>
      <c r="F17" s="26">
        <v>25.256772285398867</v>
      </c>
      <c r="G17" s="26">
        <v>-16.574856438030878</v>
      </c>
      <c r="H17" s="26">
        <v>7.9470849220541169</v>
      </c>
      <c r="I17" s="26">
        <v>7.5220979666503922</v>
      </c>
      <c r="J17" s="26">
        <v>13.054783990059548</v>
      </c>
      <c r="K17" s="26">
        <v>10.336279370869434</v>
      </c>
      <c r="L17" s="26">
        <v>-5.8291252342353488</v>
      </c>
      <c r="M17" s="26">
        <v>10.012028480081312</v>
      </c>
      <c r="N17" s="26">
        <v>-19.597366399843452</v>
      </c>
      <c r="O17" s="26">
        <v>20.750617991164759</v>
      </c>
      <c r="P17" s="26">
        <v>12.593025102612955</v>
      </c>
      <c r="Q17" s="26">
        <v>4.9572415795389162</v>
      </c>
      <c r="R17" s="26">
        <v>6.881277036968811</v>
      </c>
      <c r="S17" s="26">
        <v>10.658925195787219</v>
      </c>
      <c r="T17" s="26">
        <v>7.1484834163424438</v>
      </c>
      <c r="U17" s="26">
        <v>14.154777534395507</v>
      </c>
    </row>
    <row r="18" spans="1:21" x14ac:dyDescent="0.25">
      <c r="A18" s="95"/>
      <c r="B18" s="99">
        <v>2005</v>
      </c>
      <c r="C18" s="61" t="s">
        <v>28</v>
      </c>
      <c r="D18" s="21">
        <v>4.2619609862678516</v>
      </c>
      <c r="E18" s="21">
        <v>1.4777715291932623</v>
      </c>
      <c r="F18" s="21">
        <v>26.642064522883274</v>
      </c>
      <c r="G18" s="21">
        <v>-12.786754175725719</v>
      </c>
      <c r="H18" s="21">
        <v>11.484947833882075</v>
      </c>
      <c r="I18" s="21">
        <v>13.982414481657244</v>
      </c>
      <c r="J18" s="21">
        <v>17.072325992848675</v>
      </c>
      <c r="K18" s="21">
        <v>15.610472536603794</v>
      </c>
      <c r="L18" s="21">
        <v>1.3853811481000093</v>
      </c>
      <c r="M18" s="21">
        <v>9.9626394898414645</v>
      </c>
      <c r="N18" s="21">
        <v>-2.80953556162045</v>
      </c>
      <c r="O18" s="21">
        <v>9.8458517206822194E-2</v>
      </c>
      <c r="P18" s="21">
        <v>17.013309150778255</v>
      </c>
      <c r="Q18" s="21">
        <v>3.6131433924798273</v>
      </c>
      <c r="R18" s="21">
        <v>11.408631249886071</v>
      </c>
      <c r="S18" s="21">
        <v>18.02017344964635</v>
      </c>
      <c r="T18" s="21">
        <v>-97.200381487291835</v>
      </c>
      <c r="U18" s="22">
        <v>39.086187590798573</v>
      </c>
    </row>
    <row r="19" spans="1:21" x14ac:dyDescent="0.25">
      <c r="A19" s="95"/>
      <c r="B19" s="100"/>
      <c r="C19" s="19" t="s">
        <v>29</v>
      </c>
      <c r="D19" s="2">
        <v>3.3948013899383085</v>
      </c>
      <c r="E19" s="2">
        <v>1.6065138156061494</v>
      </c>
      <c r="F19" s="2">
        <v>26.380336451901584</v>
      </c>
      <c r="G19" s="2">
        <v>-8.8752073292559857</v>
      </c>
      <c r="H19" s="2">
        <v>8.0454403839841575</v>
      </c>
      <c r="I19" s="2">
        <v>2.6601442780976612</v>
      </c>
      <c r="J19" s="2">
        <v>13.82075762953275</v>
      </c>
      <c r="K19" s="2">
        <v>12.43394810294032</v>
      </c>
      <c r="L19" s="2">
        <v>-7.0050667084891671</v>
      </c>
      <c r="M19" s="2">
        <v>10.344199841969456</v>
      </c>
      <c r="N19" s="2">
        <v>-16.319800562471769</v>
      </c>
      <c r="O19" s="2">
        <v>31.415361457419181</v>
      </c>
      <c r="P19" s="2">
        <v>17.241422871838125</v>
      </c>
      <c r="Q19" s="2">
        <v>4.4887921217016782</v>
      </c>
      <c r="R19" s="2">
        <v>5.5883492032961612</v>
      </c>
      <c r="S19" s="2">
        <v>5.1854707868610888</v>
      </c>
      <c r="T19" s="2">
        <v>110.60499195955077</v>
      </c>
      <c r="U19" s="23">
        <v>14.846421493030817</v>
      </c>
    </row>
    <row r="20" spans="1:21" x14ac:dyDescent="0.25">
      <c r="A20" s="95"/>
      <c r="B20" s="100"/>
      <c r="C20" s="19" t="s">
        <v>30</v>
      </c>
      <c r="D20" s="2">
        <v>4.41662535365586</v>
      </c>
      <c r="E20" s="2">
        <v>4.5853813664041354</v>
      </c>
      <c r="F20" s="2">
        <v>25.062703447568296</v>
      </c>
      <c r="G20" s="2">
        <v>-15.764198484365124</v>
      </c>
      <c r="H20" s="2">
        <v>6.2845515653949633</v>
      </c>
      <c r="I20" s="2">
        <v>-2.1375557557173863</v>
      </c>
      <c r="J20" s="2">
        <v>11.500819628172621</v>
      </c>
      <c r="K20" s="2">
        <v>9.257785098320781</v>
      </c>
      <c r="L20" s="2">
        <v>-9.217927018482726</v>
      </c>
      <c r="M20" s="2">
        <v>10.223872349964807</v>
      </c>
      <c r="N20" s="2">
        <v>-27.459715194070625</v>
      </c>
      <c r="O20" s="2">
        <v>21.415690808044062</v>
      </c>
      <c r="P20" s="2">
        <v>2.7245304908526862</v>
      </c>
      <c r="Q20" s="2">
        <v>5.6442173220749225</v>
      </c>
      <c r="R20" s="2">
        <v>4.5639262501738358</v>
      </c>
      <c r="S20" s="2">
        <v>16.42325234686723</v>
      </c>
      <c r="T20" s="2">
        <v>100.75981193469724</v>
      </c>
      <c r="U20" s="23">
        <v>13.364331665323093</v>
      </c>
    </row>
    <row r="21" spans="1:21" x14ac:dyDescent="0.25">
      <c r="A21" s="95"/>
      <c r="B21" s="101"/>
      <c r="C21" s="52" t="s">
        <v>31</v>
      </c>
      <c r="D21" s="20">
        <v>6.9450387961374815</v>
      </c>
      <c r="E21" s="20">
        <v>9.972440450602619</v>
      </c>
      <c r="F21" s="20">
        <v>22.978414716524512</v>
      </c>
      <c r="G21" s="20">
        <v>-27.840864896024371</v>
      </c>
      <c r="H21" s="20">
        <v>6.6373861540118781</v>
      </c>
      <c r="I21" s="20">
        <v>16.953772203259405</v>
      </c>
      <c r="J21" s="20">
        <v>10.098325319603177</v>
      </c>
      <c r="K21" s="20">
        <v>5.4640814179230262</v>
      </c>
      <c r="L21" s="20">
        <v>-4.1878649613214947</v>
      </c>
      <c r="M21" s="20">
        <v>9.5693004566010273</v>
      </c>
      <c r="N21" s="20">
        <v>-29.646033713767551</v>
      </c>
      <c r="O21" s="20">
        <v>27.159527634354248</v>
      </c>
      <c r="P21" s="20">
        <v>14.106361622306522</v>
      </c>
      <c r="Q21" s="20">
        <v>6.0467390489807684</v>
      </c>
      <c r="R21" s="20">
        <v>6.943323232926673</v>
      </c>
      <c r="S21" s="20">
        <v>6.0493557197289078</v>
      </c>
      <c r="T21" s="20">
        <v>6437.9297218126612</v>
      </c>
      <c r="U21" s="24">
        <v>-4.4240556063061121</v>
      </c>
    </row>
    <row r="22" spans="1:21" x14ac:dyDescent="0.25">
      <c r="A22" s="95"/>
      <c r="B22" s="58"/>
      <c r="C22" s="57" t="s">
        <v>51</v>
      </c>
      <c r="D22" s="26">
        <v>13.389902443903367</v>
      </c>
      <c r="E22" s="26">
        <v>22.289837350169378</v>
      </c>
      <c r="F22" s="26">
        <v>12.969346715565578</v>
      </c>
      <c r="G22" s="26">
        <v>28.57130375254394</v>
      </c>
      <c r="H22" s="26">
        <v>8.1203608206550655</v>
      </c>
      <c r="I22" s="26">
        <v>20.855088993769357</v>
      </c>
      <c r="J22" s="26">
        <v>11.190965142254171</v>
      </c>
      <c r="K22" s="26">
        <v>4.2494850829398132</v>
      </c>
      <c r="L22" s="26">
        <v>26.809793829923905</v>
      </c>
      <c r="M22" s="26">
        <v>6.9621842918434567</v>
      </c>
      <c r="N22" s="26">
        <v>10.715180498715583</v>
      </c>
      <c r="O22" s="26">
        <v>17.164312762207118</v>
      </c>
      <c r="P22" s="26">
        <v>12.097594681399642</v>
      </c>
      <c r="Q22" s="26">
        <v>6.3480899008273184</v>
      </c>
      <c r="R22" s="26">
        <v>14.341177924552454</v>
      </c>
      <c r="S22" s="26">
        <v>6.3811764705882439</v>
      </c>
      <c r="T22" s="26">
        <v>11.43356370309634</v>
      </c>
      <c r="U22" s="26">
        <v>11.841817875704237</v>
      </c>
    </row>
    <row r="23" spans="1:21" x14ac:dyDescent="0.25">
      <c r="A23" s="95"/>
      <c r="B23" s="99">
        <v>2006</v>
      </c>
      <c r="C23" s="61" t="s">
        <v>28</v>
      </c>
      <c r="D23" s="21">
        <v>11.971853160454131</v>
      </c>
      <c r="E23" s="21">
        <v>19.248867377720956</v>
      </c>
      <c r="F23" s="21">
        <v>12.401152721595523</v>
      </c>
      <c r="G23" s="21">
        <v>27.996762202186162</v>
      </c>
      <c r="H23" s="21">
        <v>8.586206883316521</v>
      </c>
      <c r="I23" s="21">
        <v>17.806494936376922</v>
      </c>
      <c r="J23" s="21">
        <v>9.4913258216428886</v>
      </c>
      <c r="K23" s="21">
        <v>7.5540087574527348</v>
      </c>
      <c r="L23" s="21">
        <v>10.269145538394213</v>
      </c>
      <c r="M23" s="21">
        <v>8.4328105979752763</v>
      </c>
      <c r="N23" s="21">
        <v>-14.359689328870346</v>
      </c>
      <c r="O23" s="21">
        <v>9.4018593639096508</v>
      </c>
      <c r="P23" s="21">
        <v>2.9991751194029774</v>
      </c>
      <c r="Q23" s="21">
        <v>4.0489677218150604</v>
      </c>
      <c r="R23" s="21">
        <v>19.367784995485309</v>
      </c>
      <c r="S23" s="21">
        <v>-8.5120848152147772</v>
      </c>
      <c r="T23" s="21">
        <v>757.46294725228438</v>
      </c>
      <c r="U23" s="22">
        <v>7.253998638792055</v>
      </c>
    </row>
    <row r="24" spans="1:21" x14ac:dyDescent="0.25">
      <c r="A24" s="95"/>
      <c r="B24" s="100"/>
      <c r="C24" s="19" t="s">
        <v>29</v>
      </c>
      <c r="D24" s="2">
        <v>14.474328308627719</v>
      </c>
      <c r="E24" s="2">
        <v>24.358028754346009</v>
      </c>
      <c r="F24" s="2">
        <v>11.557789138043901</v>
      </c>
      <c r="G24" s="2">
        <v>13.341951612619084</v>
      </c>
      <c r="H24" s="2">
        <v>8.4936361730813132</v>
      </c>
      <c r="I24" s="2">
        <v>17.586385412848344</v>
      </c>
      <c r="J24" s="2">
        <v>10.015982968613301</v>
      </c>
      <c r="K24" s="2">
        <v>3.4412859270402123</v>
      </c>
      <c r="L24" s="2">
        <v>23.590603979372119</v>
      </c>
      <c r="M24" s="2">
        <v>7.4429559286658815</v>
      </c>
      <c r="N24" s="2">
        <v>6.4213676062275056</v>
      </c>
      <c r="O24" s="2">
        <v>-2.2080881996600539</v>
      </c>
      <c r="P24" s="2">
        <v>23.549026345196111</v>
      </c>
      <c r="Q24" s="2">
        <v>4.1450385369783902</v>
      </c>
      <c r="R24" s="2">
        <v>18.976994727414692</v>
      </c>
      <c r="S24" s="2">
        <v>-2.4473709904240906</v>
      </c>
      <c r="T24" s="2">
        <v>748.90026846677631</v>
      </c>
      <c r="U24" s="23">
        <v>7.3342102287016644</v>
      </c>
    </row>
    <row r="25" spans="1:21" x14ac:dyDescent="0.25">
      <c r="A25" s="95"/>
      <c r="B25" s="100"/>
      <c r="C25" s="19" t="s">
        <v>30</v>
      </c>
      <c r="D25" s="2">
        <v>14.363256891379848</v>
      </c>
      <c r="E25" s="2">
        <v>24.848975532784067</v>
      </c>
      <c r="F25" s="2">
        <v>13.271640887873431</v>
      </c>
      <c r="G25" s="2">
        <v>28.343056307737811</v>
      </c>
      <c r="H25" s="2">
        <v>7.9743956897681443</v>
      </c>
      <c r="I25" s="2">
        <v>21.303724428861017</v>
      </c>
      <c r="J25" s="2">
        <v>11.442639165177354</v>
      </c>
      <c r="K25" s="2">
        <v>2.4773644017629408</v>
      </c>
      <c r="L25" s="2">
        <v>31.303858818765917</v>
      </c>
      <c r="M25" s="2">
        <v>6.5731818405470506</v>
      </c>
      <c r="N25" s="2">
        <v>25.46687446320513</v>
      </c>
      <c r="O25" s="2">
        <v>14.449461299932693</v>
      </c>
      <c r="P25" s="2">
        <v>4.2976896568744536</v>
      </c>
      <c r="Q25" s="2">
        <v>3.4250228610738276</v>
      </c>
      <c r="R25" s="2">
        <v>14.221324789723951</v>
      </c>
      <c r="S25" s="2">
        <v>18.086023620019247</v>
      </c>
      <c r="T25" s="2">
        <v>832.93399603810053</v>
      </c>
      <c r="U25" s="23">
        <v>8.386529044479758</v>
      </c>
    </row>
    <row r="26" spans="1:21" x14ac:dyDescent="0.25">
      <c r="A26" s="95"/>
      <c r="B26" s="101"/>
      <c r="C26" s="52" t="s">
        <v>31</v>
      </c>
      <c r="D26" s="20">
        <v>11.998710198634456</v>
      </c>
      <c r="E26" s="20">
        <v>21.726794223973883</v>
      </c>
      <c r="F26" s="20">
        <v>14.646851792570061</v>
      </c>
      <c r="G26" s="20">
        <v>47.21296852477758</v>
      </c>
      <c r="H26" s="20">
        <v>7.5668240569198133</v>
      </c>
      <c r="I26" s="20">
        <v>26.23320262268301</v>
      </c>
      <c r="J26" s="20">
        <v>13.779216767001316</v>
      </c>
      <c r="K26" s="20">
        <v>3.8802832901743329</v>
      </c>
      <c r="L26" s="20">
        <v>30.644479126769568</v>
      </c>
      <c r="M26" s="20">
        <v>5.8091742847825998</v>
      </c>
      <c r="N26" s="20">
        <v>30.901343376361353</v>
      </c>
      <c r="O26" s="20">
        <v>35.443507045163926</v>
      </c>
      <c r="P26" s="20">
        <v>16.062109610198519</v>
      </c>
      <c r="Q26" s="20">
        <v>13.536263281588944</v>
      </c>
      <c r="R26" s="20">
        <v>5.5515667203076049</v>
      </c>
      <c r="S26" s="20">
        <v>15.847575950548404</v>
      </c>
      <c r="T26" s="20">
        <v>-53.251859399323905</v>
      </c>
      <c r="U26" s="24">
        <v>25.418310297199611</v>
      </c>
    </row>
    <row r="27" spans="1:21" x14ac:dyDescent="0.25">
      <c r="A27" s="95"/>
      <c r="B27" s="58"/>
      <c r="C27" s="57" t="s">
        <v>51</v>
      </c>
      <c r="D27" s="26">
        <v>5.4788235625841821</v>
      </c>
      <c r="E27" s="26">
        <v>6.5017581482033222</v>
      </c>
      <c r="F27" s="26">
        <v>21.652374113726665</v>
      </c>
      <c r="G27" s="26">
        <v>19.106849583208756</v>
      </c>
      <c r="H27" s="26">
        <v>3.7370839230856205</v>
      </c>
      <c r="I27" s="26">
        <v>8.7069236281863738</v>
      </c>
      <c r="J27" s="26">
        <v>17.371417085106032</v>
      </c>
      <c r="K27" s="26">
        <v>12.94840741545849</v>
      </c>
      <c r="L27" s="26">
        <v>10.323288748083087</v>
      </c>
      <c r="M27" s="26">
        <v>8.2832720451720547</v>
      </c>
      <c r="N27" s="26">
        <v>9.5231229813617801</v>
      </c>
      <c r="O27" s="26">
        <v>5.5729926630472022</v>
      </c>
      <c r="P27" s="26">
        <v>9.7537552666660901</v>
      </c>
      <c r="Q27" s="26">
        <v>4.9545791281681915</v>
      </c>
      <c r="R27" s="26">
        <v>-11.775704511395432</v>
      </c>
      <c r="S27" s="26">
        <v>13.757495003331101</v>
      </c>
      <c r="T27" s="26">
        <v>7.9799999999999898</v>
      </c>
      <c r="U27" s="26">
        <v>13.002688945797473</v>
      </c>
    </row>
    <row r="28" spans="1:21" x14ac:dyDescent="0.25">
      <c r="A28" s="95"/>
      <c r="B28" s="99">
        <v>2007</v>
      </c>
      <c r="C28" s="61" t="s">
        <v>28</v>
      </c>
      <c r="D28" s="21">
        <v>7.7622879629174406</v>
      </c>
      <c r="E28" s="21">
        <v>13.809326163200211</v>
      </c>
      <c r="F28" s="21">
        <v>21.880697334209145</v>
      </c>
      <c r="G28" s="21">
        <v>12.215059870344987</v>
      </c>
      <c r="H28" s="21">
        <v>5.3217916748829595</v>
      </c>
      <c r="I28" s="21">
        <v>-33.674260664877323</v>
      </c>
      <c r="J28" s="21">
        <v>16.899826782104981</v>
      </c>
      <c r="K28" s="21">
        <v>8.5306164099571333</v>
      </c>
      <c r="L28" s="21">
        <v>21.065469291833168</v>
      </c>
      <c r="M28" s="21">
        <v>5.1285173679193292</v>
      </c>
      <c r="N28" s="21">
        <v>15.548630567979032</v>
      </c>
      <c r="O28" s="21">
        <v>26.899725806195178</v>
      </c>
      <c r="P28" s="21">
        <v>17.223651390054968</v>
      </c>
      <c r="Q28" s="21">
        <v>7.1240103040281326</v>
      </c>
      <c r="R28" s="21">
        <v>-6.4156962441990828</v>
      </c>
      <c r="S28" s="21">
        <v>43.806228364713519</v>
      </c>
      <c r="T28" s="21">
        <v>42.626326912705167</v>
      </c>
      <c r="U28" s="22">
        <v>14.100331335995733</v>
      </c>
    </row>
    <row r="29" spans="1:21" x14ac:dyDescent="0.25">
      <c r="A29" s="95"/>
      <c r="B29" s="100"/>
      <c r="C29" s="19" t="s">
        <v>29</v>
      </c>
      <c r="D29" s="2">
        <v>5.0886806736858432</v>
      </c>
      <c r="E29" s="2">
        <v>8.1397944153370361</v>
      </c>
      <c r="F29" s="2">
        <v>22.10555224638513</v>
      </c>
      <c r="G29" s="2">
        <v>-1.8976550750510341</v>
      </c>
      <c r="H29" s="2">
        <v>3.4700090406483639</v>
      </c>
      <c r="I29" s="2">
        <v>29.166573479254595</v>
      </c>
      <c r="J29" s="2">
        <v>18.257680226141844</v>
      </c>
      <c r="K29" s="2">
        <v>11.743211072697406</v>
      </c>
      <c r="L29" s="2">
        <v>13.526770818094477</v>
      </c>
      <c r="M29" s="2">
        <v>5.9777576582993959</v>
      </c>
      <c r="N29" s="2">
        <v>6.7024014581201783</v>
      </c>
      <c r="O29" s="2">
        <v>27.165330296057121</v>
      </c>
      <c r="P29" s="2">
        <v>5.522523245898455</v>
      </c>
      <c r="Q29" s="2">
        <v>6.9024446681984557</v>
      </c>
      <c r="R29" s="2">
        <v>-13.333982256608962</v>
      </c>
      <c r="S29" s="2">
        <v>29.036472635180132</v>
      </c>
      <c r="T29" s="2">
        <v>-29.691587676324346</v>
      </c>
      <c r="U29" s="23">
        <v>13.759416448851169</v>
      </c>
    </row>
    <row r="30" spans="1:21" x14ac:dyDescent="0.25">
      <c r="A30" s="95"/>
      <c r="B30" s="100"/>
      <c r="C30" s="19" t="s">
        <v>30</v>
      </c>
      <c r="D30" s="2">
        <v>3.9237560896585393</v>
      </c>
      <c r="E30" s="2">
        <v>4.2848476901042432</v>
      </c>
      <c r="F30" s="2">
        <v>21.078130858799057</v>
      </c>
      <c r="G30" s="2">
        <v>14.01535888965229</v>
      </c>
      <c r="H30" s="2">
        <v>2.7394197912127964</v>
      </c>
      <c r="I30" s="2">
        <v>27.665190899069941</v>
      </c>
      <c r="J30" s="2">
        <v>18.078442403875201</v>
      </c>
      <c r="K30" s="2">
        <v>14.557003969551289</v>
      </c>
      <c r="L30" s="2">
        <v>8.6930978834553798</v>
      </c>
      <c r="M30" s="2">
        <v>8.3919594744442492</v>
      </c>
      <c r="N30" s="2">
        <v>4.9072768264259281</v>
      </c>
      <c r="O30" s="2">
        <v>7.7224590601755665</v>
      </c>
      <c r="P30" s="2">
        <v>27.779220544055235</v>
      </c>
      <c r="Q30" s="2">
        <v>7.663939790538393</v>
      </c>
      <c r="R30" s="2">
        <v>-14.976329217140744</v>
      </c>
      <c r="S30" s="2">
        <v>16.289761417312974</v>
      </c>
      <c r="T30" s="2">
        <v>-93.13287741705409</v>
      </c>
      <c r="U30" s="23">
        <v>15.325558130327948</v>
      </c>
    </row>
    <row r="31" spans="1:21" x14ac:dyDescent="0.25">
      <c r="A31" s="95"/>
      <c r="B31" s="101"/>
      <c r="C31" s="52" t="s">
        <v>31</v>
      </c>
      <c r="D31" s="20">
        <v>3.9852598161885311</v>
      </c>
      <c r="E31" s="20">
        <v>1.7279096630705197</v>
      </c>
      <c r="F31" s="20">
        <v>21.561240379206907</v>
      </c>
      <c r="G31" s="20">
        <v>49.595259240537814</v>
      </c>
      <c r="H31" s="20">
        <v>3.5666206330302401</v>
      </c>
      <c r="I31" s="20">
        <v>10.693306990420169</v>
      </c>
      <c r="J31" s="20">
        <v>16.296172540338929</v>
      </c>
      <c r="K31" s="20">
        <v>16.398559954091454</v>
      </c>
      <c r="L31" s="20">
        <v>6.6444678438706291</v>
      </c>
      <c r="M31" s="20">
        <v>12.616855746147507</v>
      </c>
      <c r="N31" s="20">
        <v>11.330131622866602</v>
      </c>
      <c r="O31" s="20">
        <v>-14.460024889755672</v>
      </c>
      <c r="P31" s="20">
        <v>-2.2261662763430934</v>
      </c>
      <c r="Q31" s="20">
        <v>-1.088521056917557</v>
      </c>
      <c r="R31" s="20">
        <v>-11.593174135499268</v>
      </c>
      <c r="S31" s="20">
        <v>-15.960120916563142</v>
      </c>
      <c r="T31" s="20">
        <v>67.43248250351715</v>
      </c>
      <c r="U31" s="24">
        <v>9.1247922994662503</v>
      </c>
    </row>
    <row r="32" spans="1:21" x14ac:dyDescent="0.25">
      <c r="A32" s="95"/>
      <c r="B32" s="58"/>
      <c r="C32" s="57" t="s">
        <v>51</v>
      </c>
      <c r="D32" s="26">
        <v>6.0204047127220122</v>
      </c>
      <c r="E32" s="26">
        <v>2.2010415842712092</v>
      </c>
      <c r="F32" s="26">
        <v>10.171586878772999</v>
      </c>
      <c r="G32" s="26">
        <v>-1.8818318834851908</v>
      </c>
      <c r="H32" s="26">
        <v>3.9363035562316924</v>
      </c>
      <c r="I32" s="26">
        <v>9.5057442563441015</v>
      </c>
      <c r="J32" s="26">
        <v>9.2628160211291259</v>
      </c>
      <c r="K32" s="26">
        <v>17.108357168367007</v>
      </c>
      <c r="L32" s="26">
        <v>9.3796558543201485</v>
      </c>
      <c r="M32" s="26">
        <v>18.998394462073477</v>
      </c>
      <c r="N32" s="26">
        <v>38.084943418788754</v>
      </c>
      <c r="O32" s="26">
        <v>10.37619501849818</v>
      </c>
      <c r="P32" s="26">
        <v>6.7103980735311808</v>
      </c>
      <c r="Q32" s="26">
        <v>10.387764749715231</v>
      </c>
      <c r="R32" s="26">
        <v>5.4302307676104675</v>
      </c>
      <c r="S32" s="26">
        <v>16.688761495282463</v>
      </c>
      <c r="T32" s="26">
        <v>-1.480000000000004</v>
      </c>
      <c r="U32" s="26">
        <v>10.786636049658298</v>
      </c>
    </row>
    <row r="33" spans="1:21" x14ac:dyDescent="0.25">
      <c r="A33" s="95"/>
      <c r="B33" s="99">
        <v>2008</v>
      </c>
      <c r="C33" s="61" t="s">
        <v>28</v>
      </c>
      <c r="D33" s="21">
        <v>5.537961549714197</v>
      </c>
      <c r="E33" s="21">
        <v>0.88246498124064487</v>
      </c>
      <c r="F33" s="21">
        <v>10.551783776270156</v>
      </c>
      <c r="G33" s="21">
        <v>14.131982643796448</v>
      </c>
      <c r="H33" s="21">
        <v>4.070544269540278</v>
      </c>
      <c r="I33" s="21">
        <v>98.392483571840131</v>
      </c>
      <c r="J33" s="21">
        <v>13.12502125796567</v>
      </c>
      <c r="K33" s="21">
        <v>17.73038354641298</v>
      </c>
      <c r="L33" s="21">
        <v>7.4428368465376877</v>
      </c>
      <c r="M33" s="21">
        <v>18.677466380562464</v>
      </c>
      <c r="N33" s="21">
        <v>27.347435274052856</v>
      </c>
      <c r="O33" s="21">
        <v>-7.4789889864151604</v>
      </c>
      <c r="P33" s="21">
        <v>-12.327772639067533</v>
      </c>
      <c r="Q33" s="21">
        <v>6.9190457441671924</v>
      </c>
      <c r="R33" s="21">
        <v>-2.3059047901387402</v>
      </c>
      <c r="S33" s="21">
        <v>-9.1475743073854119</v>
      </c>
      <c r="T33" s="21">
        <v>-23.349926071248092</v>
      </c>
      <c r="U33" s="22">
        <v>9.7115038199174393</v>
      </c>
    </row>
    <row r="34" spans="1:21" x14ac:dyDescent="0.25">
      <c r="A34" s="95"/>
      <c r="B34" s="100"/>
      <c r="C34" s="19" t="s">
        <v>29</v>
      </c>
      <c r="D34" s="2">
        <v>6.307364906957929</v>
      </c>
      <c r="E34" s="2">
        <v>1.0165577399707786</v>
      </c>
      <c r="F34" s="2">
        <v>10.914059369526186</v>
      </c>
      <c r="G34" s="2">
        <v>41.755069880427897</v>
      </c>
      <c r="H34" s="2">
        <v>3.7472121399294593</v>
      </c>
      <c r="I34" s="2">
        <v>-18.482776809779651</v>
      </c>
      <c r="J34" s="2">
        <v>10.30952543112906</v>
      </c>
      <c r="K34" s="2">
        <v>18.177516006757656</v>
      </c>
      <c r="L34" s="2">
        <v>8.3421142758813005</v>
      </c>
      <c r="M34" s="2">
        <v>21.330719621214797</v>
      </c>
      <c r="N34" s="2">
        <v>39.091606639024832</v>
      </c>
      <c r="O34" s="2">
        <v>-8.3960448222755701</v>
      </c>
      <c r="P34" s="2">
        <v>-2.8715252356596892</v>
      </c>
      <c r="Q34" s="2">
        <v>9.3345839668629793</v>
      </c>
      <c r="R34" s="2">
        <v>5.1842231892946558</v>
      </c>
      <c r="S34" s="2">
        <v>22.740717501920301</v>
      </c>
      <c r="T34" s="2">
        <v>207.44896531095503</v>
      </c>
      <c r="U34" s="23">
        <v>6.2212027374630736</v>
      </c>
    </row>
    <row r="35" spans="1:21" x14ac:dyDescent="0.25">
      <c r="A35" s="95"/>
      <c r="B35" s="100"/>
      <c r="C35" s="19" t="s">
        <v>30</v>
      </c>
      <c r="D35" s="2">
        <v>6.3578437470933551</v>
      </c>
      <c r="E35" s="2">
        <v>2.125714524438564</v>
      </c>
      <c r="F35" s="2">
        <v>10.070842781229601</v>
      </c>
      <c r="G35" s="2">
        <v>7.0475139718673319</v>
      </c>
      <c r="H35" s="2">
        <v>3.6026814800301281</v>
      </c>
      <c r="I35" s="2">
        <v>0.46203366798860657</v>
      </c>
      <c r="J35" s="2">
        <v>7.8769443657070752</v>
      </c>
      <c r="K35" s="2">
        <v>17.523457925141955</v>
      </c>
      <c r="L35" s="2">
        <v>9.4215493357118589</v>
      </c>
      <c r="M35" s="2">
        <v>20.489572561156649</v>
      </c>
      <c r="N35" s="2">
        <v>43.959485872810234</v>
      </c>
      <c r="O35" s="2">
        <v>2.5429733365110394</v>
      </c>
      <c r="P35" s="2">
        <v>9.8241661592424663</v>
      </c>
      <c r="Q35" s="2">
        <v>11.616602902685273</v>
      </c>
      <c r="R35" s="2">
        <v>9.3900092876939993</v>
      </c>
      <c r="S35" s="2">
        <v>26.238865911803927</v>
      </c>
      <c r="T35" s="2">
        <v>2247.1425120552863</v>
      </c>
      <c r="U35" s="23">
        <v>7.089280308231082</v>
      </c>
    </row>
    <row r="36" spans="1:21" x14ac:dyDescent="0.25">
      <c r="A36" s="95"/>
      <c r="B36" s="101"/>
      <c r="C36" s="52" t="s">
        <v>31</v>
      </c>
      <c r="D36" s="20">
        <v>5.7680087314900135</v>
      </c>
      <c r="E36" s="20">
        <v>4.0458344057318243</v>
      </c>
      <c r="F36" s="20">
        <v>9.1676382336375468</v>
      </c>
      <c r="G36" s="20">
        <v>-45.709243150750723</v>
      </c>
      <c r="H36" s="20">
        <v>4.2756518170830304</v>
      </c>
      <c r="I36" s="20">
        <v>1.455080542234171</v>
      </c>
      <c r="J36" s="20">
        <v>5.9125438624391364</v>
      </c>
      <c r="K36" s="20">
        <v>15.283522472573992</v>
      </c>
      <c r="L36" s="20">
        <v>10.675011699734995</v>
      </c>
      <c r="M36" s="20">
        <v>15.964889340851229</v>
      </c>
      <c r="N36" s="20">
        <v>40.929410843280891</v>
      </c>
      <c r="O36" s="20">
        <v>40.638502492126634</v>
      </c>
      <c r="P36" s="20">
        <v>24.158111729297488</v>
      </c>
      <c r="Q36" s="20">
        <v>13.47273954980615</v>
      </c>
      <c r="R36" s="20">
        <v>9.3160112939185922</v>
      </c>
      <c r="S36" s="20">
        <v>27.20663249512603</v>
      </c>
      <c r="T36" s="20">
        <v>-90.097933638258311</v>
      </c>
      <c r="U36" s="24">
        <v>19.857157466249603</v>
      </c>
    </row>
    <row r="37" spans="1:21" x14ac:dyDescent="0.25">
      <c r="A37" s="95"/>
      <c r="B37" s="58"/>
      <c r="C37" s="57" t="s">
        <v>51</v>
      </c>
      <c r="D37" s="26">
        <v>5.1350108018457092</v>
      </c>
      <c r="E37" s="26">
        <v>7.0707604618523732</v>
      </c>
      <c r="F37" s="26">
        <v>-6.2164048813682626</v>
      </c>
      <c r="G37" s="26">
        <v>4.3115567152619718</v>
      </c>
      <c r="H37" s="26">
        <v>9.5084537488309877</v>
      </c>
      <c r="I37" s="26">
        <v>5.8900899911991047</v>
      </c>
      <c r="J37" s="26">
        <v>5.8771481767393396</v>
      </c>
      <c r="K37" s="26">
        <v>7.8013502799159511</v>
      </c>
      <c r="L37" s="26">
        <v>13.197919056555605</v>
      </c>
      <c r="M37" s="26">
        <v>4.101663988135698</v>
      </c>
      <c r="N37" s="26">
        <v>20.74973977669184</v>
      </c>
      <c r="O37" s="26">
        <v>5.2168077747237049</v>
      </c>
      <c r="P37" s="26">
        <v>16.364681109784158</v>
      </c>
      <c r="Q37" s="26">
        <v>7.5806983330089679</v>
      </c>
      <c r="R37" s="26">
        <v>4.7752143716909217</v>
      </c>
      <c r="S37" s="26">
        <v>-1.4210854715202004E-14</v>
      </c>
      <c r="T37" s="26">
        <v>2.8421709430404007E-14</v>
      </c>
      <c r="U37" s="26">
        <v>1.9955890978894217</v>
      </c>
    </row>
    <row r="38" spans="1:21" x14ac:dyDescent="0.25">
      <c r="A38" s="95"/>
      <c r="B38" s="99">
        <v>2009</v>
      </c>
      <c r="C38" s="61" t="s">
        <v>28</v>
      </c>
      <c r="D38" s="21">
        <v>4.6429292673312972</v>
      </c>
      <c r="E38" s="21">
        <v>7.2385446962006057</v>
      </c>
      <c r="F38" s="21">
        <v>-7.3165216718675907</v>
      </c>
      <c r="G38" s="21">
        <v>-22.742560788427369</v>
      </c>
      <c r="H38" s="21">
        <v>7.2577120498650061</v>
      </c>
      <c r="I38" s="21">
        <v>-10.37767813199136</v>
      </c>
      <c r="J38" s="21">
        <v>4.46534922514752</v>
      </c>
      <c r="K38" s="21">
        <v>10.280586654746159</v>
      </c>
      <c r="L38" s="21">
        <v>12.048648001997563</v>
      </c>
      <c r="M38" s="21">
        <v>8.375475921695255</v>
      </c>
      <c r="N38" s="21">
        <v>31.943242794671448</v>
      </c>
      <c r="O38" s="21">
        <v>45.178450892799191</v>
      </c>
      <c r="P38" s="21">
        <v>31.838421386608275</v>
      </c>
      <c r="Q38" s="21">
        <v>0.23820383678541646</v>
      </c>
      <c r="R38" s="21">
        <v>5.4268569820428638</v>
      </c>
      <c r="S38" s="21">
        <v>40.970673248975402</v>
      </c>
      <c r="T38" s="21">
        <v>-62.232185479159448</v>
      </c>
      <c r="U38" s="22">
        <v>1.4347597454127339</v>
      </c>
    </row>
    <row r="39" spans="1:21" x14ac:dyDescent="0.25">
      <c r="A39" s="95"/>
      <c r="B39" s="100"/>
      <c r="C39" s="19" t="s">
        <v>29</v>
      </c>
      <c r="D39" s="2">
        <v>4.487964765203472</v>
      </c>
      <c r="E39" s="2">
        <v>8.5264892548245541</v>
      </c>
      <c r="F39" s="2">
        <v>-6.4040176353700105</v>
      </c>
      <c r="G39" s="2">
        <v>10.052141066388785</v>
      </c>
      <c r="H39" s="2">
        <v>9.4335238541172828</v>
      </c>
      <c r="I39" s="2">
        <v>30.05430012259157</v>
      </c>
      <c r="J39" s="2">
        <v>4.5759170786499936</v>
      </c>
      <c r="K39" s="2">
        <v>8.0912021064439017</v>
      </c>
      <c r="L39" s="2">
        <v>13.082671813428945</v>
      </c>
      <c r="M39" s="2">
        <v>3.890984078194279</v>
      </c>
      <c r="N39" s="2">
        <v>25.127862725132388</v>
      </c>
      <c r="O39" s="2">
        <v>28.956569969175433</v>
      </c>
      <c r="P39" s="2">
        <v>25.523568402877132</v>
      </c>
      <c r="Q39" s="2">
        <v>10.098363120719426</v>
      </c>
      <c r="R39" s="2">
        <v>4.0922168473623657</v>
      </c>
      <c r="S39" s="2">
        <v>-14.156872728109107</v>
      </c>
      <c r="T39" s="2">
        <v>-65.096205739555671</v>
      </c>
      <c r="U39" s="23">
        <v>6.6122033291493807</v>
      </c>
    </row>
    <row r="40" spans="1:21" x14ac:dyDescent="0.25">
      <c r="A40" s="95"/>
      <c r="B40" s="100"/>
      <c r="C40" s="19" t="s">
        <v>30</v>
      </c>
      <c r="D40" s="2">
        <v>5.4999532526990151</v>
      </c>
      <c r="E40" s="2">
        <v>7.8423859112547234</v>
      </c>
      <c r="F40" s="2">
        <v>-5.780657116716938</v>
      </c>
      <c r="G40" s="2">
        <v>-0.38418138500954058</v>
      </c>
      <c r="H40" s="2">
        <v>11.615752567479021</v>
      </c>
      <c r="I40" s="2">
        <v>3.2743982206367122</v>
      </c>
      <c r="J40" s="2">
        <v>5.9373552427439478</v>
      </c>
      <c r="K40" s="2">
        <v>6.7218234794255523</v>
      </c>
      <c r="L40" s="2">
        <v>13.533395130959576</v>
      </c>
      <c r="M40" s="2">
        <v>2.0819800277317455</v>
      </c>
      <c r="N40" s="2">
        <v>18.72463186244633</v>
      </c>
      <c r="O40" s="2">
        <v>27.286905605898397</v>
      </c>
      <c r="P40" s="2">
        <v>5.2005662311951397</v>
      </c>
      <c r="Q40" s="2">
        <v>11.065088987824851</v>
      </c>
      <c r="R40" s="2">
        <v>4.2034647424313647</v>
      </c>
      <c r="S40" s="2">
        <v>-6.1421186735614697</v>
      </c>
      <c r="T40" s="2">
        <v>-58.623339958723093</v>
      </c>
      <c r="U40" s="23">
        <v>4.8050756228102074</v>
      </c>
    </row>
    <row r="41" spans="1:21" x14ac:dyDescent="0.25">
      <c r="A41" s="95"/>
      <c r="B41" s="101"/>
      <c r="C41" s="52" t="s">
        <v>31</v>
      </c>
      <c r="D41" s="20">
        <v>7.5623571715899232</v>
      </c>
      <c r="E41" s="20">
        <v>5.5615216587757459</v>
      </c>
      <c r="F41" s="20">
        <v>-5.3401742420082456</v>
      </c>
      <c r="G41" s="20">
        <v>42.220297881178027</v>
      </c>
      <c r="H41" s="20">
        <v>9.5818421832525758</v>
      </c>
      <c r="I41" s="20">
        <v>5.1307503545140065</v>
      </c>
      <c r="J41" s="20">
        <v>8.5682608102966924</v>
      </c>
      <c r="K41" s="20">
        <v>6.4938680726145179</v>
      </c>
      <c r="L41" s="20">
        <v>13.33864503524353</v>
      </c>
      <c r="M41" s="20">
        <v>3.0430282427115429</v>
      </c>
      <c r="N41" s="20">
        <v>10.983183281326546</v>
      </c>
      <c r="O41" s="20">
        <v>-35.061564414854402</v>
      </c>
      <c r="P41" s="20">
        <v>11.299151626638988</v>
      </c>
      <c r="Q41" s="20">
        <v>8.4514057344235596</v>
      </c>
      <c r="R41" s="20">
        <v>5.5237866139905094</v>
      </c>
      <c r="S41" s="20">
        <v>-10.03199233014989</v>
      </c>
      <c r="T41" s="20">
        <v>969.52490599876569</v>
      </c>
      <c r="U41" s="24">
        <v>-3.9059535482365817</v>
      </c>
    </row>
    <row r="42" spans="1:21" x14ac:dyDescent="0.25">
      <c r="A42" s="95"/>
      <c r="B42" s="58"/>
      <c r="C42" s="57" t="s">
        <v>51</v>
      </c>
      <c r="D42" s="26">
        <v>11.76234744658457</v>
      </c>
      <c r="E42" s="26">
        <v>1.2216129257372188</v>
      </c>
      <c r="F42" s="26">
        <v>-2.3148495892156404</v>
      </c>
      <c r="G42" s="26">
        <v>-7.1509349515112604</v>
      </c>
      <c r="H42" s="26">
        <v>9.1177567213149899</v>
      </c>
      <c r="I42" s="26">
        <v>9.8312510287014447</v>
      </c>
      <c r="J42" s="26">
        <v>12.563809011657796</v>
      </c>
      <c r="K42" s="26">
        <v>8.5306100359604926</v>
      </c>
      <c r="L42" s="26">
        <v>11.28702990816133</v>
      </c>
      <c r="M42" s="26">
        <v>9.5809443735652877</v>
      </c>
      <c r="N42" s="26">
        <v>6.6445907530625021</v>
      </c>
      <c r="O42" s="26">
        <v>2.3417734487319422</v>
      </c>
      <c r="P42" s="26">
        <v>2.0490988365477136</v>
      </c>
      <c r="Q42" s="26">
        <v>6.009441938118826</v>
      </c>
      <c r="R42" s="26">
        <v>11.018991507780825</v>
      </c>
      <c r="S42" s="26">
        <v>6.530312426486276</v>
      </c>
      <c r="T42" s="26">
        <v>21.40513770731522</v>
      </c>
      <c r="U42" s="26">
        <v>5.2936657282000255</v>
      </c>
    </row>
    <row r="43" spans="1:21" x14ac:dyDescent="0.25">
      <c r="A43" s="95"/>
      <c r="B43" s="99">
        <v>2010</v>
      </c>
      <c r="C43" s="61" t="s">
        <v>28</v>
      </c>
      <c r="D43" s="21">
        <v>10.686857444181669</v>
      </c>
      <c r="E43" s="21">
        <v>0.95955168796149337</v>
      </c>
      <c r="F43" s="21">
        <v>1.3722483287355089</v>
      </c>
      <c r="G43" s="21">
        <v>25.814783735985159</v>
      </c>
      <c r="H43" s="21">
        <v>8.1924180328702505</v>
      </c>
      <c r="I43" s="21">
        <v>25.35993432348873</v>
      </c>
      <c r="J43" s="21">
        <v>12.320141359213395</v>
      </c>
      <c r="K43" s="21">
        <v>6.9085508198654111</v>
      </c>
      <c r="L43" s="21">
        <v>12.528247905382983</v>
      </c>
      <c r="M43" s="21">
        <v>6.7258094775232991</v>
      </c>
      <c r="N43" s="21">
        <v>1.0845020208739413</v>
      </c>
      <c r="O43" s="21">
        <v>-14.822767568197222</v>
      </c>
      <c r="P43" s="21">
        <v>8.4759385976176986</v>
      </c>
      <c r="Q43" s="21">
        <v>15.559157098618101</v>
      </c>
      <c r="R43" s="21">
        <v>7.743093959909217</v>
      </c>
      <c r="S43" s="21">
        <v>-27.628151459650525</v>
      </c>
      <c r="T43" s="21">
        <v>-79.78241068105082</v>
      </c>
      <c r="U43" s="22">
        <v>7.9656829486961698</v>
      </c>
    </row>
    <row r="44" spans="1:21" x14ac:dyDescent="0.25">
      <c r="A44" s="95"/>
      <c r="B44" s="100"/>
      <c r="C44" s="19" t="s">
        <v>29</v>
      </c>
      <c r="D44" s="2">
        <v>12.438607572591209</v>
      </c>
      <c r="E44" s="2">
        <v>-0.80363044105745018</v>
      </c>
      <c r="F44" s="2">
        <v>1.8251556847025654</v>
      </c>
      <c r="G44" s="2">
        <v>-23.811486699379529</v>
      </c>
      <c r="H44" s="2">
        <v>9.3054374680187948</v>
      </c>
      <c r="I44" s="2">
        <v>-2.2819386292835162</v>
      </c>
      <c r="J44" s="2">
        <v>13.809870954039809</v>
      </c>
      <c r="K44" s="2">
        <v>7.7036979016699405</v>
      </c>
      <c r="L44" s="2">
        <v>11.794569814442909</v>
      </c>
      <c r="M44" s="2">
        <v>9.3253088378430391</v>
      </c>
      <c r="N44" s="2">
        <v>-2.9106501009949142</v>
      </c>
      <c r="O44" s="2">
        <v>2.0262573024073021</v>
      </c>
      <c r="P44" s="2">
        <v>10.998417001197879</v>
      </c>
      <c r="Q44" s="2">
        <v>5.7923701006949813</v>
      </c>
      <c r="R44" s="2">
        <v>10.426478719124816</v>
      </c>
      <c r="S44" s="2">
        <v>8.485843425752094</v>
      </c>
      <c r="T44" s="2">
        <v>-64.551249123818636</v>
      </c>
      <c r="U44" s="23">
        <v>10.37510825836965</v>
      </c>
    </row>
    <row r="45" spans="1:21" x14ac:dyDescent="0.25">
      <c r="A45" s="95"/>
      <c r="B45" s="100"/>
      <c r="C45" s="19" t="s">
        <v>30</v>
      </c>
      <c r="D45" s="2">
        <v>12.499301695898765</v>
      </c>
      <c r="E45" s="2">
        <v>0.15249659272163285</v>
      </c>
      <c r="F45" s="2">
        <v>-2.3252722862410593</v>
      </c>
      <c r="G45" s="2">
        <v>-11.51144595389853</v>
      </c>
      <c r="H45" s="2">
        <v>9.7926823599412245</v>
      </c>
      <c r="I45" s="2">
        <v>6.0504514530136646</v>
      </c>
      <c r="J45" s="2">
        <v>13.32736435994542</v>
      </c>
      <c r="K45" s="2">
        <v>8.8862423895235594</v>
      </c>
      <c r="L45" s="2">
        <v>11.167437768442824</v>
      </c>
      <c r="M45" s="2">
        <v>10.764689884885101</v>
      </c>
      <c r="N45" s="2">
        <v>2.8297160303823574</v>
      </c>
      <c r="O45" s="2">
        <v>-14.23289265706498</v>
      </c>
      <c r="P45" s="2">
        <v>11.549442334508342</v>
      </c>
      <c r="Q45" s="2">
        <v>2.9150127753980257</v>
      </c>
      <c r="R45" s="2">
        <v>12.352549032008625</v>
      </c>
      <c r="S45" s="2">
        <v>18.795531469967159</v>
      </c>
      <c r="T45" s="2">
        <v>-77.918311414281831</v>
      </c>
      <c r="U45" s="23">
        <v>8.4229477947167908</v>
      </c>
    </row>
    <row r="46" spans="1:21" x14ac:dyDescent="0.25">
      <c r="A46" s="95"/>
      <c r="B46" s="101"/>
      <c r="C46" s="52" t="s">
        <v>31</v>
      </c>
      <c r="D46" s="20">
        <v>11.107974857860796</v>
      </c>
      <c r="E46" s="20">
        <v>3.3932497514044258</v>
      </c>
      <c r="F46" s="20">
        <v>-10.042396451423983</v>
      </c>
      <c r="G46" s="20">
        <v>-8.7042559028847108</v>
      </c>
      <c r="H46" s="20">
        <v>9.1037368851870042</v>
      </c>
      <c r="I46" s="20">
        <v>12.421109766950295</v>
      </c>
      <c r="J46" s="20">
        <v>10.854323814747602</v>
      </c>
      <c r="K46" s="20">
        <v>10.345081616569189</v>
      </c>
      <c r="L46" s="20">
        <v>10.670220788285278</v>
      </c>
      <c r="M46" s="20">
        <v>10.905409136906272</v>
      </c>
      <c r="N46" s="20">
        <v>23.343092503336422</v>
      </c>
      <c r="O46" s="20">
        <v>38.366898241856973</v>
      </c>
      <c r="P46" s="20">
        <v>-13.157638117637234</v>
      </c>
      <c r="Q46" s="20">
        <v>1.3981697493465646</v>
      </c>
      <c r="R46" s="20">
        <v>13.199334037009947</v>
      </c>
      <c r="S46" s="20">
        <v>30.677454363303013</v>
      </c>
      <c r="T46" s="20">
        <v>73.318984008678825</v>
      </c>
      <c r="U46" s="24">
        <v>-5.0245537956754447</v>
      </c>
    </row>
    <row r="47" spans="1:21" x14ac:dyDescent="0.25">
      <c r="A47" s="95"/>
      <c r="B47" s="58"/>
      <c r="C47" s="57" t="s">
        <v>51</v>
      </c>
      <c r="D47" s="26">
        <v>6.9037062921961052</v>
      </c>
      <c r="E47" s="26">
        <v>14.96999999999997</v>
      </c>
      <c r="F47" s="26">
        <v>-5.0944430817166477</v>
      </c>
      <c r="G47" s="26">
        <v>3.3630657937209634</v>
      </c>
      <c r="H47" s="26">
        <v>9.7724123628555049</v>
      </c>
      <c r="I47" s="26">
        <v>3.852906146651037</v>
      </c>
      <c r="J47" s="26">
        <v>8.3990888755678839</v>
      </c>
      <c r="K47" s="26">
        <v>8.7800000000000153</v>
      </c>
      <c r="L47" s="26">
        <v>5.9018481526865969</v>
      </c>
      <c r="M47" s="26">
        <v>11.33354780387927</v>
      </c>
      <c r="N47" s="26">
        <v>80.373137035462264</v>
      </c>
      <c r="O47" s="26">
        <v>2.1844663950021612</v>
      </c>
      <c r="P47" s="26">
        <v>0.33931629816584064</v>
      </c>
      <c r="Q47" s="26">
        <v>5.5045058309427759</v>
      </c>
      <c r="R47" s="26">
        <v>9.3766789418463787</v>
      </c>
      <c r="S47" s="26">
        <v>-4.1616471898086758</v>
      </c>
      <c r="T47" s="26">
        <v>14.658395296261602</v>
      </c>
      <c r="U47" s="26">
        <v>3.5938696024015826</v>
      </c>
    </row>
    <row r="48" spans="1:21" x14ac:dyDescent="0.25">
      <c r="A48" s="95"/>
      <c r="B48" s="99">
        <v>2011</v>
      </c>
      <c r="C48" s="61" t="s">
        <v>28</v>
      </c>
      <c r="D48" s="21">
        <v>8.562814740356032</v>
      </c>
      <c r="E48" s="21">
        <v>10.350615912134998</v>
      </c>
      <c r="F48" s="21">
        <v>-9.4867249795479154</v>
      </c>
      <c r="G48" s="21">
        <v>-8.3653929683470665</v>
      </c>
      <c r="H48" s="21">
        <v>10.4774492767244</v>
      </c>
      <c r="I48" s="21">
        <v>9.9424712382504765</v>
      </c>
      <c r="J48" s="21">
        <v>6.8032219211214766</v>
      </c>
      <c r="K48" s="21">
        <v>10.528214793478739</v>
      </c>
      <c r="L48" s="21">
        <v>10.318948141535444</v>
      </c>
      <c r="M48" s="21">
        <v>9.8629977019241579</v>
      </c>
      <c r="N48" s="21">
        <v>63.536258770957943</v>
      </c>
      <c r="O48" s="21">
        <v>17.80386943849166</v>
      </c>
      <c r="P48" s="21">
        <v>1.3981741662768599</v>
      </c>
      <c r="Q48" s="21">
        <v>4.2764111569305641</v>
      </c>
      <c r="R48" s="21">
        <v>12.13019383005205</v>
      </c>
      <c r="S48" s="21">
        <v>17.641515609022434</v>
      </c>
      <c r="T48" s="21">
        <v>24.576295389917476</v>
      </c>
      <c r="U48" s="22">
        <v>1.892441410422748</v>
      </c>
    </row>
    <row r="49" spans="1:21" x14ac:dyDescent="0.25">
      <c r="A49" s="95"/>
      <c r="B49" s="100"/>
      <c r="C49" s="19" t="s">
        <v>29</v>
      </c>
      <c r="D49" s="2">
        <v>6.7394121381335879</v>
      </c>
      <c r="E49" s="2">
        <v>15.040054376947623</v>
      </c>
      <c r="F49" s="2">
        <v>-15.556185423228754</v>
      </c>
      <c r="G49" s="2">
        <v>21.811459710074786</v>
      </c>
      <c r="H49" s="2">
        <v>10.152131642258567</v>
      </c>
      <c r="I49" s="2">
        <v>13.924347965342676</v>
      </c>
      <c r="J49" s="2">
        <v>6.0533872496531131</v>
      </c>
      <c r="K49" s="2">
        <v>10.023752244402885</v>
      </c>
      <c r="L49" s="2">
        <v>9.2182571363462529</v>
      </c>
      <c r="M49" s="2">
        <v>9.9856203225078701</v>
      </c>
      <c r="N49" s="2">
        <v>93.14769198028884</v>
      </c>
      <c r="O49" s="2">
        <v>-12.642995861347856</v>
      </c>
      <c r="P49" s="2">
        <v>-11.242505626051084</v>
      </c>
      <c r="Q49" s="2">
        <v>2.6882432504408769</v>
      </c>
      <c r="R49" s="2">
        <v>10.386379381892795</v>
      </c>
      <c r="S49" s="2">
        <v>11.091817666194757</v>
      </c>
      <c r="T49" s="2">
        <v>-64.577117911073231</v>
      </c>
      <c r="U49" s="23">
        <v>-2.3150179250055771</v>
      </c>
    </row>
    <row r="50" spans="1:21" x14ac:dyDescent="0.25">
      <c r="A50" s="95"/>
      <c r="B50" s="100"/>
      <c r="C50" s="19" t="s">
        <v>30</v>
      </c>
      <c r="D50" s="2">
        <v>5.7736683171106336</v>
      </c>
      <c r="E50" s="2">
        <v>17.161946906657619</v>
      </c>
      <c r="F50" s="2">
        <v>-4.103098182853131</v>
      </c>
      <c r="G50" s="2">
        <v>-12.580248456598113</v>
      </c>
      <c r="H50" s="2">
        <v>9.5857839818267649</v>
      </c>
      <c r="I50" s="2">
        <v>1.8257074588650397</v>
      </c>
      <c r="J50" s="2">
        <v>7.9830916699805528</v>
      </c>
      <c r="K50" s="2">
        <v>8.5161572135855437</v>
      </c>
      <c r="L50" s="2">
        <v>6.4780993036451378</v>
      </c>
      <c r="M50" s="2">
        <v>11.224158389221046</v>
      </c>
      <c r="N50" s="2">
        <v>97.088681813233592</v>
      </c>
      <c r="O50" s="2">
        <v>16.746944985692181</v>
      </c>
      <c r="P50" s="2">
        <v>-0.97289620520906794</v>
      </c>
      <c r="Q50" s="2">
        <v>4.7210453287871701</v>
      </c>
      <c r="R50" s="2">
        <v>8.6091103615544711</v>
      </c>
      <c r="S50" s="2">
        <v>-15.616370028265493</v>
      </c>
      <c r="T50" s="2">
        <v>16.665021659209842</v>
      </c>
      <c r="U50" s="23">
        <v>3.4034067730249689</v>
      </c>
    </row>
    <row r="51" spans="1:21" x14ac:dyDescent="0.25">
      <c r="A51" s="95"/>
      <c r="B51" s="101"/>
      <c r="C51" s="52" t="s">
        <v>31</v>
      </c>
      <c r="D51" s="20">
        <v>5.4662014504456806</v>
      </c>
      <c r="E51" s="20">
        <v>17.089438659512027</v>
      </c>
      <c r="F51" s="20">
        <v>10.323077215543066</v>
      </c>
      <c r="G51" s="20">
        <v>14.642778850589508</v>
      </c>
      <c r="H51" s="20">
        <v>9.0637328903827381</v>
      </c>
      <c r="I51" s="20">
        <v>-8.7655377860660337</v>
      </c>
      <c r="J51" s="20">
        <v>12.736533635874039</v>
      </c>
      <c r="K51" s="20">
        <v>6.4626642303577029</v>
      </c>
      <c r="L51" s="20">
        <v>1.7674539930671642</v>
      </c>
      <c r="M51" s="20">
        <v>13.678302437765666</v>
      </c>
      <c r="N51" s="20">
        <v>70.567588413282976</v>
      </c>
      <c r="O51" s="20">
        <v>-8.0275559536176786</v>
      </c>
      <c r="P51" s="20">
        <v>9.742474444909675</v>
      </c>
      <c r="Q51" s="20">
        <v>10.186239464765066</v>
      </c>
      <c r="R51" s="20">
        <v>6.7707429023311505</v>
      </c>
      <c r="S51" s="20">
        <v>-18.406312110889573</v>
      </c>
      <c r="T51" s="20">
        <v>18.079650491993689</v>
      </c>
      <c r="U51" s="24">
        <v>12.124784313284493</v>
      </c>
    </row>
    <row r="52" spans="1:21" x14ac:dyDescent="0.25">
      <c r="A52" s="95"/>
      <c r="B52" s="58"/>
      <c r="C52" s="57" t="s">
        <v>51</v>
      </c>
      <c r="D52" s="26">
        <v>5.9993302764764564</v>
      </c>
      <c r="E52" s="26">
        <v>9.7379308637543858</v>
      </c>
      <c r="F52" s="26">
        <v>8.4989387091339239</v>
      </c>
      <c r="G52" s="26">
        <v>-2.109571203133882</v>
      </c>
      <c r="H52" s="26">
        <v>8.0074698807560054</v>
      </c>
      <c r="I52" s="26">
        <v>10.255634546407919</v>
      </c>
      <c r="J52" s="26">
        <v>23.917149529441346</v>
      </c>
      <c r="K52" s="26">
        <v>7.0050092209245065</v>
      </c>
      <c r="L52" s="26">
        <v>-6.7529867845526326</v>
      </c>
      <c r="M52" s="26">
        <v>10.617621404677877</v>
      </c>
      <c r="N52" s="26">
        <v>5.5353379005719745</v>
      </c>
      <c r="O52" s="26">
        <v>0.41498123667673781</v>
      </c>
      <c r="P52" s="26">
        <v>3.5316263731641584</v>
      </c>
      <c r="Q52" s="26">
        <v>20.615600183583766</v>
      </c>
      <c r="R52" s="26">
        <v>6.8629855886289164</v>
      </c>
      <c r="S52" s="26">
        <v>-2.0652981697128894</v>
      </c>
      <c r="T52" s="26">
        <v>7.7140031232626853</v>
      </c>
      <c r="U52" s="26">
        <v>8.5031228386666555</v>
      </c>
    </row>
    <row r="53" spans="1:21" x14ac:dyDescent="0.25">
      <c r="A53" s="95"/>
      <c r="B53" s="99">
        <v>2012</v>
      </c>
      <c r="C53" s="61" t="s">
        <v>28</v>
      </c>
      <c r="D53" s="21">
        <v>5.7495189198247658</v>
      </c>
      <c r="E53" s="21">
        <v>13.935254567353979</v>
      </c>
      <c r="F53" s="21">
        <v>10.108350553039486</v>
      </c>
      <c r="G53" s="21">
        <v>3.9801515727143908</v>
      </c>
      <c r="H53" s="21">
        <v>7.1546023441654256</v>
      </c>
      <c r="I53" s="21">
        <v>7.6686526193419269</v>
      </c>
      <c r="J53" s="21">
        <v>20.11157302566626</v>
      </c>
      <c r="K53" s="21">
        <v>9.1563557895674137</v>
      </c>
      <c r="L53" s="21">
        <v>-4.9603292636116691</v>
      </c>
      <c r="M53" s="21">
        <v>17.302835407917371</v>
      </c>
      <c r="N53" s="21">
        <v>28.787580114220901</v>
      </c>
      <c r="O53" s="21">
        <v>-11.743718875698434</v>
      </c>
      <c r="P53" s="21">
        <v>-1.3683570684555235</v>
      </c>
      <c r="Q53" s="21">
        <v>20.218864484498965</v>
      </c>
      <c r="R53" s="21">
        <v>9.4730429969339838</v>
      </c>
      <c r="S53" s="21">
        <v>-4.6629672081858615</v>
      </c>
      <c r="T53" s="21">
        <v>83.431230282929079</v>
      </c>
      <c r="U53" s="22">
        <v>7.7985105466242572</v>
      </c>
    </row>
    <row r="54" spans="1:21" x14ac:dyDescent="0.25">
      <c r="A54" s="95"/>
      <c r="B54" s="100"/>
      <c r="C54" s="19" t="s">
        <v>29</v>
      </c>
      <c r="D54" s="2">
        <v>6.0228035209679405</v>
      </c>
      <c r="E54" s="2">
        <v>11.166151509690565</v>
      </c>
      <c r="F54" s="2">
        <v>16.684910073537324</v>
      </c>
      <c r="G54" s="2">
        <v>-15.978793852249083</v>
      </c>
      <c r="H54" s="2">
        <v>7.8082574542164309</v>
      </c>
      <c r="I54" s="2">
        <v>10.961528057789138</v>
      </c>
      <c r="J54" s="2">
        <v>24.4827740788688</v>
      </c>
      <c r="K54" s="2">
        <v>7.8015020723287449</v>
      </c>
      <c r="L54" s="2">
        <v>-9.2238642691141735</v>
      </c>
      <c r="M54" s="2">
        <v>16.346466837144249</v>
      </c>
      <c r="N54" s="2">
        <v>6.4016719881259547</v>
      </c>
      <c r="O54" s="2">
        <v>18.954827837529706</v>
      </c>
      <c r="P54" s="2">
        <v>-2.5049389894073073</v>
      </c>
      <c r="Q54" s="2">
        <v>23.028197185323179</v>
      </c>
      <c r="R54" s="2">
        <v>8.0909672643757062</v>
      </c>
      <c r="S54" s="2">
        <v>-0.44698861572531712</v>
      </c>
      <c r="T54" s="2">
        <v>79.363943355851347</v>
      </c>
      <c r="U54" s="23">
        <v>13.345404432568955</v>
      </c>
    </row>
    <row r="55" spans="1:21" x14ac:dyDescent="0.25">
      <c r="A55" s="95"/>
      <c r="B55" s="100"/>
      <c r="C55" s="19" t="s">
        <v>30</v>
      </c>
      <c r="D55" s="2">
        <v>6.1886884544525458</v>
      </c>
      <c r="E55" s="2">
        <v>8.7111554489708141</v>
      </c>
      <c r="F55" s="2">
        <v>4.163078469286603</v>
      </c>
      <c r="G55" s="2">
        <v>14.47922941791353</v>
      </c>
      <c r="H55" s="2">
        <v>8.2689190739734499</v>
      </c>
      <c r="I55" s="2">
        <v>11.511448361506993</v>
      </c>
      <c r="J55" s="2">
        <v>26.090154315648633</v>
      </c>
      <c r="K55" s="2">
        <v>6.3661648089748724</v>
      </c>
      <c r="L55" s="2">
        <v>-9.0098636822426954</v>
      </c>
      <c r="M55" s="2">
        <v>10.871567640566454</v>
      </c>
      <c r="N55" s="2">
        <v>-3.4807834887658089</v>
      </c>
      <c r="O55" s="2">
        <v>13.067151212107035</v>
      </c>
      <c r="P55" s="2">
        <v>9.7284573920068738</v>
      </c>
      <c r="Q55" s="2">
        <v>21.949911685361712</v>
      </c>
      <c r="R55" s="2">
        <v>6.089136311457068</v>
      </c>
      <c r="S55" s="2">
        <v>-7.6168935779912061</v>
      </c>
      <c r="T55" s="2">
        <v>-14.05386139237531</v>
      </c>
      <c r="U55" s="23">
        <v>5.9569055523926977</v>
      </c>
    </row>
    <row r="56" spans="1:21" x14ac:dyDescent="0.25">
      <c r="A56" s="95"/>
      <c r="B56" s="101"/>
      <c r="C56" s="52" t="s">
        <v>31</v>
      </c>
      <c r="D56" s="20">
        <v>6.2040343343970221</v>
      </c>
      <c r="E56" s="20">
        <v>6.5069671315582553</v>
      </c>
      <c r="F56" s="20">
        <v>4.2131797520707579</v>
      </c>
      <c r="G56" s="20">
        <v>-6.1159848622064743</v>
      </c>
      <c r="H56" s="20">
        <v>8.6247527672756092</v>
      </c>
      <c r="I56" s="20">
        <v>11.155166085858298</v>
      </c>
      <c r="J56" s="20">
        <v>24.913691289047193</v>
      </c>
      <c r="K56" s="20">
        <v>5.0152859052370928</v>
      </c>
      <c r="L56" s="20">
        <v>-3.4818887464989388</v>
      </c>
      <c r="M56" s="20">
        <v>0.85623010293265622</v>
      </c>
      <c r="N56" s="20">
        <v>-2.8622658941198296</v>
      </c>
      <c r="O56" s="20">
        <v>-14.39351027157845</v>
      </c>
      <c r="P56" s="20">
        <v>6.092948326678524</v>
      </c>
      <c r="Q56" s="20">
        <v>17.508038961942418</v>
      </c>
      <c r="R56" s="20">
        <v>4.0247714677452961</v>
      </c>
      <c r="S56" s="20">
        <v>4.2185559306704477</v>
      </c>
      <c r="T56" s="20">
        <v>6.2360689688252222</v>
      </c>
      <c r="U56" s="24">
        <v>7.1086472571932262</v>
      </c>
    </row>
    <row r="57" spans="1:21" x14ac:dyDescent="0.25">
      <c r="A57" s="95"/>
      <c r="B57" s="58"/>
      <c r="C57" s="57" t="s">
        <v>51</v>
      </c>
      <c r="D57" s="26">
        <v>4.7968605777442264</v>
      </c>
      <c r="E57" s="26">
        <v>2.38024070293379</v>
      </c>
      <c r="F57" s="26">
        <v>-0.83284022305288374</v>
      </c>
      <c r="G57" s="26">
        <v>4.0659313183615495</v>
      </c>
      <c r="H57" s="26">
        <v>7.8571077439421941</v>
      </c>
      <c r="I57" s="26">
        <v>25.293899486730666</v>
      </c>
      <c r="J57" s="26">
        <v>16.14847992449657</v>
      </c>
      <c r="K57" s="26">
        <v>5.6106703012080317</v>
      </c>
      <c r="L57" s="26">
        <v>18.299683461504188</v>
      </c>
      <c r="M57" s="26">
        <v>5.7526702989174794</v>
      </c>
      <c r="N57" s="26">
        <v>18.040357166688409</v>
      </c>
      <c r="O57" s="26">
        <v>-3.3535144404296489</v>
      </c>
      <c r="P57" s="26">
        <v>6.2757467993915554</v>
      </c>
      <c r="Q57" s="26">
        <v>2.9999331025370992</v>
      </c>
      <c r="R57" s="26">
        <v>4.3797921041589092</v>
      </c>
      <c r="S57" s="26">
        <v>18.307684519590921</v>
      </c>
      <c r="T57" s="26">
        <v>14.79475358156111</v>
      </c>
      <c r="U57" s="26">
        <v>4.8830612968838949</v>
      </c>
    </row>
    <row r="58" spans="1:21" x14ac:dyDescent="0.25">
      <c r="A58" s="95"/>
      <c r="B58" s="99">
        <v>2013</v>
      </c>
      <c r="C58" s="61" t="s">
        <v>28</v>
      </c>
      <c r="D58" s="21">
        <v>6.5831806788863929</v>
      </c>
      <c r="E58" s="21">
        <v>4.5324299094603191</v>
      </c>
      <c r="F58" s="21">
        <v>-2.1825080509602515</v>
      </c>
      <c r="G58" s="21">
        <v>-0.97153192472632099</v>
      </c>
      <c r="H58" s="21">
        <v>9.8379496816544787</v>
      </c>
      <c r="I58" s="21">
        <v>20.144735678065587</v>
      </c>
      <c r="J58" s="21">
        <v>21.600839853863278</v>
      </c>
      <c r="K58" s="21">
        <v>4.6175372134426453</v>
      </c>
      <c r="L58" s="21">
        <v>8.241925395780612</v>
      </c>
      <c r="M58" s="21">
        <v>20.497407655157772</v>
      </c>
      <c r="N58" s="21">
        <v>8.9623112868467274</v>
      </c>
      <c r="O58" s="21">
        <v>-12.645495436994253</v>
      </c>
      <c r="P58" s="21">
        <v>15.461235035353454</v>
      </c>
      <c r="Q58" s="21">
        <v>10.447684138542797</v>
      </c>
      <c r="R58" s="21">
        <v>2.1385840751358103</v>
      </c>
      <c r="S58" s="21">
        <v>19.542464159453715</v>
      </c>
      <c r="T58" s="21">
        <v>-25.314303112620834</v>
      </c>
      <c r="U58" s="22">
        <v>12.294074177048799</v>
      </c>
    </row>
    <row r="59" spans="1:21" x14ac:dyDescent="0.25">
      <c r="A59" s="95"/>
      <c r="B59" s="100"/>
      <c r="C59" s="19" t="s">
        <v>29</v>
      </c>
      <c r="D59" s="2">
        <v>5.6505612543134731</v>
      </c>
      <c r="E59" s="2">
        <v>2.9521444405663999</v>
      </c>
      <c r="F59" s="2">
        <v>3.0236773772066385</v>
      </c>
      <c r="G59" s="2">
        <v>4.2018419900492461</v>
      </c>
      <c r="H59" s="2">
        <v>9.5108982814466287</v>
      </c>
      <c r="I59" s="2">
        <v>30.844654090520265</v>
      </c>
      <c r="J59" s="2">
        <v>18.130748088529728</v>
      </c>
      <c r="K59" s="2">
        <v>4.6498498211093846</v>
      </c>
      <c r="L59" s="2">
        <v>17.534242445991737</v>
      </c>
      <c r="M59" s="2">
        <v>18.343907588953414</v>
      </c>
      <c r="N59" s="2">
        <v>18.556134892446224</v>
      </c>
      <c r="O59" s="2">
        <v>-2.3981679370801032</v>
      </c>
      <c r="P59" s="2">
        <v>11.911451648428994</v>
      </c>
      <c r="Q59" s="2">
        <v>4.783173849962651</v>
      </c>
      <c r="R59" s="2">
        <v>2.338942564900421</v>
      </c>
      <c r="S59" s="2">
        <v>3.8253992241369161</v>
      </c>
      <c r="T59" s="2">
        <v>160.46394478992602</v>
      </c>
      <c r="U59" s="23">
        <v>7.7697355106754742</v>
      </c>
    </row>
    <row r="60" spans="1:21" x14ac:dyDescent="0.25">
      <c r="A60" s="95"/>
      <c r="B60" s="100"/>
      <c r="C60" s="19" t="s">
        <v>30</v>
      </c>
      <c r="D60" s="2">
        <v>3.4248835124833192</v>
      </c>
      <c r="E60" s="2">
        <v>1.7279475605663492</v>
      </c>
      <c r="F60" s="2">
        <v>3.1865006534131055</v>
      </c>
      <c r="G60" s="2">
        <v>7.2691868229898517</v>
      </c>
      <c r="H60" s="2">
        <v>7.7932041734858757</v>
      </c>
      <c r="I60" s="2">
        <v>15.025558416849975</v>
      </c>
      <c r="J60" s="2">
        <v>14.570658086041561</v>
      </c>
      <c r="K60" s="2">
        <v>5.7076727265699816</v>
      </c>
      <c r="L60" s="2">
        <v>21.462318361606165</v>
      </c>
      <c r="M60" s="2">
        <v>1.1723145847287668</v>
      </c>
      <c r="N60" s="2">
        <v>23.351190134976235</v>
      </c>
      <c r="O60" s="2">
        <v>-9.2477160301509258</v>
      </c>
      <c r="P60" s="2">
        <v>6.3852545875818123E-2</v>
      </c>
      <c r="Q60" s="2">
        <v>0.42924380181798938</v>
      </c>
      <c r="R60" s="2">
        <v>4.5304115461960635</v>
      </c>
      <c r="S60" s="2">
        <v>17.903701415586241</v>
      </c>
      <c r="T60" s="2">
        <v>3943.9415616202959</v>
      </c>
      <c r="U60" s="23">
        <v>-8.7007723250824682</v>
      </c>
    </row>
    <row r="61" spans="1:21" x14ac:dyDescent="0.25">
      <c r="A61" s="95"/>
      <c r="B61" s="101"/>
      <c r="C61" s="52" t="s">
        <v>31</v>
      </c>
      <c r="D61" s="20">
        <v>0.43295379434007941</v>
      </c>
      <c r="E61" s="20">
        <v>0.78311983457443546</v>
      </c>
      <c r="F61" s="20">
        <v>-6.9501691382879613</v>
      </c>
      <c r="G61" s="20">
        <v>5.6684909340141303</v>
      </c>
      <c r="H61" s="20">
        <v>4.9656788411034825</v>
      </c>
      <c r="I61" s="20">
        <v>35.435921684363962</v>
      </c>
      <c r="J61" s="20">
        <v>10.864692512218028</v>
      </c>
      <c r="K61" s="20">
        <v>7.3159008463747881</v>
      </c>
      <c r="L61" s="20">
        <v>19.425773722422221</v>
      </c>
      <c r="M61" s="20">
        <v>-13.701335708460675</v>
      </c>
      <c r="N61" s="20">
        <v>21.050674707113373</v>
      </c>
      <c r="O61" s="20">
        <v>10.142263892788989</v>
      </c>
      <c r="P61" s="20">
        <v>2.0045794935164452</v>
      </c>
      <c r="Q61" s="20">
        <v>-2.9296185608325231</v>
      </c>
      <c r="R61" s="20">
        <v>8.601516098026238</v>
      </c>
      <c r="S61" s="20">
        <v>31.934943924466495</v>
      </c>
      <c r="T61" s="20">
        <v>-72.371058856577164</v>
      </c>
      <c r="U61" s="24">
        <v>8.2202438240723978</v>
      </c>
    </row>
    <row r="62" spans="1:21" x14ac:dyDescent="0.25">
      <c r="A62" s="95"/>
      <c r="B62" s="58"/>
      <c r="C62" s="57" t="s">
        <v>51</v>
      </c>
      <c r="D62" s="26">
        <v>5.4734156816108168</v>
      </c>
      <c r="E62" s="26">
        <v>30.658927464637571</v>
      </c>
      <c r="F62" s="26">
        <v>-2.4757429900539023</v>
      </c>
      <c r="G62" s="26">
        <v>0.67099999999993543</v>
      </c>
      <c r="H62" s="26">
        <v>-5.9797612434442442</v>
      </c>
      <c r="I62" s="26">
        <v>3.5979524433576131</v>
      </c>
      <c r="J62" s="26">
        <v>1.3918770188863903</v>
      </c>
      <c r="K62" s="26">
        <v>24.416038564408211</v>
      </c>
      <c r="L62" s="26">
        <v>0.93026448604447864</v>
      </c>
      <c r="M62" s="26">
        <v>12.332710332875934</v>
      </c>
      <c r="N62" s="26">
        <v>8.7799999999999869</v>
      </c>
      <c r="O62" s="26">
        <v>-11.193198111767018</v>
      </c>
      <c r="P62" s="26">
        <v>8.4351799538861911</v>
      </c>
      <c r="Q62" s="26">
        <v>-3.520025984420343</v>
      </c>
      <c r="R62" s="26">
        <v>15.026610808307169</v>
      </c>
      <c r="S62" s="26">
        <v>7.4983954372278845</v>
      </c>
      <c r="T62" s="26">
        <v>4.156195426741192</v>
      </c>
      <c r="U62" s="26">
        <v>4.6557235631555614</v>
      </c>
    </row>
    <row r="63" spans="1:21" x14ac:dyDescent="0.25">
      <c r="A63" s="95"/>
      <c r="B63" s="99">
        <v>2014</v>
      </c>
      <c r="C63" s="61" t="s">
        <v>28</v>
      </c>
      <c r="D63" s="21">
        <v>5.7081252636352673</v>
      </c>
      <c r="E63" s="21">
        <v>37.952593744647032</v>
      </c>
      <c r="F63" s="21">
        <v>-9.7482307044213314</v>
      </c>
      <c r="G63" s="21">
        <v>-4.9727492101640109</v>
      </c>
      <c r="H63" s="21">
        <v>-12.803190457629668</v>
      </c>
      <c r="I63" s="21">
        <v>12.445496734043672</v>
      </c>
      <c r="J63" s="21">
        <v>1.2959232754224104</v>
      </c>
      <c r="K63" s="21">
        <v>17.286313908612883</v>
      </c>
      <c r="L63" s="21">
        <v>56.975636591600306</v>
      </c>
      <c r="M63" s="21">
        <v>12.930961518445457</v>
      </c>
      <c r="N63" s="21">
        <v>14.997760845286194</v>
      </c>
      <c r="O63" s="21">
        <v>-1.9879194655674723</v>
      </c>
      <c r="P63" s="21">
        <v>9.595581724413023</v>
      </c>
      <c r="Q63" s="21">
        <v>-2.2676445926372963</v>
      </c>
      <c r="R63" s="21">
        <v>24.510970301462919</v>
      </c>
      <c r="S63" s="21">
        <v>14.090844790990204</v>
      </c>
      <c r="T63" s="21">
        <v>2296.8306120195548</v>
      </c>
      <c r="U63" s="22">
        <v>-8.3882648909933408</v>
      </c>
    </row>
    <row r="64" spans="1:21" x14ac:dyDescent="0.25">
      <c r="A64" s="95"/>
      <c r="B64" s="100"/>
      <c r="C64" s="19" t="s">
        <v>29</v>
      </c>
      <c r="D64" s="2">
        <v>6.2380222285351294</v>
      </c>
      <c r="E64" s="2">
        <v>23.668693504459796</v>
      </c>
      <c r="F64" s="2">
        <v>-6.7603032519553636</v>
      </c>
      <c r="G64" s="2">
        <v>4.3987160691733322</v>
      </c>
      <c r="H64" s="2">
        <v>-13.378171437803715</v>
      </c>
      <c r="I64" s="2">
        <v>-11.332788610428565</v>
      </c>
      <c r="J64" s="2">
        <v>-21.919060736119647</v>
      </c>
      <c r="K64" s="2">
        <v>19.560663176241277</v>
      </c>
      <c r="L64" s="2">
        <v>60.973863480683264</v>
      </c>
      <c r="M64" s="2">
        <v>14.260676999768805</v>
      </c>
      <c r="N64" s="2">
        <v>6.4994075959375408</v>
      </c>
      <c r="O64" s="2">
        <v>-12.761172085060423</v>
      </c>
      <c r="P64" s="2">
        <v>9.4503414136850807</v>
      </c>
      <c r="Q64" s="2">
        <v>-3.9013852757634595</v>
      </c>
      <c r="R64" s="2">
        <v>14.258857367088609</v>
      </c>
      <c r="S64" s="2">
        <v>36.06191150904553</v>
      </c>
      <c r="T64" s="2">
        <v>668.62110582482114</v>
      </c>
      <c r="U64" s="23">
        <v>-4.9284779798828566</v>
      </c>
    </row>
    <row r="65" spans="1:21" x14ac:dyDescent="0.25">
      <c r="A65" s="95"/>
      <c r="B65" s="100"/>
      <c r="C65" s="19" t="s">
        <v>30</v>
      </c>
      <c r="D65" s="2">
        <v>5.8581017451115684</v>
      </c>
      <c r="E65" s="2">
        <v>31.46300006815693</v>
      </c>
      <c r="F65" s="2">
        <v>0.30719073708891642</v>
      </c>
      <c r="G65" s="2">
        <v>6.9095362179258473</v>
      </c>
      <c r="H65" s="2">
        <v>-9.3155530723358879</v>
      </c>
      <c r="I65" s="2">
        <v>5.8900255332473108</v>
      </c>
      <c r="J65" s="2">
        <v>9.4611930858721678</v>
      </c>
      <c r="K65" s="2">
        <v>26.059430057185295</v>
      </c>
      <c r="L65" s="2">
        <v>-28.009951975032891</v>
      </c>
      <c r="M65" s="2">
        <v>10.482382965447641</v>
      </c>
      <c r="N65" s="2">
        <v>11.305524462128133</v>
      </c>
      <c r="O65" s="2">
        <v>-38.115871361190742</v>
      </c>
      <c r="P65" s="2">
        <v>9.2617098475595441</v>
      </c>
      <c r="Q65" s="2">
        <v>-4.3563918019674901</v>
      </c>
      <c r="R65" s="2">
        <v>10.517878732801634</v>
      </c>
      <c r="S65" s="2">
        <v>28.324431373791242</v>
      </c>
      <c r="T65" s="2">
        <v>-73.269850532510574</v>
      </c>
      <c r="U65" s="23">
        <v>22.562701438441806</v>
      </c>
    </row>
    <row r="66" spans="1:21" x14ac:dyDescent="0.25">
      <c r="A66" s="95"/>
      <c r="B66" s="101"/>
      <c r="C66" s="52" t="s">
        <v>31</v>
      </c>
      <c r="D66" s="20">
        <v>1.9734517621396606</v>
      </c>
      <c r="E66" s="20">
        <v>29.058657033787654</v>
      </c>
      <c r="F66" s="20">
        <v>6.5952701845714046</v>
      </c>
      <c r="G66" s="20">
        <v>-3.8904796061436997</v>
      </c>
      <c r="H66" s="20">
        <v>9.154082075637973</v>
      </c>
      <c r="I66" s="20">
        <v>8.5492970546680027</v>
      </c>
      <c r="J66" s="20">
        <v>15.084141343450057</v>
      </c>
      <c r="K66" s="20">
        <v>33.576320604126266</v>
      </c>
      <c r="L66" s="20">
        <v>-31.115739670716479</v>
      </c>
      <c r="M66" s="20">
        <v>11.465513154717598</v>
      </c>
      <c r="N66" s="20">
        <v>3.586962377960262</v>
      </c>
      <c r="O66" s="20">
        <v>12.820581279814604</v>
      </c>
      <c r="P66" s="20">
        <v>6.3583632080171668</v>
      </c>
      <c r="Q66" s="20">
        <v>-3.5701045294360796</v>
      </c>
      <c r="R66" s="20">
        <v>12.039853144124308</v>
      </c>
      <c r="S66" s="20">
        <v>-36.279069418642173</v>
      </c>
      <c r="T66" s="20">
        <v>-48.364861438461539</v>
      </c>
      <c r="U66" s="24">
        <v>12.551842418123613</v>
      </c>
    </row>
    <row r="67" spans="1:21" x14ac:dyDescent="0.25">
      <c r="A67" s="95"/>
      <c r="B67" s="58"/>
      <c r="C67" s="57" t="s">
        <v>51</v>
      </c>
      <c r="D67" s="26">
        <v>2.4652658730068566</v>
      </c>
      <c r="E67" s="26">
        <v>14.197348336996839</v>
      </c>
      <c r="F67" s="26">
        <v>10.986597721602706</v>
      </c>
      <c r="G67" s="26">
        <v>6.5469699873913214</v>
      </c>
      <c r="H67" s="26">
        <v>4.7051866053279525</v>
      </c>
      <c r="I67" s="26">
        <v>10.136998821376579</v>
      </c>
      <c r="J67" s="26">
        <v>-11.613153850661561</v>
      </c>
      <c r="K67" s="26">
        <v>-3.3332833562344177</v>
      </c>
      <c r="L67" s="26">
        <v>0.72705099450716659</v>
      </c>
      <c r="M67" s="26">
        <v>7.9644258535793711</v>
      </c>
      <c r="N67" s="26">
        <v>-0.24948395987657079</v>
      </c>
      <c r="O67" s="26">
        <v>17.096447828430868</v>
      </c>
      <c r="P67" s="26">
        <v>-3.6040363994021334</v>
      </c>
      <c r="Q67" s="26">
        <v>0.44032661730344103</v>
      </c>
      <c r="R67" s="26">
        <v>-8.9437009323218177</v>
      </c>
      <c r="S67" s="26">
        <v>-10.17093042760952</v>
      </c>
      <c r="T67" s="26">
        <v>15.424275013620999</v>
      </c>
      <c r="U67" s="26">
        <v>0.76317771091500219</v>
      </c>
    </row>
    <row r="68" spans="1:21" x14ac:dyDescent="0.25">
      <c r="A68" s="95"/>
      <c r="B68" s="99">
        <v>2015</v>
      </c>
      <c r="C68" s="61" t="s">
        <v>28</v>
      </c>
      <c r="D68" s="21">
        <v>1.2075320606256668</v>
      </c>
      <c r="E68" s="21">
        <v>20.967361497989032</v>
      </c>
      <c r="F68" s="21">
        <v>16.096338542846752</v>
      </c>
      <c r="G68" s="21">
        <v>5.3776845210143449</v>
      </c>
      <c r="H68" s="21">
        <v>24.989320999218407</v>
      </c>
      <c r="I68" s="21">
        <v>5.9272929516435084</v>
      </c>
      <c r="J68" s="21">
        <v>-24.009872804525756</v>
      </c>
      <c r="K68" s="21">
        <v>6.5007449333507168</v>
      </c>
      <c r="L68" s="21">
        <v>7.9045074334258771</v>
      </c>
      <c r="M68" s="21">
        <v>6.0380632597025965</v>
      </c>
      <c r="N68" s="21">
        <v>-3.4673946540642362</v>
      </c>
      <c r="O68" s="21">
        <v>46.466619031773661</v>
      </c>
      <c r="P68" s="21">
        <v>3.0669647667723439</v>
      </c>
      <c r="Q68" s="21">
        <v>-1.7681155202991903</v>
      </c>
      <c r="R68" s="21">
        <v>2.9413546850784087</v>
      </c>
      <c r="S68" s="21">
        <v>-8.1048545830737879</v>
      </c>
      <c r="T68" s="21">
        <v>59.880398368613044</v>
      </c>
      <c r="U68" s="22">
        <v>7.2883062559017304</v>
      </c>
    </row>
    <row r="69" spans="1:21" x14ac:dyDescent="0.25">
      <c r="A69" s="95"/>
      <c r="B69" s="100"/>
      <c r="C69" s="19" t="s">
        <v>29</v>
      </c>
      <c r="D69" s="2">
        <v>2.2229397932904078</v>
      </c>
      <c r="E69" s="2">
        <v>1.9850026819754731</v>
      </c>
      <c r="F69" s="2">
        <v>14.946312115392899</v>
      </c>
      <c r="G69" s="2">
        <v>5.8739960901399257</v>
      </c>
      <c r="H69" s="2">
        <v>10.593771557692833</v>
      </c>
      <c r="I69" s="2">
        <v>16.379710046467764</v>
      </c>
      <c r="J69" s="2">
        <v>-2.8044170267474016</v>
      </c>
      <c r="K69" s="2">
        <v>-5.7748946785366684E-2</v>
      </c>
      <c r="L69" s="2">
        <v>7.7124005815974783</v>
      </c>
      <c r="M69" s="2">
        <v>4.4120373372635839</v>
      </c>
      <c r="N69" s="2">
        <v>1.2530785870458487</v>
      </c>
      <c r="O69" s="2">
        <v>29.513408636626707</v>
      </c>
      <c r="P69" s="2">
        <v>3.4046875837661901</v>
      </c>
      <c r="Q69" s="2">
        <v>8.8731906170380626E-3</v>
      </c>
      <c r="R69" s="2">
        <v>-11.98386354317995</v>
      </c>
      <c r="S69" s="2">
        <v>-41.799692523402413</v>
      </c>
      <c r="T69" s="2">
        <v>-74.911247710718015</v>
      </c>
      <c r="U69" s="23">
        <v>9.2042303775945697</v>
      </c>
    </row>
    <row r="70" spans="1:21" x14ac:dyDescent="0.25">
      <c r="A70" s="95"/>
      <c r="B70" s="100"/>
      <c r="C70" s="19" t="s">
        <v>30</v>
      </c>
      <c r="D70" s="2">
        <v>1.4775860198554085</v>
      </c>
      <c r="E70" s="2">
        <v>23.438006489393359</v>
      </c>
      <c r="F70" s="2">
        <v>8.1230222743361935</v>
      </c>
      <c r="G70" s="2">
        <v>3.5496972572033769E-2</v>
      </c>
      <c r="H70" s="2">
        <v>-1.2140045080189452</v>
      </c>
      <c r="I70" s="2">
        <v>11.782665036505335</v>
      </c>
      <c r="J70" s="2">
        <v>-4.3460696362818396</v>
      </c>
      <c r="K70" s="2">
        <v>-6.7348890342454126</v>
      </c>
      <c r="L70" s="2">
        <v>-3.1333696467931134</v>
      </c>
      <c r="M70" s="2">
        <v>19.464348823652045</v>
      </c>
      <c r="N70" s="2">
        <v>-0.90740589458559384</v>
      </c>
      <c r="O70" s="2">
        <v>42.732057110256591</v>
      </c>
      <c r="P70" s="2">
        <v>-8.2094252707566255</v>
      </c>
      <c r="Q70" s="2">
        <v>1.3545956082809312</v>
      </c>
      <c r="R70" s="2">
        <v>-15.574257260690047</v>
      </c>
      <c r="S70" s="2">
        <v>-37.429880974234564</v>
      </c>
      <c r="T70" s="2">
        <v>-79.275845861077215</v>
      </c>
      <c r="U70" s="23">
        <v>-0.81900240674738711</v>
      </c>
    </row>
    <row r="71" spans="1:21" x14ac:dyDescent="0.25">
      <c r="A71" s="95"/>
      <c r="B71" s="101"/>
      <c r="C71" s="52" t="s">
        <v>31</v>
      </c>
      <c r="D71" s="20">
        <v>8.0094405059009262</v>
      </c>
      <c r="E71" s="20">
        <v>10.515802232479942</v>
      </c>
      <c r="F71" s="20">
        <v>5.7264542769139126</v>
      </c>
      <c r="G71" s="20">
        <v>15.475588947487907</v>
      </c>
      <c r="H71" s="20">
        <v>-8.2721205079426881</v>
      </c>
      <c r="I71" s="20">
        <v>7.685524619024136</v>
      </c>
      <c r="J71" s="20">
        <v>-13.418254969260175</v>
      </c>
      <c r="K71" s="20">
        <v>-10.570209188102993</v>
      </c>
      <c r="L71" s="20">
        <v>-11.687631731282266</v>
      </c>
      <c r="M71" s="20">
        <v>0.8276001644588149</v>
      </c>
      <c r="N71" s="20">
        <v>1.8829156707772938</v>
      </c>
      <c r="O71" s="20">
        <v>-19.659051322778367</v>
      </c>
      <c r="P71" s="20">
        <v>-9.5254918735217728</v>
      </c>
      <c r="Q71" s="20">
        <v>2.2710058493429699</v>
      </c>
      <c r="R71" s="20">
        <v>-10.733261490646868</v>
      </c>
      <c r="S71" s="20">
        <v>83.247125655388032</v>
      </c>
      <c r="T71" s="20">
        <v>325.44497808051045</v>
      </c>
      <c r="U71" s="24">
        <v>-10.388620440970314</v>
      </c>
    </row>
    <row r="72" spans="1:21" x14ac:dyDescent="0.25">
      <c r="A72" s="95"/>
      <c r="B72" s="58"/>
      <c r="C72" s="57" t="s">
        <v>51</v>
      </c>
      <c r="D72" s="26">
        <v>1.7659919651882348</v>
      </c>
      <c r="E72" s="26">
        <v>7.4540368590520814</v>
      </c>
      <c r="F72" s="26">
        <v>-2.5457987053749207</v>
      </c>
      <c r="G72" s="26">
        <v>2.7999959024043619E-2</v>
      </c>
      <c r="H72" s="26">
        <v>5.0610463232490446</v>
      </c>
      <c r="I72" s="26">
        <v>9.2074298987245555</v>
      </c>
      <c r="J72" s="26">
        <v>2.5457290781414059</v>
      </c>
      <c r="K72" s="26">
        <v>-5.2686149181836726</v>
      </c>
      <c r="L72" s="26">
        <v>0.84430791074852607</v>
      </c>
      <c r="M72" s="26">
        <v>3.6332192275263253</v>
      </c>
      <c r="N72" s="26">
        <v>-5.0539285579980202</v>
      </c>
      <c r="O72" s="26">
        <v>1.9053257099957364</v>
      </c>
      <c r="P72" s="26">
        <v>-15.622734850476249</v>
      </c>
      <c r="Q72" s="26">
        <v>3.0000000000000284</v>
      </c>
      <c r="R72" s="26">
        <v>10.416178948859283</v>
      </c>
      <c r="S72" s="26">
        <v>1.5783901870596111</v>
      </c>
      <c r="T72" s="26">
        <v>-73.770212520218479</v>
      </c>
      <c r="U72" s="26">
        <v>-0.23307695480529844</v>
      </c>
    </row>
    <row r="73" spans="1:21" x14ac:dyDescent="0.25">
      <c r="A73" s="95"/>
      <c r="B73" s="99">
        <v>2016</v>
      </c>
      <c r="C73" s="61" t="s">
        <v>28</v>
      </c>
      <c r="D73" s="21">
        <v>2.0236752210212501</v>
      </c>
      <c r="E73" s="21">
        <v>-24.183395917607157</v>
      </c>
      <c r="F73" s="21">
        <v>4.5739869031220337</v>
      </c>
      <c r="G73" s="21">
        <v>11.105520019061359</v>
      </c>
      <c r="H73" s="21">
        <v>2.6451880269100059</v>
      </c>
      <c r="I73" s="21">
        <v>8.0955817721960273</v>
      </c>
      <c r="J73" s="21">
        <v>20.02622441853859</v>
      </c>
      <c r="K73" s="21">
        <v>3.2537762158558934</v>
      </c>
      <c r="L73" s="21">
        <v>6.1117665900918752</v>
      </c>
      <c r="M73" s="21">
        <v>3.0529675365759061</v>
      </c>
      <c r="N73" s="21">
        <v>2.456479904863258</v>
      </c>
      <c r="O73" s="21">
        <v>3.4111403278609345</v>
      </c>
      <c r="P73" s="21">
        <v>-12.040303291494865</v>
      </c>
      <c r="Q73" s="21">
        <v>2.4114044145299545</v>
      </c>
      <c r="R73" s="21">
        <v>2.0695474194274226</v>
      </c>
      <c r="S73" s="21">
        <v>-10.821684054464143</v>
      </c>
      <c r="T73" s="21">
        <v>-94.989434613745559</v>
      </c>
      <c r="U73" s="22">
        <v>5.228642738118964</v>
      </c>
    </row>
    <row r="74" spans="1:21" x14ac:dyDescent="0.25">
      <c r="A74" s="95"/>
      <c r="B74" s="100"/>
      <c r="C74" s="19" t="s">
        <v>29</v>
      </c>
      <c r="D74" s="2">
        <v>3.4702215419292486</v>
      </c>
      <c r="E74" s="2">
        <v>4.9237044795974896</v>
      </c>
      <c r="F74" s="2">
        <v>-1.2458234292376034</v>
      </c>
      <c r="G74" s="2">
        <v>-9.3446955641096423</v>
      </c>
      <c r="H74" s="2">
        <v>3.1175363505076916</v>
      </c>
      <c r="I74" s="2">
        <v>9.7988765906726911</v>
      </c>
      <c r="J74" s="2">
        <v>10.512130731510894</v>
      </c>
      <c r="K74" s="2">
        <v>-3.0090214673179219</v>
      </c>
      <c r="L74" s="2">
        <v>-12.661493820973291</v>
      </c>
      <c r="M74" s="2">
        <v>0.99326347917794067</v>
      </c>
      <c r="N74" s="2">
        <v>-2.3894231726708597</v>
      </c>
      <c r="O74" s="2">
        <v>1.7009869536315421</v>
      </c>
      <c r="P74" s="2">
        <v>-19.639463201750345</v>
      </c>
      <c r="Q74" s="2">
        <v>2.8506695300149545</v>
      </c>
      <c r="R74" s="2">
        <v>6.5011049871617388</v>
      </c>
      <c r="S74" s="2">
        <v>24.781814253537377</v>
      </c>
      <c r="T74" s="2">
        <v>10.438404110324811</v>
      </c>
      <c r="U74" s="23">
        <v>-0.30843395111605787</v>
      </c>
    </row>
    <row r="75" spans="1:21" x14ac:dyDescent="0.25">
      <c r="A75" s="95"/>
      <c r="B75" s="100"/>
      <c r="C75" s="19" t="s">
        <v>30</v>
      </c>
      <c r="D75" s="2">
        <v>4.42200485263659</v>
      </c>
      <c r="E75" s="2">
        <v>27.877002763781334</v>
      </c>
      <c r="F75" s="2">
        <v>-3.4541397273342085</v>
      </c>
      <c r="G75" s="2">
        <v>5.6337406220319934</v>
      </c>
      <c r="H75" s="2">
        <v>8.8901791776367958</v>
      </c>
      <c r="I75" s="2">
        <v>9.4316822558444073</v>
      </c>
      <c r="J75" s="2">
        <v>-17.572985725696256</v>
      </c>
      <c r="K75" s="2">
        <v>-6.4955672373985749</v>
      </c>
      <c r="L75" s="2">
        <v>3.8036535785393539</v>
      </c>
      <c r="M75" s="2">
        <v>8.5444476665140314</v>
      </c>
      <c r="N75" s="2">
        <v>-6.0533552945625502</v>
      </c>
      <c r="O75" s="2">
        <v>-3.6712565426511645</v>
      </c>
      <c r="P75" s="2">
        <v>-11.994132510849028</v>
      </c>
      <c r="Q75" s="2">
        <v>3.2101097927463655</v>
      </c>
      <c r="R75" s="2">
        <v>12.223441655411165</v>
      </c>
      <c r="S75" s="2">
        <v>25.927413358799896</v>
      </c>
      <c r="T75" s="2">
        <v>126.00492189244409</v>
      </c>
      <c r="U75" s="23">
        <v>-2.9916842979465201</v>
      </c>
    </row>
    <row r="76" spans="1:21" x14ac:dyDescent="0.25">
      <c r="A76" s="95"/>
      <c r="B76" s="101"/>
      <c r="C76" s="52" t="s">
        <v>31</v>
      </c>
      <c r="D76" s="20">
        <v>-8.091010704231465</v>
      </c>
      <c r="E76" s="20">
        <v>23.764284488835713</v>
      </c>
      <c r="F76" s="20">
        <v>-9.7628723972696321</v>
      </c>
      <c r="G76" s="20">
        <v>-5.7041327977509866</v>
      </c>
      <c r="H76" s="20">
        <v>5.7415699600748269</v>
      </c>
      <c r="I76" s="20">
        <v>9.5722579345852097</v>
      </c>
      <c r="J76" s="20">
        <v>5.4105194715822051</v>
      </c>
      <c r="K76" s="20">
        <v>-14.043694673117926</v>
      </c>
      <c r="L76" s="20">
        <v>19.518266566750128</v>
      </c>
      <c r="M76" s="20">
        <v>0.78973337295226997</v>
      </c>
      <c r="N76" s="20">
        <v>-12.754666075331457</v>
      </c>
      <c r="O76" s="20">
        <v>6.3998482061186763</v>
      </c>
      <c r="P76" s="20">
        <v>-18.34860524501542</v>
      </c>
      <c r="Q76" s="20">
        <v>3.5311591293020825</v>
      </c>
      <c r="R76" s="20">
        <v>22.361927484505671</v>
      </c>
      <c r="S76" s="20">
        <v>-15.564087814203091</v>
      </c>
      <c r="T76" s="20">
        <v>-81.13105023035493</v>
      </c>
      <c r="U76" s="24">
        <v>-2.7698855960002078</v>
      </c>
    </row>
    <row r="77" spans="1:21" x14ac:dyDescent="0.25">
      <c r="A77" s="95"/>
      <c r="B77" s="58"/>
      <c r="C77" s="57" t="s">
        <v>51</v>
      </c>
      <c r="D77" s="26">
        <v>6.4576317750166368E-2</v>
      </c>
      <c r="E77" s="26">
        <v>-1.0910506490118053</v>
      </c>
      <c r="F77" s="26">
        <v>-8.5947161274466168</v>
      </c>
      <c r="G77" s="26">
        <v>-0.77964307271560074</v>
      </c>
      <c r="H77" s="26">
        <v>1.6208820596907998</v>
      </c>
      <c r="I77" s="26">
        <v>-1.687075000667221</v>
      </c>
      <c r="J77" s="26">
        <v>2.5057290781410018</v>
      </c>
      <c r="K77" s="26">
        <v>0.1342070196284908</v>
      </c>
      <c r="L77" s="26">
        <v>-0.79674599032776428</v>
      </c>
      <c r="M77" s="26">
        <v>2.5887435375310019</v>
      </c>
      <c r="N77" s="26">
        <v>0.86604057023703263</v>
      </c>
      <c r="O77" s="26">
        <v>-10.68710805424125</v>
      </c>
      <c r="P77" s="26">
        <v>0.27406567144100791</v>
      </c>
      <c r="Q77" s="26">
        <v>3.005388245229156</v>
      </c>
      <c r="R77" s="26">
        <v>9.601565697890095</v>
      </c>
      <c r="S77" s="26">
        <v>-0.45601017504819197</v>
      </c>
      <c r="T77" s="26">
        <v>-39.008632464991052</v>
      </c>
      <c r="U77" s="26">
        <v>-0.16468865696148782</v>
      </c>
    </row>
    <row r="78" spans="1:21" x14ac:dyDescent="0.25">
      <c r="A78" s="95"/>
      <c r="B78" s="99">
        <v>2017</v>
      </c>
      <c r="C78" s="61" t="s">
        <v>28</v>
      </c>
      <c r="D78" s="21">
        <v>-2.8320446562814112</v>
      </c>
      <c r="E78" s="21">
        <v>11.876102922036381</v>
      </c>
      <c r="F78" s="21">
        <v>-12.125784302635978</v>
      </c>
      <c r="G78" s="21">
        <v>1.3547520014192997</v>
      </c>
      <c r="H78" s="21">
        <v>5.2916191986259804</v>
      </c>
      <c r="I78" s="21">
        <v>-0.94534070421428851</v>
      </c>
      <c r="J78" s="21">
        <v>-18.051336247981936</v>
      </c>
      <c r="K78" s="21">
        <v>-6.1283352161812417</v>
      </c>
      <c r="L78" s="21">
        <v>-5.9016941676448909</v>
      </c>
      <c r="M78" s="21">
        <v>-3.492709524269344E-2</v>
      </c>
      <c r="N78" s="21">
        <v>0.81068043872789985</v>
      </c>
      <c r="O78" s="21">
        <v>-11.414511810702663</v>
      </c>
      <c r="P78" s="21">
        <v>-8.5119929163601995</v>
      </c>
      <c r="Q78" s="21">
        <v>3.4895242061069354</v>
      </c>
      <c r="R78" s="21">
        <v>13.150893462497933</v>
      </c>
      <c r="S78" s="21">
        <v>12.862443743376502</v>
      </c>
      <c r="T78" s="21">
        <v>-46.379889491715922</v>
      </c>
      <c r="U78" s="22">
        <v>-4.9650598349639523</v>
      </c>
    </row>
    <row r="79" spans="1:21" x14ac:dyDescent="0.25">
      <c r="A79" s="95"/>
      <c r="B79" s="100"/>
      <c r="C79" s="19" t="s">
        <v>29</v>
      </c>
      <c r="D79" s="2">
        <v>0.73004801855158519</v>
      </c>
      <c r="E79" s="2">
        <v>20.36543917863159</v>
      </c>
      <c r="F79" s="2">
        <v>-10.211897252827924</v>
      </c>
      <c r="G79" s="2">
        <v>11.069522396926928</v>
      </c>
      <c r="H79" s="2">
        <v>-0.338572023998438</v>
      </c>
      <c r="I79" s="2">
        <v>-6.446362719042412</v>
      </c>
      <c r="J79" s="2">
        <v>-10.913957538130916</v>
      </c>
      <c r="K79" s="2">
        <v>1.963402783171091</v>
      </c>
      <c r="L79" s="2">
        <v>6.9941511234833769</v>
      </c>
      <c r="M79" s="2">
        <v>1.2577571872575959</v>
      </c>
      <c r="N79" s="2">
        <v>5.7248954337268287E-2</v>
      </c>
      <c r="O79" s="2">
        <v>-9.2370296096592597</v>
      </c>
      <c r="P79" s="2">
        <v>-1.554041542027079</v>
      </c>
      <c r="Q79" s="2">
        <v>3.4280542325426211</v>
      </c>
      <c r="R79" s="2">
        <v>12.337784245083427</v>
      </c>
      <c r="S79" s="2">
        <v>21.146852416058806</v>
      </c>
      <c r="T79" s="2">
        <v>-34.489634100685379</v>
      </c>
      <c r="U79" s="23">
        <v>-0.86498371679905972</v>
      </c>
    </row>
    <row r="80" spans="1:21" x14ac:dyDescent="0.25">
      <c r="A80" s="95"/>
      <c r="B80" s="100"/>
      <c r="C80" s="19" t="s">
        <v>30</v>
      </c>
      <c r="D80" s="2">
        <v>1.1258397700761265</v>
      </c>
      <c r="E80" s="2">
        <v>-0.45771140435527968</v>
      </c>
      <c r="F80" s="2">
        <v>-7.1223089228072496</v>
      </c>
      <c r="G80" s="2">
        <v>-20.372812332692604</v>
      </c>
      <c r="H80" s="2">
        <v>1.2326452420897311</v>
      </c>
      <c r="I80" s="2">
        <v>2.0221564093138227</v>
      </c>
      <c r="J80" s="2">
        <v>25.905246149822787</v>
      </c>
      <c r="K80" s="2">
        <v>2.2088421108107781</v>
      </c>
      <c r="L80" s="2">
        <v>-1.4928343887289657</v>
      </c>
      <c r="M80" s="2">
        <v>6.0525827378350812</v>
      </c>
      <c r="N80" s="2">
        <v>2.6382689507931616</v>
      </c>
      <c r="O80" s="2">
        <v>-5.6361522240876383</v>
      </c>
      <c r="P80" s="2">
        <v>4.2921626069438759</v>
      </c>
      <c r="Q80" s="2">
        <v>2.9647976558824922</v>
      </c>
      <c r="R80" s="2">
        <v>9.9879812633589609</v>
      </c>
      <c r="S80" s="2">
        <v>-0.79628919759355199</v>
      </c>
      <c r="T80" s="2">
        <v>-16.295285114222281</v>
      </c>
      <c r="U80" s="23">
        <v>4.259547521873202</v>
      </c>
    </row>
    <row r="81" spans="1:21" x14ac:dyDescent="0.25">
      <c r="A81" s="95"/>
      <c r="B81" s="101"/>
      <c r="C81" s="52" t="s">
        <v>31</v>
      </c>
      <c r="D81" s="20">
        <v>3.4382751772384665</v>
      </c>
      <c r="E81" s="20">
        <v>-19.358759587162524</v>
      </c>
      <c r="F81" s="20">
        <v>-4.4956624763729565</v>
      </c>
      <c r="G81" s="20">
        <v>7.6311580470292313</v>
      </c>
      <c r="H81" s="20">
        <v>0.34885472282837782</v>
      </c>
      <c r="I81" s="20">
        <v>-1.2716038255178148</v>
      </c>
      <c r="J81" s="20">
        <v>10.858888526421467</v>
      </c>
      <c r="K81" s="20">
        <v>3.068940218618053</v>
      </c>
      <c r="L81" s="20">
        <v>-7.3838065205397072</v>
      </c>
      <c r="M81" s="20">
        <v>2.3994716428765912</v>
      </c>
      <c r="N81" s="20">
        <v>-2.9420679061956889E-2</v>
      </c>
      <c r="O81" s="20">
        <v>-15.996798803922232</v>
      </c>
      <c r="P81" s="20">
        <v>6.0576236162933839</v>
      </c>
      <c r="Q81" s="20">
        <v>2.143710950753615</v>
      </c>
      <c r="R81" s="20">
        <v>3.3436565197776531</v>
      </c>
      <c r="S81" s="20">
        <v>-26.558040486134303</v>
      </c>
      <c r="T81" s="20">
        <v>-63.455674577296506</v>
      </c>
      <c r="U81" s="24">
        <v>1.2577881731044727</v>
      </c>
    </row>
    <row r="82" spans="1:21" x14ac:dyDescent="0.25">
      <c r="A82" s="95"/>
      <c r="B82" s="58"/>
      <c r="C82" s="57" t="s">
        <v>51</v>
      </c>
      <c r="D82" s="26">
        <v>-0.26663931118335427</v>
      </c>
      <c r="E82" s="26">
        <v>-3.7590263626551916</v>
      </c>
      <c r="F82" s="26">
        <v>-9.1895044919489521</v>
      </c>
      <c r="G82" s="26">
        <v>-3.0869814119276526</v>
      </c>
      <c r="H82" s="26">
        <v>1.1977985999745329</v>
      </c>
      <c r="I82" s="26">
        <v>3.06830529341741</v>
      </c>
      <c r="J82" s="26">
        <v>-5.3010531497079683E-3</v>
      </c>
      <c r="K82" s="26">
        <v>-0.30070270683378908</v>
      </c>
      <c r="L82" s="26">
        <v>3.9903689749110072E-2</v>
      </c>
      <c r="M82" s="26">
        <v>-0.14851805580349264</v>
      </c>
      <c r="N82" s="26">
        <v>-1.6730307857145021E-2</v>
      </c>
      <c r="O82" s="26">
        <v>28.635628674710745</v>
      </c>
      <c r="P82" s="26">
        <v>2.0848927949704148</v>
      </c>
      <c r="Q82" s="26">
        <v>0.34135733287111236</v>
      </c>
      <c r="R82" s="26">
        <v>0.4396408141749788</v>
      </c>
      <c r="S82" s="26">
        <v>5.4015252015555006</v>
      </c>
      <c r="T82" s="26">
        <v>-28.302808629129999</v>
      </c>
      <c r="U82" s="26">
        <v>-0.50669754361612718</v>
      </c>
    </row>
    <row r="83" spans="1:21" x14ac:dyDescent="0.25">
      <c r="A83" s="95"/>
      <c r="B83" s="99">
        <v>2018</v>
      </c>
      <c r="C83" s="61" t="s">
        <v>28</v>
      </c>
      <c r="D83" s="21">
        <v>1.8805901046047495</v>
      </c>
      <c r="E83" s="21">
        <v>1.605855905211385</v>
      </c>
      <c r="F83" s="21">
        <v>-6.7934788228590293</v>
      </c>
      <c r="G83" s="21">
        <v>-3.0905866024868942</v>
      </c>
      <c r="H83" s="21">
        <v>1.2515404308918647</v>
      </c>
      <c r="I83" s="21">
        <v>5.111613771384981</v>
      </c>
      <c r="J83" s="21">
        <v>-27.309672951656268</v>
      </c>
      <c r="K83" s="21">
        <v>1.1408175686112259</v>
      </c>
      <c r="L83" s="21">
        <v>1.8771139830034258</v>
      </c>
      <c r="M83" s="21">
        <v>2.8589519426727321</v>
      </c>
      <c r="N83" s="21">
        <v>-0.9856440479252484</v>
      </c>
      <c r="O83" s="21">
        <v>17.993443886984892</v>
      </c>
      <c r="P83" s="21">
        <v>6.7853876764310712</v>
      </c>
      <c r="Q83" s="21">
        <v>0.65177077667482308</v>
      </c>
      <c r="R83" s="21">
        <v>2.9221086205648845</v>
      </c>
      <c r="S83" s="21">
        <v>8.2190328289952106</v>
      </c>
      <c r="T83" s="21">
        <v>-99.979627710053975</v>
      </c>
      <c r="U83" s="22">
        <v>-1.4473618896704039</v>
      </c>
    </row>
    <row r="84" spans="1:21" x14ac:dyDescent="0.25">
      <c r="A84" s="95"/>
      <c r="B84" s="100"/>
      <c r="C84" s="19" t="s">
        <v>29</v>
      </c>
      <c r="D84" s="2">
        <v>-1.8763600304043706</v>
      </c>
      <c r="E84" s="2">
        <v>7.1956663093911288</v>
      </c>
      <c r="F84" s="2">
        <v>-7.5670416470682227</v>
      </c>
      <c r="G84" s="2">
        <v>-2.8232729309308553</v>
      </c>
      <c r="H84" s="2">
        <v>-2.6379531337470894</v>
      </c>
      <c r="I84" s="2">
        <v>11.95753809126596</v>
      </c>
      <c r="J84" s="2">
        <v>-8.0475552421764576</v>
      </c>
      <c r="K84" s="2">
        <v>-4.0627202879647513</v>
      </c>
      <c r="L84" s="2">
        <v>-0.12102894603567904</v>
      </c>
      <c r="M84" s="2">
        <v>2.9691469285493213</v>
      </c>
      <c r="N84" s="2">
        <v>4.0448757201383359</v>
      </c>
      <c r="O84" s="2">
        <v>15.213724410925693</v>
      </c>
      <c r="P84" s="2">
        <v>-3.4197273641991188</v>
      </c>
      <c r="Q84" s="2">
        <v>7.7146832708564261E-2</v>
      </c>
      <c r="R84" s="2">
        <v>-6.2314379710471002</v>
      </c>
      <c r="S84" s="2">
        <v>-9.6882628736032217</v>
      </c>
      <c r="T84" s="2">
        <v>-61.296093566206054</v>
      </c>
      <c r="U84" s="23">
        <v>-2.5631023413745027</v>
      </c>
    </row>
    <row r="85" spans="1:21" x14ac:dyDescent="0.25">
      <c r="A85" s="95"/>
      <c r="B85" s="100"/>
      <c r="C85" s="19" t="s">
        <v>30</v>
      </c>
      <c r="D85" s="2">
        <v>-1.5899422842720128</v>
      </c>
      <c r="E85" s="2">
        <v>-15.17699356139866</v>
      </c>
      <c r="F85" s="2">
        <v>-12.200961696900947</v>
      </c>
      <c r="G85" s="2">
        <v>-13.062052429251196</v>
      </c>
      <c r="H85" s="2">
        <v>-1.6448675947150946</v>
      </c>
      <c r="I85" s="2">
        <v>-4.2761807904275599</v>
      </c>
      <c r="J85" s="2">
        <v>0.45176159180981301</v>
      </c>
      <c r="K85" s="2">
        <v>-2.489257738697674</v>
      </c>
      <c r="L85" s="2">
        <v>-0.43447715826479794</v>
      </c>
      <c r="M85" s="2">
        <v>-4.1753048455423567</v>
      </c>
      <c r="N85" s="2">
        <v>8.0192730097751195</v>
      </c>
      <c r="O85" s="2">
        <v>14.133291730399705</v>
      </c>
      <c r="P85" s="2">
        <v>5.00683232333337</v>
      </c>
      <c r="Q85" s="2">
        <v>4.2044696527000269E-2</v>
      </c>
      <c r="R85" s="2">
        <v>3.3309858479166223</v>
      </c>
      <c r="S85" s="2">
        <v>4.6904134664451362</v>
      </c>
      <c r="T85" s="2">
        <v>-82.064616477519763</v>
      </c>
      <c r="U85" s="23">
        <v>-1.9506974555346801</v>
      </c>
    </row>
    <row r="86" spans="1:21" x14ac:dyDescent="0.25">
      <c r="A86" s="95"/>
      <c r="B86" s="101"/>
      <c r="C86" s="52" t="s">
        <v>31</v>
      </c>
      <c r="D86" s="20">
        <v>2.0876009938029227</v>
      </c>
      <c r="E86" s="20">
        <v>-5.9284006193332459</v>
      </c>
      <c r="F86" s="20">
        <v>-10.136194970987049</v>
      </c>
      <c r="G86" s="20">
        <v>4.5938028585246826</v>
      </c>
      <c r="H86" s="20">
        <v>6.6621295663824611</v>
      </c>
      <c r="I86" s="20">
        <v>-6.9954254022718487E-2</v>
      </c>
      <c r="J86" s="20">
        <v>22.830395674827386</v>
      </c>
      <c r="K86" s="20">
        <v>4.2978005938924184</v>
      </c>
      <c r="L86" s="20">
        <v>-0.64175934578072713</v>
      </c>
      <c r="M86" s="20">
        <v>-1.6165602565033339</v>
      </c>
      <c r="N86" s="20">
        <v>-11.154875124838298</v>
      </c>
      <c r="O86" s="20">
        <v>66.677532314136926</v>
      </c>
      <c r="P86" s="20">
        <v>-0.11244826487667581</v>
      </c>
      <c r="Q86" s="20">
        <v>0.59578229407313188</v>
      </c>
      <c r="R86" s="20">
        <v>1.5191462154387096</v>
      </c>
      <c r="S86" s="20">
        <v>22.461628908794822</v>
      </c>
      <c r="T86" s="20">
        <v>187.68669396795053</v>
      </c>
      <c r="U86" s="24">
        <v>4.0872563840689509</v>
      </c>
    </row>
    <row r="87" spans="1:21" x14ac:dyDescent="0.25">
      <c r="A87" s="95"/>
      <c r="B87" s="58"/>
      <c r="C87" s="57" t="s">
        <v>51</v>
      </c>
      <c r="D87" s="26">
        <v>1.354490697056022</v>
      </c>
      <c r="E87" s="26">
        <v>-14.788288676057832</v>
      </c>
      <c r="F87" s="26">
        <v>-7.1960940609897506</v>
      </c>
      <c r="G87" s="26">
        <v>4.5741133225345294</v>
      </c>
      <c r="H87" s="26">
        <v>-2.8096626731023804</v>
      </c>
      <c r="I87" s="26">
        <v>4.5023241371721099</v>
      </c>
      <c r="J87" s="26">
        <v>4.4932392630848454</v>
      </c>
      <c r="K87" s="26">
        <v>1.8775996662373728</v>
      </c>
      <c r="L87" s="26">
        <v>0.51416225534602233</v>
      </c>
      <c r="M87" s="26">
        <v>6.9947496731560079</v>
      </c>
      <c r="N87" s="26">
        <v>-1.7128516309175268</v>
      </c>
      <c r="O87" s="26">
        <v>-7.3261036177491405</v>
      </c>
      <c r="P87" s="26">
        <v>2.4136021457720176</v>
      </c>
      <c r="Q87" s="26">
        <v>2.4982246556189978</v>
      </c>
      <c r="R87" s="26">
        <v>5.5811804633997326</v>
      </c>
      <c r="S87" s="26">
        <v>-27.713443244256794</v>
      </c>
      <c r="T87" s="26">
        <v>-37.992920003056931</v>
      </c>
      <c r="U87" s="26">
        <v>-1.0552341449430003</v>
      </c>
    </row>
    <row r="88" spans="1:21" x14ac:dyDescent="0.25">
      <c r="A88" s="95"/>
      <c r="B88" s="99">
        <v>2019</v>
      </c>
      <c r="C88" s="61" t="s">
        <v>28</v>
      </c>
      <c r="D88" s="21">
        <v>1.4034246283649168</v>
      </c>
      <c r="E88" s="21">
        <v>6.3862812919091851</v>
      </c>
      <c r="F88" s="21">
        <v>-7.5270111156971922</v>
      </c>
      <c r="G88" s="21">
        <v>3.6462932739422342</v>
      </c>
      <c r="H88" s="21">
        <v>-9.4659259599482652</v>
      </c>
      <c r="I88" s="21">
        <v>1.1487746759922146</v>
      </c>
      <c r="J88" s="21">
        <v>61.963259376026599</v>
      </c>
      <c r="K88" s="21">
        <v>1.4301477495836963</v>
      </c>
      <c r="L88" s="21">
        <v>0.93635817918620035</v>
      </c>
      <c r="M88" s="21">
        <v>-0.4002274333555107</v>
      </c>
      <c r="N88" s="21">
        <v>0.88820196696941878</v>
      </c>
      <c r="O88" s="21">
        <v>-6.2381325869418163</v>
      </c>
      <c r="P88" s="21">
        <v>2.0099296426780029</v>
      </c>
      <c r="Q88" s="21">
        <v>1.4408668699224449</v>
      </c>
      <c r="R88" s="21">
        <v>-6.2891142730380523</v>
      </c>
      <c r="S88" s="21">
        <v>-39.637429952570983</v>
      </c>
      <c r="T88" s="21">
        <v>-17.629403788584014</v>
      </c>
      <c r="U88" s="22">
        <v>2.0022813584470214</v>
      </c>
    </row>
    <row r="89" spans="1:21" x14ac:dyDescent="0.25">
      <c r="A89" s="95"/>
      <c r="B89" s="100"/>
      <c r="C89" s="19" t="s">
        <v>29</v>
      </c>
      <c r="D89" s="2">
        <v>1.773668697634136</v>
      </c>
      <c r="E89" s="2">
        <v>-20.977802463151818</v>
      </c>
      <c r="F89" s="2">
        <v>-6.5406912371658166</v>
      </c>
      <c r="G89" s="2">
        <v>-1.6639510341586288</v>
      </c>
      <c r="H89" s="2">
        <v>1.9848998611774959</v>
      </c>
      <c r="I89" s="2">
        <v>0.81040304226516469</v>
      </c>
      <c r="J89" s="2">
        <v>-13.456316017752044</v>
      </c>
      <c r="K89" s="2">
        <v>3.3838488017240422</v>
      </c>
      <c r="L89" s="2">
        <v>-1.8436090405517405</v>
      </c>
      <c r="M89" s="2">
        <v>-2.6576251496939705</v>
      </c>
      <c r="N89" s="2">
        <v>-2.620106593797729</v>
      </c>
      <c r="O89" s="2">
        <v>-16.289898695977385</v>
      </c>
      <c r="P89" s="2">
        <v>1.4006093973150513</v>
      </c>
      <c r="Q89" s="2">
        <v>2.3538832180665992</v>
      </c>
      <c r="R89" s="2">
        <v>12.43085880197772</v>
      </c>
      <c r="S89" s="2">
        <v>-39.764768916724847</v>
      </c>
      <c r="T89" s="2">
        <v>50.348684604202873</v>
      </c>
      <c r="U89" s="23">
        <v>-2.3369874966320197</v>
      </c>
    </row>
    <row r="90" spans="1:21" x14ac:dyDescent="0.25">
      <c r="A90" s="95"/>
      <c r="B90" s="100"/>
      <c r="C90" s="19" t="s">
        <v>30</v>
      </c>
      <c r="D90" s="2">
        <v>1.9016015544910374</v>
      </c>
      <c r="E90" s="2">
        <v>-26.228886282613416</v>
      </c>
      <c r="F90" s="2">
        <v>-7.8812751379026196</v>
      </c>
      <c r="G90" s="2">
        <v>43.513736618836816</v>
      </c>
      <c r="H90" s="2">
        <v>-3.2724805877932539</v>
      </c>
      <c r="I90" s="2">
        <v>5.5798703834839927</v>
      </c>
      <c r="J90" s="2">
        <v>2.0356135626370815</v>
      </c>
      <c r="K90" s="2">
        <v>3.208050975926696</v>
      </c>
      <c r="L90" s="2">
        <v>1.1326506597156225</v>
      </c>
      <c r="M90" s="2">
        <v>7.2215407108330965E-2</v>
      </c>
      <c r="N90" s="2">
        <v>-2.4172496027185559</v>
      </c>
      <c r="O90" s="2">
        <v>-29.019402042976253</v>
      </c>
      <c r="P90" s="2">
        <v>6.0236213636287914</v>
      </c>
      <c r="Q90" s="2">
        <v>2.9488396661344609</v>
      </c>
      <c r="R90" s="2">
        <v>7.3700551161660002</v>
      </c>
      <c r="S90" s="2">
        <v>-36.804978459141125</v>
      </c>
      <c r="T90" s="2">
        <v>202.57417501840547</v>
      </c>
      <c r="U90" s="23">
        <v>-2.6056543607639497</v>
      </c>
    </row>
    <row r="91" spans="1:21" x14ac:dyDescent="0.25">
      <c r="A91" s="95"/>
      <c r="B91" s="101"/>
      <c r="C91" s="52" t="s">
        <v>31</v>
      </c>
      <c r="D91" s="20">
        <v>-1.0025546610111746</v>
      </c>
      <c r="E91" s="20">
        <v>-18.308058765174522</v>
      </c>
      <c r="F91" s="20">
        <v>-6.8291183547427607</v>
      </c>
      <c r="G91" s="20">
        <v>-15.013865665307947</v>
      </c>
      <c r="H91" s="20">
        <v>-0.22359940926770605</v>
      </c>
      <c r="I91" s="20">
        <v>10.657896544419359</v>
      </c>
      <c r="J91" s="20">
        <v>-8.1609994771765315</v>
      </c>
      <c r="K91" s="20">
        <v>-0.3567132470964367</v>
      </c>
      <c r="L91" s="20">
        <v>3.471477513601144</v>
      </c>
      <c r="M91" s="20">
        <v>41.196802977934055</v>
      </c>
      <c r="N91" s="20">
        <v>-2.6757715110456672</v>
      </c>
      <c r="O91" s="20">
        <v>13.339252630950767</v>
      </c>
      <c r="P91" s="20">
        <v>0.30436039077696364</v>
      </c>
      <c r="Q91" s="20">
        <v>3.2583834938777869</v>
      </c>
      <c r="R91" s="20">
        <v>10.385896928591663</v>
      </c>
      <c r="S91" s="20">
        <v>3.9035538382444344</v>
      </c>
      <c r="T91" s="20">
        <v>-94.575511759315859</v>
      </c>
      <c r="U91" s="24">
        <v>-1.195392164185165</v>
      </c>
    </row>
    <row r="92" spans="1:21" x14ac:dyDescent="0.25">
      <c r="A92" s="95"/>
      <c r="B92" s="58"/>
      <c r="C92" s="57" t="s">
        <v>51</v>
      </c>
      <c r="D92" s="26">
        <v>5.4772823188110351</v>
      </c>
      <c r="E92" s="26">
        <v>-6.0775893475700826</v>
      </c>
      <c r="F92" s="26">
        <v>-6.7299263045652538</v>
      </c>
      <c r="G92" s="26">
        <v>-11.008873060811283</v>
      </c>
      <c r="H92" s="26">
        <v>4.8306855588924122</v>
      </c>
      <c r="I92" s="26">
        <v>2.9149715761083854</v>
      </c>
      <c r="J92" s="26">
        <v>-25.774476987677076</v>
      </c>
      <c r="K92" s="26">
        <v>3.4774594041466145</v>
      </c>
      <c r="L92" s="26">
        <v>-5.405379988360437E-2</v>
      </c>
      <c r="M92" s="26">
        <v>-38.717550132017784</v>
      </c>
      <c r="N92" s="26">
        <v>-9.7812546742248543</v>
      </c>
      <c r="O92" s="26">
        <v>-4.9164667817668146</v>
      </c>
      <c r="P92" s="26">
        <v>-5.0614247889265442</v>
      </c>
      <c r="Q92" s="26">
        <v>-4.6907002750468934</v>
      </c>
      <c r="R92" s="26">
        <v>2.834930594242266</v>
      </c>
      <c r="S92" s="26">
        <v>54.910174166426231</v>
      </c>
      <c r="T92" s="26">
        <v>1249.2384376909106</v>
      </c>
      <c r="U92" s="26">
        <v>-5.2734912830002543</v>
      </c>
    </row>
    <row r="93" spans="1:21" x14ac:dyDescent="0.25">
      <c r="A93" s="95"/>
      <c r="B93" s="99">
        <v>2020</v>
      </c>
      <c r="C93" s="61" t="s">
        <v>28</v>
      </c>
      <c r="D93" s="21">
        <v>6.5073881937299092</v>
      </c>
      <c r="E93" s="21">
        <v>-2.3394501591064056</v>
      </c>
      <c r="F93" s="21">
        <v>-1.2255482850667931</v>
      </c>
      <c r="G93" s="21">
        <v>-5.7789583434861527</v>
      </c>
      <c r="H93" s="21">
        <v>8.2750135615543599</v>
      </c>
      <c r="I93" s="21">
        <v>5.6850729280339465</v>
      </c>
      <c r="J93" s="21">
        <v>-18.896109900241981</v>
      </c>
      <c r="K93" s="21">
        <v>2.5252060420245499</v>
      </c>
      <c r="L93" s="21">
        <v>-0.89722830073164062</v>
      </c>
      <c r="M93" s="21">
        <v>-1.8690168630487278</v>
      </c>
      <c r="N93" s="21">
        <v>-10.771693228209628</v>
      </c>
      <c r="O93" s="21">
        <v>71.816505246362681</v>
      </c>
      <c r="P93" s="21">
        <v>-1.3280239158845575E-2</v>
      </c>
      <c r="Q93" s="21">
        <v>2.9554935748246578</v>
      </c>
      <c r="R93" s="21">
        <v>22.170734567097242</v>
      </c>
      <c r="S93" s="21">
        <v>78.641170581257427</v>
      </c>
      <c r="T93" s="21">
        <v>15240810.338093096</v>
      </c>
      <c r="U93" s="22">
        <v>1.0934140664197827</v>
      </c>
    </row>
    <row r="94" spans="1:21" x14ac:dyDescent="0.25">
      <c r="A94" s="95"/>
      <c r="B94" s="100"/>
      <c r="C94" s="19" t="s">
        <v>29</v>
      </c>
      <c r="D94" s="2">
        <v>0.51048781206219473</v>
      </c>
      <c r="E94" s="2">
        <v>-19.145637070223302</v>
      </c>
      <c r="F94" s="2">
        <v>-9.0476930885860156</v>
      </c>
      <c r="G94" s="2">
        <v>-16.754583045179814</v>
      </c>
      <c r="H94" s="2">
        <v>-5.374478859504066</v>
      </c>
      <c r="I94" s="2">
        <v>5.7642986812955712</v>
      </c>
      <c r="J94" s="2">
        <v>-27.667040660701986</v>
      </c>
      <c r="K94" s="2">
        <v>-12.69211219872227</v>
      </c>
      <c r="L94" s="2">
        <v>1.6093920507313584</v>
      </c>
      <c r="M94" s="2">
        <v>-79.014455382781648</v>
      </c>
      <c r="N94" s="2">
        <v>-10.524174905849094</v>
      </c>
      <c r="O94" s="2">
        <v>25.129348325547923</v>
      </c>
      <c r="P94" s="2">
        <v>-7.1604857620478697</v>
      </c>
      <c r="Q94" s="2">
        <v>-17.589150949303146</v>
      </c>
      <c r="R94" s="2">
        <v>-16.745358494216333</v>
      </c>
      <c r="S94" s="2">
        <v>75.021478533817429</v>
      </c>
      <c r="T94" s="2">
        <v>288.24680778192237</v>
      </c>
      <c r="U94" s="23">
        <v>-10.491406571704104</v>
      </c>
    </row>
    <row r="95" spans="1:21" x14ac:dyDescent="0.25">
      <c r="A95" s="95"/>
      <c r="B95" s="100"/>
      <c r="C95" s="19" t="s">
        <v>30</v>
      </c>
      <c r="D95" s="2">
        <v>5.8449495947063355</v>
      </c>
      <c r="E95" s="2">
        <v>-15.422608660125292</v>
      </c>
      <c r="F95" s="2">
        <v>-5.7217239661361958</v>
      </c>
      <c r="G95" s="2">
        <v>-24.445641615739959</v>
      </c>
      <c r="H95" s="2">
        <v>7.6313249157787197</v>
      </c>
      <c r="I95" s="2">
        <v>3.2103875071425705</v>
      </c>
      <c r="J95" s="2">
        <v>-29.523137976213022</v>
      </c>
      <c r="K95" s="2">
        <v>3.2490415209155685</v>
      </c>
      <c r="L95" s="2">
        <v>-0.31471235703398293</v>
      </c>
      <c r="M95" s="2">
        <v>-67.929506631522173</v>
      </c>
      <c r="N95" s="2">
        <v>-13.330033197835931</v>
      </c>
      <c r="O95" s="2">
        <v>-5.4303687122629327</v>
      </c>
      <c r="P95" s="2">
        <v>-5.3701173445038535</v>
      </c>
      <c r="Q95" s="2">
        <v>-7.2533855774372427</v>
      </c>
      <c r="R95" s="2">
        <v>5.6974187556331657</v>
      </c>
      <c r="S95" s="2">
        <v>88.109567293146483</v>
      </c>
      <c r="T95" s="2">
        <v>588.18552661558363</v>
      </c>
      <c r="U95" s="23">
        <v>-6.9106673362738462</v>
      </c>
    </row>
    <row r="96" spans="1:21" x14ac:dyDescent="0.25">
      <c r="A96" s="95"/>
      <c r="B96" s="101"/>
      <c r="C96" s="52" t="s">
        <v>31</v>
      </c>
      <c r="D96" s="20">
        <v>18.365807022286134</v>
      </c>
      <c r="E96" s="20">
        <v>7.1045376539299951</v>
      </c>
      <c r="F96" s="20">
        <v>-11.118502666085973</v>
      </c>
      <c r="G96" s="20">
        <v>4.2896118184519167</v>
      </c>
      <c r="H96" s="20">
        <v>7.7261234724489043</v>
      </c>
      <c r="I96" s="20">
        <v>-2.4943508408706379</v>
      </c>
      <c r="J96" s="20">
        <v>-26.386077743733125</v>
      </c>
      <c r="K96" s="20">
        <v>20.398349376478976</v>
      </c>
      <c r="L96" s="20">
        <v>-1.7643042286690047</v>
      </c>
      <c r="M96" s="20">
        <v>-2.2168598379279842</v>
      </c>
      <c r="N96" s="20">
        <v>-3.4270194386723176</v>
      </c>
      <c r="O96" s="20">
        <v>-61.900964229807627</v>
      </c>
      <c r="P96" s="20">
        <v>-7.5595932516870334</v>
      </c>
      <c r="Q96" s="20">
        <v>3.1130238993847854</v>
      </c>
      <c r="R96" s="20">
        <v>0.44516659469309161</v>
      </c>
      <c r="S96" s="20">
        <v>11.373884851864034</v>
      </c>
      <c r="T96" s="20">
        <v>6040.0597871523405</v>
      </c>
      <c r="U96" s="24">
        <v>-4.9113214217650096</v>
      </c>
    </row>
    <row r="97" spans="1:21" x14ac:dyDescent="0.25">
      <c r="A97" s="95"/>
      <c r="B97" s="58"/>
      <c r="C97" s="57" t="s">
        <v>51</v>
      </c>
      <c r="D97" s="26">
        <v>5.1399999999999864</v>
      </c>
      <c r="E97" s="26">
        <v>46.419999999999959</v>
      </c>
      <c r="F97" s="26">
        <v>-11.450626634609534</v>
      </c>
      <c r="G97" s="26">
        <v>10.430000000000035</v>
      </c>
      <c r="H97" s="26">
        <v>6.0524779562210824</v>
      </c>
      <c r="I97" s="26">
        <v>1.7899999999999778</v>
      </c>
      <c r="J97" s="26">
        <v>-6.6899999999999835</v>
      </c>
      <c r="K97" s="26">
        <v>13.989999999999995</v>
      </c>
      <c r="L97" s="26">
        <v>-22.310000000000002</v>
      </c>
      <c r="M97" s="26">
        <v>28.889999999999958</v>
      </c>
      <c r="N97" s="26">
        <v>1.3500000000000227</v>
      </c>
      <c r="O97" s="26">
        <v>-15.959999999999994</v>
      </c>
      <c r="P97" s="26">
        <v>2.4200000000000159</v>
      </c>
      <c r="Q97" s="26">
        <v>2.9999999999999574</v>
      </c>
      <c r="R97" s="26">
        <v>7.8582036497898855</v>
      </c>
      <c r="S97" s="26">
        <v>-8.0213089803138047</v>
      </c>
      <c r="T97" s="26">
        <v>64.514846175774011</v>
      </c>
      <c r="U97" s="26">
        <v>1.0905836994481177</v>
      </c>
    </row>
    <row r="98" spans="1:21" x14ac:dyDescent="0.25">
      <c r="A98" s="95"/>
      <c r="B98" s="99">
        <v>2021</v>
      </c>
      <c r="C98" s="61" t="s">
        <v>28</v>
      </c>
      <c r="D98" s="21">
        <v>-10.824550723934593</v>
      </c>
      <c r="E98" s="21">
        <v>33.903554454723377</v>
      </c>
      <c r="F98" s="21">
        <v>-19.181821729756066</v>
      </c>
      <c r="G98" s="21">
        <v>27.25172413189641</v>
      </c>
      <c r="H98" s="21">
        <v>0.92685927875535867</v>
      </c>
      <c r="I98" s="21">
        <v>0.85592350099554437</v>
      </c>
      <c r="J98" s="21">
        <v>-27.241278500586517</v>
      </c>
      <c r="K98" s="21">
        <v>-2.1909523253093113</v>
      </c>
      <c r="L98" s="21">
        <v>0.54921605030502008</v>
      </c>
      <c r="M98" s="21">
        <v>-5.1666037120519945</v>
      </c>
      <c r="N98" s="21">
        <v>-3.5620387503508795</v>
      </c>
      <c r="O98" s="21">
        <v>-51.697554224196708</v>
      </c>
      <c r="P98" s="21">
        <v>3.9427664760786314</v>
      </c>
      <c r="Q98" s="21">
        <v>2.87590362834149</v>
      </c>
      <c r="R98" s="21">
        <v>-4.3748116121930991</v>
      </c>
      <c r="S98" s="21">
        <v>-5.2145787821098395</v>
      </c>
      <c r="T98" s="21">
        <v>0.53286044193194471</v>
      </c>
      <c r="U98" s="22">
        <v>-8.232559360337433</v>
      </c>
    </row>
    <row r="99" spans="1:21" x14ac:dyDescent="0.25">
      <c r="A99" s="95"/>
      <c r="B99" s="100"/>
      <c r="C99" s="19" t="s">
        <v>29</v>
      </c>
      <c r="D99" s="2">
        <v>10.766192172258599</v>
      </c>
      <c r="E99" s="2">
        <v>68.602813024929731</v>
      </c>
      <c r="F99" s="2">
        <v>-12.278370548608635</v>
      </c>
      <c r="G99" s="2">
        <v>-9.7697482179216451</v>
      </c>
      <c r="H99" s="2">
        <v>6.0874672193423294</v>
      </c>
      <c r="I99" s="2">
        <v>2.197149125134203</v>
      </c>
      <c r="J99" s="2">
        <v>-31.365554076439665</v>
      </c>
      <c r="K99" s="2">
        <v>10.267853974541936</v>
      </c>
      <c r="L99" s="2">
        <v>-10.59411440240595</v>
      </c>
      <c r="M99" s="2">
        <v>60.974649174977174</v>
      </c>
      <c r="N99" s="2">
        <v>6.543846132775414</v>
      </c>
      <c r="O99" s="2">
        <v>-17.428933280236222</v>
      </c>
      <c r="P99" s="2">
        <v>4.407604195939669</v>
      </c>
      <c r="Q99" s="2">
        <v>2.9779669577734325</v>
      </c>
      <c r="R99" s="2">
        <v>37.125084359211655</v>
      </c>
      <c r="S99" s="2">
        <v>0.56848638238955118</v>
      </c>
      <c r="T99" s="2">
        <v>198.53306526258564</v>
      </c>
      <c r="U99" s="23">
        <v>2.4309944440894498</v>
      </c>
    </row>
    <row r="100" spans="1:21" x14ac:dyDescent="0.25">
      <c r="A100" s="95"/>
      <c r="B100" s="100"/>
      <c r="C100" s="19" t="s">
        <v>30</v>
      </c>
      <c r="D100" s="2">
        <v>8.8797745276410751</v>
      </c>
      <c r="E100" s="2">
        <v>75.694586867281572</v>
      </c>
      <c r="F100" s="2">
        <v>-10.752779336175649</v>
      </c>
      <c r="G100" s="2">
        <v>-2.574755460303507</v>
      </c>
      <c r="H100" s="2">
        <v>14.459564676841822</v>
      </c>
      <c r="I100" s="2">
        <v>2.231976234931679</v>
      </c>
      <c r="J100" s="2">
        <v>-8.5428180681313108</v>
      </c>
      <c r="K100" s="2">
        <v>23.830748725717129</v>
      </c>
      <c r="L100" s="2">
        <v>-50.998667566282798</v>
      </c>
      <c r="M100" s="2">
        <v>69.784039049443408</v>
      </c>
      <c r="N100" s="2">
        <v>6.6606553238325148</v>
      </c>
      <c r="O100" s="2">
        <v>23.629935413657847</v>
      </c>
      <c r="P100" s="2">
        <v>1.8552343526839792</v>
      </c>
      <c r="Q100" s="2">
        <v>3.0400596642285507</v>
      </c>
      <c r="R100" s="2">
        <v>-1.1335768519527676</v>
      </c>
      <c r="S100" s="2">
        <v>-12.55123643005696</v>
      </c>
      <c r="T100" s="2">
        <v>78.55992478011504</v>
      </c>
      <c r="U100" s="23">
        <v>2.5303235888149942</v>
      </c>
    </row>
    <row r="101" spans="1:21" x14ac:dyDescent="0.25">
      <c r="A101" s="95"/>
      <c r="B101" s="101"/>
      <c r="C101" s="52" t="s">
        <v>31</v>
      </c>
      <c r="D101" s="20">
        <v>19.621259229232905</v>
      </c>
      <c r="E101" s="20">
        <v>28.786617633742793</v>
      </c>
      <c r="F101" s="20">
        <v>-2.2438832803818372</v>
      </c>
      <c r="G101" s="20">
        <v>21.30434798987298</v>
      </c>
      <c r="H101" s="20">
        <v>3.7392655276003381</v>
      </c>
      <c r="I101" s="20">
        <v>1.9674366057858208</v>
      </c>
      <c r="J101" s="20">
        <v>21.285060886004231</v>
      </c>
      <c r="K101" s="20">
        <v>22.076465415543865</v>
      </c>
      <c r="L101" s="20">
        <v>-32.00199072840131</v>
      </c>
      <c r="M101" s="20">
        <v>39.526080794932454</v>
      </c>
      <c r="N101" s="20">
        <v>-4.8565573001183253</v>
      </c>
      <c r="O101" s="20">
        <v>31.773106460594192</v>
      </c>
      <c r="P101" s="20">
        <v>0.23582165467081495</v>
      </c>
      <c r="Q101" s="20">
        <v>3.1042952830914885</v>
      </c>
      <c r="R101" s="20">
        <v>8.2333764392379578</v>
      </c>
      <c r="S101" s="20">
        <v>-13.591698635219757</v>
      </c>
      <c r="T101" s="20">
        <v>66.48359528370321</v>
      </c>
      <c r="U101" s="24">
        <v>8.2540336069668001</v>
      </c>
    </row>
    <row r="102" spans="1:21" x14ac:dyDescent="0.25">
      <c r="A102" s="95"/>
      <c r="B102" s="58"/>
      <c r="C102" s="57" t="s">
        <v>51</v>
      </c>
      <c r="D102" s="26">
        <v>3.7999999999999972</v>
      </c>
      <c r="E102" s="26">
        <v>4.2000000000000028</v>
      </c>
      <c r="F102" s="26">
        <v>5.012030744576677</v>
      </c>
      <c r="G102" s="26">
        <v>5.4300000000000068</v>
      </c>
      <c r="H102" s="26">
        <v>2.9995063692090724</v>
      </c>
      <c r="I102" s="26">
        <v>5.0329184036042278</v>
      </c>
      <c r="J102" s="26">
        <v>5.5099999999999909</v>
      </c>
      <c r="K102" s="26">
        <v>1.0899999999999892</v>
      </c>
      <c r="L102" s="26">
        <v>4.819999999999979</v>
      </c>
      <c r="M102" s="26">
        <v>32.81</v>
      </c>
      <c r="N102" s="26">
        <v>-4.6999999999999744</v>
      </c>
      <c r="O102" s="26">
        <v>-7.1106958319732456</v>
      </c>
      <c r="P102" s="26">
        <v>7.3694496801061717</v>
      </c>
      <c r="Q102" s="26">
        <v>3.0000000000000426</v>
      </c>
      <c r="R102" s="26">
        <v>4.9178738304194667</v>
      </c>
      <c r="S102" s="26">
        <v>-3.5400443861420854</v>
      </c>
      <c r="T102" s="26">
        <v>34.666035171484964</v>
      </c>
      <c r="U102" s="26">
        <v>3.5574920667565095</v>
      </c>
    </row>
    <row r="103" spans="1:21" x14ac:dyDescent="0.25">
      <c r="A103" s="95"/>
      <c r="B103" s="99">
        <v>2022</v>
      </c>
      <c r="C103" s="61" t="s">
        <v>28</v>
      </c>
      <c r="D103" s="21">
        <v>-3.9036648742251856</v>
      </c>
      <c r="E103" s="21">
        <v>3.7268065582480148</v>
      </c>
      <c r="F103" s="21">
        <v>7.0174695345828582</v>
      </c>
      <c r="G103" s="21">
        <v>-26.558486987054636</v>
      </c>
      <c r="H103" s="21">
        <v>10.333753436295041</v>
      </c>
      <c r="I103" s="21">
        <v>2.5310970776439348</v>
      </c>
      <c r="J103" s="21">
        <v>10.06620959464199</v>
      </c>
      <c r="K103" s="21">
        <v>7.7934029662515343</v>
      </c>
      <c r="L103" s="21">
        <v>5.9883817767085787</v>
      </c>
      <c r="M103" s="21">
        <v>31.663305372246612</v>
      </c>
      <c r="N103" s="21">
        <v>-4.2502709519343682</v>
      </c>
      <c r="O103" s="21">
        <v>11.156582675913512</v>
      </c>
      <c r="P103" s="21">
        <v>6.1910977962249092</v>
      </c>
      <c r="Q103" s="21">
        <v>2.8486692294171547</v>
      </c>
      <c r="R103" s="21">
        <v>-7.1493271791858888</v>
      </c>
      <c r="S103" s="21">
        <v>-15.769591054858893</v>
      </c>
      <c r="T103" s="21">
        <v>44.952903237970133</v>
      </c>
      <c r="U103" s="22">
        <v>3.5307507926012534</v>
      </c>
    </row>
    <row r="104" spans="1:21" x14ac:dyDescent="0.25">
      <c r="A104" s="95"/>
      <c r="B104" s="100"/>
      <c r="C104" s="19" t="s">
        <v>29</v>
      </c>
      <c r="D104" s="2">
        <v>25.555962814837855</v>
      </c>
      <c r="E104" s="2">
        <v>7.4732925787254629</v>
      </c>
      <c r="F104" s="2">
        <v>7.3763352194698797</v>
      </c>
      <c r="G104" s="2">
        <v>48.637606513894383</v>
      </c>
      <c r="H104" s="2">
        <v>5.0863509622450778</v>
      </c>
      <c r="I104" s="2">
        <v>2.8421546346846043</v>
      </c>
      <c r="J104" s="2">
        <v>12.046395197527687</v>
      </c>
      <c r="K104" s="2">
        <v>22.518995069990495</v>
      </c>
      <c r="L104" s="2">
        <v>1.6452170397734562</v>
      </c>
      <c r="M104" s="2">
        <v>33.851612570716242</v>
      </c>
      <c r="N104" s="2">
        <v>-4.3358240860406454</v>
      </c>
      <c r="O104" s="2">
        <v>-0.24763798408531557</v>
      </c>
      <c r="P104" s="2">
        <v>2.6741532642238042</v>
      </c>
      <c r="Q104" s="2">
        <v>2.9552127672277919</v>
      </c>
      <c r="R104" s="2">
        <v>3.9060896151489715</v>
      </c>
      <c r="S104" s="2">
        <v>-21.172320486172865</v>
      </c>
      <c r="T104" s="2">
        <v>47.108828850556563</v>
      </c>
      <c r="U104" s="23">
        <v>13.853799084921746</v>
      </c>
    </row>
    <row r="105" spans="1:21" x14ac:dyDescent="0.25">
      <c r="A105" s="95"/>
      <c r="B105" s="100"/>
      <c r="C105" s="19" t="s">
        <v>30</v>
      </c>
      <c r="D105" s="2">
        <v>-16.019331224288436</v>
      </c>
      <c r="E105" s="2">
        <v>-5.4465710566784935</v>
      </c>
      <c r="F105" s="2">
        <v>7.8953976143526319</v>
      </c>
      <c r="G105" s="2">
        <v>14.2106065812319</v>
      </c>
      <c r="H105" s="2">
        <v>-0.34421206697942353</v>
      </c>
      <c r="I105" s="2">
        <v>5.5176673030872934</v>
      </c>
      <c r="J105" s="2">
        <v>-6.3109179442730579</v>
      </c>
      <c r="K105" s="2">
        <v>-10.296465708821742</v>
      </c>
      <c r="L105" s="2">
        <v>8.0296160650188</v>
      </c>
      <c r="M105" s="2">
        <v>25.815700328407814</v>
      </c>
      <c r="N105" s="2">
        <v>-3.1982587692115914</v>
      </c>
      <c r="O105" s="2">
        <v>-17.643750950823062</v>
      </c>
      <c r="P105" s="2">
        <v>8.8388680332558351</v>
      </c>
      <c r="Q105" s="2">
        <v>3.0403650407887</v>
      </c>
      <c r="R105" s="2">
        <v>10.380974859718222</v>
      </c>
      <c r="S105" s="2">
        <v>-5.9223778177014736</v>
      </c>
      <c r="T105" s="2">
        <v>36.341303184621495</v>
      </c>
      <c r="U105" s="23">
        <v>-2.2261428124611768</v>
      </c>
    </row>
    <row r="106" spans="1:21" x14ac:dyDescent="0.25">
      <c r="A106" s="95"/>
      <c r="B106" s="101"/>
      <c r="C106" s="52" t="s">
        <v>31</v>
      </c>
      <c r="D106" s="20">
        <v>-10.895901051937244</v>
      </c>
      <c r="E106" s="20">
        <v>9.5144072448366046</v>
      </c>
      <c r="F106" s="20">
        <v>-2.057947656313786</v>
      </c>
      <c r="G106" s="20">
        <v>5.4271287831424928</v>
      </c>
      <c r="H106" s="20">
        <v>-1.2804249621815131</v>
      </c>
      <c r="I106" s="20">
        <v>9.2719048963640489</v>
      </c>
      <c r="J106" s="20">
        <v>9.5702586803113121</v>
      </c>
      <c r="K106" s="20">
        <v>-7.4343749288651679</v>
      </c>
      <c r="L106" s="20">
        <v>8.0736052751137777</v>
      </c>
      <c r="M106" s="20">
        <v>36.417662205375848</v>
      </c>
      <c r="N106" s="20">
        <v>-7.4754943543129997</v>
      </c>
      <c r="O106" s="20">
        <v>-19.842218309197207</v>
      </c>
      <c r="P106" s="20">
        <v>10.379245561639848</v>
      </c>
      <c r="Q106" s="20">
        <v>3.1486735211967698</v>
      </c>
      <c r="R106" s="20">
        <v>12.676733672352029</v>
      </c>
      <c r="S106" s="20">
        <v>28.69058499980332</v>
      </c>
      <c r="T106" s="20">
        <v>15.098591402533913</v>
      </c>
      <c r="U106" s="24">
        <v>-9.9438496798171627E-2</v>
      </c>
    </row>
    <row r="107" spans="1:21" x14ac:dyDescent="0.25">
      <c r="A107" s="95"/>
      <c r="B107" s="58"/>
      <c r="C107" s="57" t="s">
        <v>51</v>
      </c>
      <c r="D107" s="26">
        <v>2.6520661158778722</v>
      </c>
      <c r="E107" s="26">
        <v>2.8157013853554247</v>
      </c>
      <c r="F107" s="26">
        <v>-2.4164025678173289</v>
      </c>
      <c r="G107" s="26">
        <v>12.240681691954606</v>
      </c>
      <c r="H107" s="26">
        <v>5.4308899446125452</v>
      </c>
      <c r="I107" s="26">
        <v>5.2571379444106299</v>
      </c>
      <c r="J107" s="26">
        <v>-1.508394885430036</v>
      </c>
      <c r="K107" s="26">
        <v>2.4211518088831099</v>
      </c>
      <c r="L107" s="26">
        <v>-3.7261395668284081</v>
      </c>
      <c r="M107" s="26">
        <v>0.78738351477379354</v>
      </c>
      <c r="N107" s="26">
        <v>1.3707090333074916</v>
      </c>
      <c r="O107" s="26">
        <v>-4.1797012539663854</v>
      </c>
      <c r="P107" s="26">
        <v>3.8478366799191974</v>
      </c>
      <c r="Q107" s="26">
        <v>2.8361928196332826</v>
      </c>
      <c r="R107" s="26">
        <v>4.4268977493751862</v>
      </c>
      <c r="S107" s="26">
        <v>-10.613348745881041</v>
      </c>
      <c r="T107" s="26">
        <v>-1.0963680666785081</v>
      </c>
      <c r="U107" s="26">
        <v>1.3201658708104134</v>
      </c>
    </row>
    <row r="108" spans="1:21" x14ac:dyDescent="0.25">
      <c r="A108" s="95"/>
      <c r="B108" s="99">
        <v>2023</v>
      </c>
      <c r="C108" s="61" t="s">
        <v>28</v>
      </c>
      <c r="D108" s="21">
        <v>-3.0049223512282168</v>
      </c>
      <c r="E108" s="21">
        <v>3.275571914843141</v>
      </c>
      <c r="F108" s="21">
        <v>-6.237195297415596</v>
      </c>
      <c r="G108" s="21">
        <v>26.19663247943447</v>
      </c>
      <c r="H108" s="21">
        <v>1.528192804539998</v>
      </c>
      <c r="I108" s="21">
        <v>8.0623062691137903</v>
      </c>
      <c r="J108" s="21">
        <v>-6.4968992574225126</v>
      </c>
      <c r="K108" s="21">
        <v>1.4783940622761946</v>
      </c>
      <c r="L108" s="21">
        <v>-3.8265420323291011</v>
      </c>
      <c r="M108" s="21">
        <v>23.92341845416766</v>
      </c>
      <c r="N108" s="21">
        <v>7.3248979629285458</v>
      </c>
      <c r="O108" s="21">
        <v>-13.918013926157997</v>
      </c>
      <c r="P108" s="21">
        <v>5.2319905605650234</v>
      </c>
      <c r="Q108" s="21">
        <v>2.9602992450132177</v>
      </c>
      <c r="R108" s="21">
        <v>11.697066398844242</v>
      </c>
      <c r="S108" s="21">
        <v>-8.0892350428327262</v>
      </c>
      <c r="T108" s="21">
        <v>2.0055844943764498</v>
      </c>
      <c r="U108" s="22">
        <v>-0.13031941251489343</v>
      </c>
    </row>
    <row r="109" spans="1:21" x14ac:dyDescent="0.25">
      <c r="A109" s="95"/>
      <c r="B109" s="100"/>
      <c r="C109" s="19" t="s">
        <v>29</v>
      </c>
      <c r="D109" s="2">
        <v>2.9455336140710386</v>
      </c>
      <c r="E109" s="2">
        <v>3.2375195911727275</v>
      </c>
      <c r="F109" s="2">
        <v>-2.0338249721794028</v>
      </c>
      <c r="G109" s="2">
        <v>-16.854230789724411</v>
      </c>
      <c r="H109" s="2">
        <v>9.1782236583272123</v>
      </c>
      <c r="I109" s="2">
        <v>5.3118460100551488</v>
      </c>
      <c r="J109" s="2">
        <v>48.53107127844217</v>
      </c>
      <c r="K109" s="2">
        <v>2.1290395790614127</v>
      </c>
      <c r="L109" s="2">
        <v>-12.839667538830355</v>
      </c>
      <c r="M109" s="2">
        <v>2.1969084644689758</v>
      </c>
      <c r="N109" s="2">
        <v>-1.3543904053635032</v>
      </c>
      <c r="O109" s="2">
        <v>-11.819693695497108</v>
      </c>
      <c r="P109" s="2">
        <v>6.6615596161067288</v>
      </c>
      <c r="Q109" s="2">
        <v>3.0439748163084062</v>
      </c>
      <c r="R109" s="2">
        <v>17.156640656386628</v>
      </c>
      <c r="S109" s="2">
        <v>-6.6431099327733421</v>
      </c>
      <c r="T109" s="2">
        <v>-63.014685707426473</v>
      </c>
      <c r="U109" s="23">
        <v>7.5301201228959371</v>
      </c>
    </row>
    <row r="110" spans="1:21" x14ac:dyDescent="0.25">
      <c r="A110" s="95"/>
      <c r="B110" s="100"/>
      <c r="C110" s="19" t="s">
        <v>30</v>
      </c>
      <c r="D110" s="2">
        <v>3.0123856109544676</v>
      </c>
      <c r="E110" s="2">
        <v>11.098315280526847</v>
      </c>
      <c r="F110" s="2">
        <v>-2.7845565801474805</v>
      </c>
      <c r="G110" s="2">
        <v>45.334091879409215</v>
      </c>
      <c r="H110" s="2">
        <v>5.4913297291079743</v>
      </c>
      <c r="I110" s="2">
        <v>4.7086512652319641</v>
      </c>
      <c r="J110" s="2">
        <v>27.04984477271168</v>
      </c>
      <c r="K110" s="2">
        <v>3.0169067465470221</v>
      </c>
      <c r="L110" s="2">
        <v>3.4291282269507803</v>
      </c>
      <c r="M110" s="2">
        <v>0.13630478850612349</v>
      </c>
      <c r="N110" s="2">
        <v>-4.2013608687623218</v>
      </c>
      <c r="O110" s="2">
        <v>-2.6192002452540919</v>
      </c>
      <c r="P110" s="2">
        <v>3.149369265392977</v>
      </c>
      <c r="Q110" s="2">
        <v>2.3733487902716206</v>
      </c>
      <c r="R110" s="2">
        <v>0.97851610785725995</v>
      </c>
      <c r="S110" s="2">
        <v>3.5840969929082434</v>
      </c>
      <c r="T110" s="2">
        <v>1.0740256003994659</v>
      </c>
      <c r="U110" s="23">
        <v>2.9367615354349681</v>
      </c>
    </row>
    <row r="111" spans="1:21" x14ac:dyDescent="0.25">
      <c r="A111" s="95"/>
      <c r="B111" s="101"/>
      <c r="C111" s="52" t="s">
        <v>31</v>
      </c>
      <c r="D111" s="20">
        <v>11.300164907771489</v>
      </c>
      <c r="E111" s="20">
        <v>-3.4835800667611494</v>
      </c>
      <c r="F111" s="20">
        <v>1.6237707110299908</v>
      </c>
      <c r="G111" s="20">
        <v>3.6379019279142284</v>
      </c>
      <c r="H111" s="20">
        <v>6.026274516658134</v>
      </c>
      <c r="I111" s="20">
        <v>3.0007097421899402</v>
      </c>
      <c r="J111" s="20">
        <v>-27.460840724890787</v>
      </c>
      <c r="K111" s="20">
        <v>2.9219204473200762</v>
      </c>
      <c r="L111" s="20">
        <v>9.7246773117562952</v>
      </c>
      <c r="M111" s="20">
        <v>-13.628101830574735</v>
      </c>
      <c r="N111" s="20">
        <v>5.3492545308474462</v>
      </c>
      <c r="O111" s="20">
        <v>16.134458824506922</v>
      </c>
      <c r="P111" s="20">
        <v>1.4179223702226693</v>
      </c>
      <c r="Q111" s="20">
        <v>2.9637001801548593</v>
      </c>
      <c r="R111" s="20">
        <v>-9.6742681389261946</v>
      </c>
      <c r="S111" s="20">
        <v>-24.884555046028368</v>
      </c>
      <c r="T111" s="20">
        <v>60.736389672070089</v>
      </c>
      <c r="U111" s="24">
        <v>-4.8531501855034094</v>
      </c>
    </row>
    <row r="112" spans="1:21" x14ac:dyDescent="0.25">
      <c r="A112" s="95"/>
      <c r="B112" s="58"/>
      <c r="C112" s="57" t="s">
        <v>51</v>
      </c>
      <c r="D112" s="26">
        <v>6.2179539612604771</v>
      </c>
      <c r="E112" s="26">
        <v>3.2210838796049188</v>
      </c>
      <c r="F112" s="26">
        <v>3.3419817438081765</v>
      </c>
      <c r="G112" s="26">
        <v>44.093122752925836</v>
      </c>
      <c r="H112" s="26">
        <v>4.2293215292084341</v>
      </c>
      <c r="I112" s="26">
        <v>4.0101281444571413</v>
      </c>
      <c r="J112" s="26">
        <v>2.3137069681762341</v>
      </c>
      <c r="K112" s="26">
        <v>1.452949740929327</v>
      </c>
      <c r="L112" s="26">
        <v>8.2328053537854942</v>
      </c>
      <c r="M112" s="26">
        <v>16.620069953565931</v>
      </c>
      <c r="N112" s="26">
        <v>11.985751561835144</v>
      </c>
      <c r="O112" s="26">
        <v>2.2192816153387724</v>
      </c>
      <c r="P112" s="26">
        <v>4.3559689629760356</v>
      </c>
      <c r="Q112" s="26">
        <v>2.3973292296761741</v>
      </c>
      <c r="R112" s="26">
        <v>7.2633171067771229</v>
      </c>
      <c r="S112" s="26">
        <v>-4.7124895662421835</v>
      </c>
      <c r="T112" s="26">
        <v>-8.3725550255727228</v>
      </c>
      <c r="U112" s="26">
        <v>4.9526786042598303</v>
      </c>
    </row>
    <row r="113" spans="1:21" x14ac:dyDescent="0.25">
      <c r="A113" s="95"/>
      <c r="B113" s="99">
        <v>2024</v>
      </c>
      <c r="C113" s="61" t="s">
        <v>28</v>
      </c>
      <c r="D113" s="21">
        <v>9.1500637763745516</v>
      </c>
      <c r="E113" s="21">
        <v>-7.3341255066712989</v>
      </c>
      <c r="F113" s="21">
        <v>5.9557472513614584</v>
      </c>
      <c r="G113" s="21">
        <v>2.186968749872122</v>
      </c>
      <c r="H113" s="21">
        <v>1.5953095959221315</v>
      </c>
      <c r="I113" s="21">
        <v>4.8605765037890194</v>
      </c>
      <c r="J113" s="21">
        <v>2.101548027711317</v>
      </c>
      <c r="K113" s="21">
        <v>4.7326554094485402</v>
      </c>
      <c r="L113" s="21">
        <v>5.4514074654723856</v>
      </c>
      <c r="M113" s="21">
        <v>25.438452542030433</v>
      </c>
      <c r="N113" s="21">
        <v>-12.21158321670498</v>
      </c>
      <c r="O113" s="21">
        <v>2.1987985909013332</v>
      </c>
      <c r="P113" s="21">
        <v>4.8177233181304189</v>
      </c>
      <c r="Q113" s="21">
        <v>2.5065309154863655</v>
      </c>
      <c r="R113" s="21">
        <v>-2.5895044105579217</v>
      </c>
      <c r="S113" s="21">
        <v>4.7485883653952641</v>
      </c>
      <c r="T113" s="21">
        <v>18.441097490271673</v>
      </c>
      <c r="U113" s="22">
        <v>4.5891966764515502</v>
      </c>
    </row>
    <row r="114" spans="1:21" x14ac:dyDescent="0.25">
      <c r="A114" s="95"/>
      <c r="B114" s="100"/>
      <c r="C114" s="19" t="s">
        <v>29</v>
      </c>
      <c r="D114" s="2">
        <v>8.2125973338563796</v>
      </c>
      <c r="E114" s="2">
        <v>3.206255592841643</v>
      </c>
      <c r="F114" s="2">
        <v>3.039850019513608</v>
      </c>
      <c r="G114" s="2">
        <v>62.235087401219801</v>
      </c>
      <c r="H114" s="2">
        <v>6.463220813684174</v>
      </c>
      <c r="I114" s="2">
        <v>7.4323696923629115</v>
      </c>
      <c r="J114" s="2">
        <v>6.6390397128043475</v>
      </c>
      <c r="K114" s="2">
        <v>5.3511066440061086</v>
      </c>
      <c r="L114" s="2">
        <v>10.762773889770145</v>
      </c>
      <c r="M114" s="2">
        <v>16.503015007595764</v>
      </c>
      <c r="N114" s="2">
        <v>13.042919590967756</v>
      </c>
      <c r="O114" s="2">
        <v>0.8525068575901571</v>
      </c>
      <c r="P114" s="2">
        <v>5.348061260626281</v>
      </c>
      <c r="Q114" s="2">
        <v>2.4966589636535161</v>
      </c>
      <c r="R114" s="2">
        <v>12.098249306183774</v>
      </c>
      <c r="S114" s="2">
        <v>-3.1931118438298114</v>
      </c>
      <c r="T114" s="2">
        <v>85.282147484424343</v>
      </c>
      <c r="U114" s="23">
        <v>7.0567666064378329</v>
      </c>
    </row>
    <row r="115" spans="1:21" x14ac:dyDescent="0.25">
      <c r="A115" s="95"/>
      <c r="B115" s="100"/>
      <c r="C115" s="19" t="s">
        <v>30</v>
      </c>
      <c r="D115" s="2">
        <v>3.3746206380347985</v>
      </c>
      <c r="E115" s="2">
        <v>15.081330180405089</v>
      </c>
      <c r="F115" s="2">
        <v>4.1480086048928797</v>
      </c>
      <c r="G115" s="2">
        <v>43.300261694523869</v>
      </c>
      <c r="H115" s="2">
        <v>5.7926198578210233</v>
      </c>
      <c r="I115" s="2">
        <v>0.87340703229767769</v>
      </c>
      <c r="J115" s="2">
        <v>2.4153367862758728</v>
      </c>
      <c r="K115" s="2">
        <v>0.56155876922791492</v>
      </c>
      <c r="L115" s="2">
        <v>2.4423363766625101</v>
      </c>
      <c r="M115" s="2">
        <v>13.633116265412596</v>
      </c>
      <c r="N115" s="2">
        <v>14.747984255419439</v>
      </c>
      <c r="O115" s="2">
        <v>6.1947707418007525</v>
      </c>
      <c r="P115" s="2">
        <v>3.687430828195474</v>
      </c>
      <c r="Q115" s="2">
        <v>1.8778577282680686</v>
      </c>
      <c r="R115" s="2">
        <v>6.2151038601504922</v>
      </c>
      <c r="S115" s="2">
        <v>-6.4612218755502937</v>
      </c>
      <c r="T115" s="2">
        <v>-21.599403900566443</v>
      </c>
      <c r="U115" s="23">
        <v>4.6137440134466488</v>
      </c>
    </row>
    <row r="116" spans="1:21" x14ac:dyDescent="0.25">
      <c r="A116" s="95"/>
      <c r="B116" s="101"/>
      <c r="C116" s="52" t="s">
        <v>31</v>
      </c>
      <c r="D116" s="20">
        <v>-1.5139299423183559</v>
      </c>
      <c r="E116" s="20">
        <v>5.2243672918733921</v>
      </c>
      <c r="F116" s="20">
        <v>0.26092765715661415</v>
      </c>
      <c r="G116" s="20">
        <v>67.340170013076062</v>
      </c>
      <c r="H116" s="20">
        <v>3.4272700759171926</v>
      </c>
      <c r="I116" s="20">
        <v>2.6680433203898133</v>
      </c>
      <c r="J116" s="20">
        <v>0.16775522531264642</v>
      </c>
      <c r="K116" s="20">
        <v>-3.635504490205733</v>
      </c>
      <c r="L116" s="20">
        <v>10.563674032303155</v>
      </c>
      <c r="M116" s="20">
        <v>10.225588327825392</v>
      </c>
      <c r="N116" s="20">
        <v>34.836618054215762</v>
      </c>
      <c r="O116" s="20">
        <v>-2.300848076728812E-3</v>
      </c>
      <c r="P116" s="20">
        <v>3.8790900861897626</v>
      </c>
      <c r="Q116" s="20">
        <v>2.6733390851241552</v>
      </c>
      <c r="R116" s="20">
        <v>12.589663193257607</v>
      </c>
      <c r="S116" s="20">
        <v>-11.693181245089519</v>
      </c>
      <c r="T116" s="20">
        <v>-38.321995486730451</v>
      </c>
      <c r="U116" s="24">
        <v>3.2927220057372324</v>
      </c>
    </row>
    <row r="117" spans="1:21" x14ac:dyDescent="0.25">
      <c r="A117" s="95"/>
      <c r="B117" s="58"/>
      <c r="C117" s="57" t="s">
        <v>51</v>
      </c>
      <c r="D117" s="26">
        <v>3.6681663550726142</v>
      </c>
      <c r="E117" s="26">
        <v>0.25589741518514586</v>
      </c>
      <c r="F117" s="26">
        <v>-5.229451241916891</v>
      </c>
      <c r="G117" s="26">
        <v>8.384722881211502</v>
      </c>
      <c r="H117" s="26">
        <v>10.495350267914844</v>
      </c>
      <c r="I117" s="26">
        <v>0.97122861601839361</v>
      </c>
      <c r="J117" s="26">
        <v>2.9154073420617692</v>
      </c>
      <c r="K117" s="26">
        <v>2.3613065614445787</v>
      </c>
      <c r="L117" s="26">
        <v>6.8340387111694554</v>
      </c>
      <c r="M117" s="26">
        <v>6.3519042743672003</v>
      </c>
      <c r="N117" s="26">
        <v>50.521945988860551</v>
      </c>
      <c r="O117" s="26">
        <v>7.562704374840834</v>
      </c>
      <c r="P117" s="26">
        <v>4.2846877834245163</v>
      </c>
      <c r="Q117" s="26">
        <v>3.0522951256866548</v>
      </c>
      <c r="R117" s="26">
        <v>1.9175171090454626</v>
      </c>
      <c r="S117" s="26">
        <v>-9.6016457182175969</v>
      </c>
      <c r="T117" s="26">
        <v>-36.064541426703848</v>
      </c>
      <c r="U117" s="26">
        <v>3.1335354244999678</v>
      </c>
    </row>
    <row r="118" spans="1:21" x14ac:dyDescent="0.25">
      <c r="A118" s="95"/>
      <c r="B118" s="99">
        <v>2025</v>
      </c>
      <c r="C118" s="61" t="s">
        <v>28</v>
      </c>
      <c r="D118" s="21">
        <v>4.6202172596530744</v>
      </c>
      <c r="E118" s="21">
        <v>2.335953476430717</v>
      </c>
      <c r="F118" s="21">
        <v>-4.0506781669105436</v>
      </c>
      <c r="G118" s="21">
        <v>50.887077506041322</v>
      </c>
      <c r="H118" s="21">
        <v>5.6810663512773374</v>
      </c>
      <c r="I118" s="21">
        <v>0.16463823232544428</v>
      </c>
      <c r="J118" s="21">
        <v>5.4303201148401428</v>
      </c>
      <c r="K118" s="21">
        <v>2.4817541761057385</v>
      </c>
      <c r="L118" s="21">
        <v>-2.8039470309215062</v>
      </c>
      <c r="M118" s="21">
        <v>5.0604371090922768</v>
      </c>
      <c r="N118" s="21">
        <v>45.255410244594913</v>
      </c>
      <c r="O118" s="21">
        <v>6.7492486400328318</v>
      </c>
      <c r="P118" s="21">
        <v>10.408585945010955</v>
      </c>
      <c r="Q118" s="21">
        <v>2.6048495360791151</v>
      </c>
      <c r="R118" s="21">
        <v>2.1894229494529043</v>
      </c>
      <c r="S118" s="21">
        <v>-2.3352256766686139</v>
      </c>
      <c r="T118" s="21">
        <v>-31.332993381670548</v>
      </c>
      <c r="U118" s="22">
        <v>4.3489423632096873</v>
      </c>
    </row>
    <row r="119" spans="1:21" x14ac:dyDescent="0.25">
      <c r="A119" s="95"/>
      <c r="B119" s="100"/>
      <c r="C119" s="19" t="s">
        <v>29</v>
      </c>
      <c r="D119" s="2">
        <v>3.4289988494962955</v>
      </c>
      <c r="E119" s="2">
        <v>-0.10308084200464407</v>
      </c>
      <c r="F119" s="2">
        <v>-8.4421107839748828</v>
      </c>
      <c r="G119" s="2">
        <v>7.3103337898778875</v>
      </c>
      <c r="H119" s="2">
        <v>6.839779016775168</v>
      </c>
      <c r="I119" s="2">
        <v>2.1944782486874885</v>
      </c>
      <c r="J119" s="2">
        <v>2.0548832257034917</v>
      </c>
      <c r="K119" s="2">
        <v>1.0939180494050333</v>
      </c>
      <c r="L119" s="2">
        <v>8.1159332322304039</v>
      </c>
      <c r="M119" s="2">
        <v>8.7977158275863871</v>
      </c>
      <c r="N119" s="2">
        <v>61.551478942994606</v>
      </c>
      <c r="O119" s="2">
        <v>6.2565680688573906</v>
      </c>
      <c r="P119" s="2">
        <v>-5.1429462225701883</v>
      </c>
      <c r="Q119" s="2">
        <v>2.833503514380368</v>
      </c>
      <c r="R119" s="2">
        <v>0.79394540604818076</v>
      </c>
      <c r="S119" s="2">
        <v>-25.314050430053527</v>
      </c>
      <c r="T119" s="2">
        <v>-41.138879892664193</v>
      </c>
      <c r="U119" s="25">
        <v>1.5467542612716727</v>
      </c>
    </row>
    <row r="120" spans="1:21" x14ac:dyDescent="0.25">
      <c r="A120" s="95"/>
      <c r="B120" s="100"/>
      <c r="C120" s="19" t="s">
        <v>30</v>
      </c>
      <c r="D120" s="2">
        <v>3.5632412854186697</v>
      </c>
      <c r="E120" s="2">
        <v>-8.2675503834539228</v>
      </c>
      <c r="F120" s="2">
        <v>-6.9438571846437469</v>
      </c>
      <c r="G120" s="2">
        <v>2.1221843787533601</v>
      </c>
      <c r="H120" s="2">
        <v>10.935921273213495</v>
      </c>
      <c r="I120" s="2">
        <v>-2.3556477663660758E-2</v>
      </c>
      <c r="J120" s="2">
        <v>2.7368993096345946</v>
      </c>
      <c r="K120" s="2">
        <v>2.1295295359327042</v>
      </c>
      <c r="L120" s="2">
        <v>-0.56949247529605884</v>
      </c>
      <c r="M120" s="2">
        <v>8.7314626959084336</v>
      </c>
      <c r="N120" s="2">
        <v>54.89897939057667</v>
      </c>
      <c r="O120" s="2">
        <v>9.61418333897997</v>
      </c>
      <c r="P120" s="2">
        <v>5.1703197111535815</v>
      </c>
      <c r="Q120" s="2">
        <v>3.352280809160149</v>
      </c>
      <c r="R120" s="2">
        <v>3.3255393763125483</v>
      </c>
      <c r="S120" s="2">
        <v>-20.401196815756222</v>
      </c>
      <c r="T120" s="2">
        <v>-25.563457037184207</v>
      </c>
      <c r="U120" s="23">
        <v>1.7147757792437659</v>
      </c>
    </row>
    <row r="121" spans="1:21" x14ac:dyDescent="0.25">
      <c r="A121" s="95"/>
      <c r="B121" s="101"/>
      <c r="C121" s="52" t="s">
        <v>31</v>
      </c>
      <c r="D121" s="20">
        <v>3.0208735829002222</v>
      </c>
      <c r="E121" s="20">
        <v>5.775097815898846</v>
      </c>
      <c r="F121" s="20">
        <v>-1.2221104740726076</v>
      </c>
      <c r="G121" s="20">
        <v>-7.0165989423574189</v>
      </c>
      <c r="H121" s="20">
        <v>16.818349641568744</v>
      </c>
      <c r="I121" s="20">
        <v>1.4413943309105122</v>
      </c>
      <c r="J121" s="20">
        <v>2.0143415612193394</v>
      </c>
      <c r="K121" s="20">
        <v>3.6200450862093874</v>
      </c>
      <c r="L121" s="20">
        <v>18.000000000000128</v>
      </c>
      <c r="M121" s="20">
        <v>5.7791987908829583</v>
      </c>
      <c r="N121" s="20">
        <v>39.32866152120215</v>
      </c>
      <c r="O121" s="20">
        <v>7.6597961584623135</v>
      </c>
      <c r="P121" s="20">
        <v>4.2834412404322251</v>
      </c>
      <c r="Q121" s="20">
        <v>3.399999999999423</v>
      </c>
      <c r="R121" s="20">
        <v>1.6277558380062516</v>
      </c>
      <c r="S121" s="20">
        <v>8.0062900031236524</v>
      </c>
      <c r="T121" s="20">
        <v>-46.643248824548323</v>
      </c>
      <c r="U121" s="24">
        <v>5.1319229676380047</v>
      </c>
    </row>
    <row r="122" spans="1:21" x14ac:dyDescent="0.25">
      <c r="A122" s="95"/>
      <c r="B122" s="58"/>
      <c r="C122" s="57" t="s">
        <v>51</v>
      </c>
      <c r="D122" s="26">
        <v>-76.741963991500825</v>
      </c>
      <c r="E122" s="26">
        <v>-71.383874034245054</v>
      </c>
      <c r="F122" s="26">
        <v>-74.924029779677667</v>
      </c>
      <c r="G122" s="26">
        <v>-75.562032421405434</v>
      </c>
      <c r="H122" s="26">
        <v>-75.795859717448678</v>
      </c>
      <c r="I122" s="26">
        <v>-71.517117440385036</v>
      </c>
      <c r="J122" s="26">
        <v>-79.720545593018954</v>
      </c>
      <c r="K122" s="26">
        <v>-76.073078946687872</v>
      </c>
      <c r="L122" s="26">
        <v>-80.143312801895661</v>
      </c>
      <c r="M122" s="26">
        <v>-58.429326903917925</v>
      </c>
      <c r="N122" s="26">
        <v>-75.564428619931988</v>
      </c>
      <c r="O122" s="26">
        <v>-73.726745222945041</v>
      </c>
      <c r="P122" s="26">
        <v>-71.516298124858025</v>
      </c>
      <c r="Q122" s="26">
        <v>-72.354237346460295</v>
      </c>
      <c r="R122" s="26">
        <v>-77.928809981561216</v>
      </c>
      <c r="S122" s="26">
        <v>-76.987197733690564</v>
      </c>
      <c r="T122" s="26">
        <v>-81.407720009007576</v>
      </c>
      <c r="U122" s="26">
        <v>-74.540714374014129</v>
      </c>
    </row>
    <row r="123" spans="1:21" x14ac:dyDescent="0.25">
      <c r="A123" s="95"/>
      <c r="B123" s="99">
        <v>2026</v>
      </c>
      <c r="C123" s="61" t="s">
        <v>28</v>
      </c>
      <c r="D123" s="21">
        <v>1.7343432679912496</v>
      </c>
      <c r="E123" s="21">
        <v>8.7309396756806592</v>
      </c>
      <c r="F123" s="21">
        <v>-0.20723143780520559</v>
      </c>
      <c r="G123" s="21">
        <v>4.3735439042860378</v>
      </c>
      <c r="H123" s="21">
        <v>7.3159692088261181</v>
      </c>
      <c r="I123" s="21">
        <v>8.1549589936275737</v>
      </c>
      <c r="J123" s="21">
        <v>1.8183391578122183</v>
      </c>
      <c r="K123" s="21">
        <v>2.2064353883451702</v>
      </c>
      <c r="L123" s="21">
        <v>-3.3262250752961222</v>
      </c>
      <c r="M123" s="21">
        <v>16.119676214666569</v>
      </c>
      <c r="N123" s="21">
        <v>27.627163943074848</v>
      </c>
      <c r="O123" s="21">
        <v>6.8359232370894603</v>
      </c>
      <c r="P123" s="21">
        <v>2.8273913556747061</v>
      </c>
      <c r="Q123" s="21">
        <v>3.3731774016768412</v>
      </c>
      <c r="R123" s="21">
        <v>1.1055916325423851</v>
      </c>
      <c r="S123" s="21">
        <v>-13.746692686535056</v>
      </c>
      <c r="T123" s="21">
        <v>-42.252058966554685</v>
      </c>
      <c r="U123" s="22">
        <v>5.3245569463718994</v>
      </c>
    </row>
    <row r="124" spans="1:21" x14ac:dyDescent="0.25">
      <c r="A124" s="95"/>
      <c r="B124" s="100"/>
      <c r="C124" s="19" t="s">
        <v>29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5"/>
    </row>
    <row r="125" spans="1:21" x14ac:dyDescent="0.25">
      <c r="A125" s="95"/>
      <c r="B125" s="100"/>
      <c r="C125" s="19" t="s">
        <v>30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1" x14ac:dyDescent="0.25">
      <c r="A126" s="95"/>
      <c r="B126" s="101"/>
      <c r="C126" s="52" t="s">
        <v>31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</row>
    <row r="127" spans="1:21" x14ac:dyDescent="0.25">
      <c r="C127" s="17" t="s">
        <v>52</v>
      </c>
    </row>
    <row r="129" spans="4:28" x14ac:dyDescent="0.25"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5"/>
    </row>
    <row r="130" spans="4:28" x14ac:dyDescent="0.25"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 spans="4:28" x14ac:dyDescent="0.25"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2"/>
      <c r="V131" s="2"/>
      <c r="W131" s="2"/>
      <c r="X131" s="2"/>
      <c r="Y131" s="2"/>
      <c r="Z131" s="2"/>
      <c r="AA131" s="2"/>
      <c r="AB131" s="2"/>
    </row>
  </sheetData>
  <mergeCells count="28">
    <mergeCell ref="B123:B126"/>
    <mergeCell ref="A1:A126"/>
    <mergeCell ref="C1:U1"/>
    <mergeCell ref="B2:C2"/>
    <mergeCell ref="B3:B6"/>
    <mergeCell ref="B8:B11"/>
    <mergeCell ref="B13:B16"/>
    <mergeCell ref="B18:B21"/>
    <mergeCell ref="B23:B26"/>
    <mergeCell ref="B28:B31"/>
    <mergeCell ref="B33:B36"/>
    <mergeCell ref="B38:B41"/>
    <mergeCell ref="B43:B46"/>
    <mergeCell ref="B48:B51"/>
    <mergeCell ref="B53:B56"/>
    <mergeCell ref="B58:B61"/>
    <mergeCell ref="B63:B66"/>
    <mergeCell ref="B68:B71"/>
    <mergeCell ref="B73:B76"/>
    <mergeCell ref="B78:B81"/>
    <mergeCell ref="B83:B86"/>
    <mergeCell ref="B88:B91"/>
    <mergeCell ref="B118:B121"/>
    <mergeCell ref="B93:B96"/>
    <mergeCell ref="B98:B101"/>
    <mergeCell ref="B103:B106"/>
    <mergeCell ref="B108:B111"/>
    <mergeCell ref="B113:B1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09"/>
  <sheetViews>
    <sheetView showGridLines="0" workbookViewId="0">
      <pane xSplit="3" ySplit="2" topLeftCell="D86" activePane="bottomRight" state="frozen"/>
      <selection activeCell="B1" sqref="B1:T1"/>
      <selection pane="topRight" activeCell="B1" sqref="B1:T1"/>
      <selection pane="bottomLeft" activeCell="B1" sqref="B1:T1"/>
      <selection pane="bottomRight" sqref="A1:A103"/>
    </sheetView>
  </sheetViews>
  <sheetFormatPr defaultRowHeight="15.75" x14ac:dyDescent="0.25"/>
  <cols>
    <col min="2" max="2" width="6.875" style="18" customWidth="1"/>
    <col min="3" max="3" width="9.375" style="18" customWidth="1"/>
    <col min="4" max="4" width="12.125" customWidth="1"/>
    <col min="22" max="22" width="0" hidden="1" customWidth="1"/>
  </cols>
  <sheetData>
    <row r="1" spans="1:23" x14ac:dyDescent="0.25">
      <c r="A1" s="95"/>
      <c r="C1" s="102" t="s">
        <v>22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49"/>
      <c r="C3" s="4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1"/>
    </row>
    <row r="4" spans="1:23" x14ac:dyDescent="0.25">
      <c r="A4" s="95"/>
      <c r="B4" s="99">
        <v>2002</v>
      </c>
      <c r="C4" s="61" t="s">
        <v>28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>
        <v>0</v>
      </c>
      <c r="U4" s="22">
        <v>0</v>
      </c>
    </row>
    <row r="5" spans="1:23" x14ac:dyDescent="0.25">
      <c r="A5" s="95"/>
      <c r="B5" s="100"/>
      <c r="C5" s="19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3">
        <v>0</v>
      </c>
    </row>
    <row r="6" spans="1:23" x14ac:dyDescent="0.25">
      <c r="A6" s="95"/>
      <c r="B6" s="100"/>
      <c r="C6" s="19" t="s">
        <v>30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3">
        <v>0</v>
      </c>
    </row>
    <row r="7" spans="1:23" x14ac:dyDescent="0.25">
      <c r="A7" s="95"/>
      <c r="B7" s="101"/>
      <c r="C7" s="52" t="s">
        <v>31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4">
        <v>0</v>
      </c>
    </row>
    <row r="8" spans="1:23" x14ac:dyDescent="0.25">
      <c r="A8" s="95"/>
      <c r="B8" s="99">
        <v>2003</v>
      </c>
      <c r="C8" s="61" t="s">
        <v>28</v>
      </c>
      <c r="D8" s="21">
        <v>0.21000351590501656</v>
      </c>
      <c r="E8" s="21">
        <v>1.5065808411892829E-2</v>
      </c>
      <c r="F8" s="21">
        <v>-0.17231626525630667</v>
      </c>
      <c r="G8" s="21">
        <v>-1.6852433235984858E-3</v>
      </c>
      <c r="H8" s="21">
        <v>3.9502457119985096E-2</v>
      </c>
      <c r="I8" s="21">
        <v>3.742966244116204E-2</v>
      </c>
      <c r="J8" s="21">
        <v>0.2056879205137282</v>
      </c>
      <c r="K8" s="21">
        <v>0.18313304886346407</v>
      </c>
      <c r="L8" s="21">
        <v>1.2606804094734176E-2</v>
      </c>
      <c r="M8" s="21">
        <v>-1.9339267847693288E-3</v>
      </c>
      <c r="N8" s="21">
        <v>1.1750115402310172E-2</v>
      </c>
      <c r="O8" s="21">
        <v>-1.1050503318299501E-2</v>
      </c>
      <c r="P8" s="21">
        <v>0.21123793307347305</v>
      </c>
      <c r="Q8" s="21">
        <v>-4.2989321357750299E-2</v>
      </c>
      <c r="R8" s="21">
        <v>3.1885953024645176E-2</v>
      </c>
      <c r="S8" s="21">
        <v>0.13063937669528256</v>
      </c>
      <c r="T8" s="21">
        <v>-3.9816610944253629E-2</v>
      </c>
      <c r="U8" s="22">
        <v>0.81915072456071614</v>
      </c>
      <c r="V8" s="22"/>
      <c r="W8" s="64"/>
    </row>
    <row r="9" spans="1:23" x14ac:dyDescent="0.25">
      <c r="A9" s="95"/>
      <c r="B9" s="100"/>
      <c r="C9" s="19" t="s">
        <v>29</v>
      </c>
      <c r="D9" s="2">
        <v>1.0656212760805588</v>
      </c>
      <c r="E9" s="2">
        <v>5.0570789138933814E-2</v>
      </c>
      <c r="F9" s="2">
        <v>-0.52148636321822317</v>
      </c>
      <c r="G9" s="2">
        <v>0.14734462782745067</v>
      </c>
      <c r="H9" s="2">
        <v>0.19060661475823201</v>
      </c>
      <c r="I9" s="2">
        <v>8.4055795406223432E-2</v>
      </c>
      <c r="J9" s="2">
        <v>0.78600319115190365</v>
      </c>
      <c r="K9" s="2">
        <v>0.97475204175444619</v>
      </c>
      <c r="L9" s="2">
        <v>0.12501398788514662</v>
      </c>
      <c r="M9" s="2">
        <v>4.1637299782182257E-3</v>
      </c>
      <c r="N9" s="2">
        <v>4.5789240785576175E-2</v>
      </c>
      <c r="O9" s="2">
        <v>9.8454341629480455E-2</v>
      </c>
      <c r="P9" s="2">
        <v>0.71729275788964575</v>
      </c>
      <c r="Q9" s="2">
        <v>8.4285941221034638E-2</v>
      </c>
      <c r="R9" s="2">
        <v>0.23036957490793997</v>
      </c>
      <c r="S9" s="2">
        <v>0.39213781195255321</v>
      </c>
      <c r="T9" s="2">
        <v>-2.1661185191343406E-2</v>
      </c>
      <c r="U9" s="23">
        <v>4.4533141739577768</v>
      </c>
      <c r="V9" s="23"/>
      <c r="W9" s="64"/>
    </row>
    <row r="10" spans="1:23" x14ac:dyDescent="0.25">
      <c r="A10" s="95"/>
      <c r="B10" s="100"/>
      <c r="C10" s="19" t="s">
        <v>30</v>
      </c>
      <c r="D10" s="2">
        <v>0.74771092147686347</v>
      </c>
      <c r="E10" s="2">
        <v>6.2529908266213921E-2</v>
      </c>
      <c r="F10" s="2">
        <v>-0.60857223665072546</v>
      </c>
      <c r="G10" s="2">
        <v>0.22864395708301269</v>
      </c>
      <c r="H10" s="2">
        <v>0.29125443334681178</v>
      </c>
      <c r="I10" s="2">
        <v>-1.0139293623071546E-2</v>
      </c>
      <c r="J10" s="2">
        <v>1.2769683355483257</v>
      </c>
      <c r="K10" s="2">
        <v>0.79310717109536633</v>
      </c>
      <c r="L10" s="2">
        <v>0.25091378466072528</v>
      </c>
      <c r="M10" s="2">
        <v>3.8277633366633437E-2</v>
      </c>
      <c r="N10" s="2">
        <v>5.3495304752608761E-2</v>
      </c>
      <c r="O10" s="2">
        <v>0.20955109437555827</v>
      </c>
      <c r="P10" s="2">
        <v>0.78857502410560787</v>
      </c>
      <c r="Q10" s="2">
        <v>0.40428412038445849</v>
      </c>
      <c r="R10" s="2">
        <v>0.18644803796441495</v>
      </c>
      <c r="S10" s="2">
        <v>0.38134832502971361</v>
      </c>
      <c r="T10" s="2">
        <v>0.12138655565384754</v>
      </c>
      <c r="U10" s="23">
        <v>5.2157830768363649</v>
      </c>
      <c r="V10" s="23"/>
      <c r="W10" s="64"/>
    </row>
    <row r="11" spans="1:23" x14ac:dyDescent="0.25">
      <c r="A11" s="95"/>
      <c r="B11" s="101"/>
      <c r="C11" s="52" t="s">
        <v>31</v>
      </c>
      <c r="D11" s="20">
        <v>0.48836164238003943</v>
      </c>
      <c r="E11" s="20">
        <v>0.1026291742931689</v>
      </c>
      <c r="F11" s="20">
        <v>-0.46623105997563563</v>
      </c>
      <c r="G11" s="20">
        <v>0.10471527199221563</v>
      </c>
      <c r="H11" s="20">
        <v>0.35525902713863933</v>
      </c>
      <c r="I11" s="20">
        <v>5.7087456969470471E-2</v>
      </c>
      <c r="J11" s="20">
        <v>1.3217683769059461</v>
      </c>
      <c r="K11" s="20">
        <v>-0.14612197692958082</v>
      </c>
      <c r="L11" s="20">
        <v>0.3423680640694326</v>
      </c>
      <c r="M11" s="20">
        <v>8.5670158294303453E-2</v>
      </c>
      <c r="N11" s="20">
        <v>4.5955922491207585E-2</v>
      </c>
      <c r="O11" s="20">
        <v>0.1359635357362477</v>
      </c>
      <c r="P11" s="20">
        <v>0.5461841072383371</v>
      </c>
      <c r="Q11" s="20">
        <v>9.1132577667821887E-2</v>
      </c>
      <c r="R11" s="20">
        <v>-9.2460443016502566E-2</v>
      </c>
      <c r="S11" s="20">
        <v>0.18182063724260902</v>
      </c>
      <c r="T11" s="20">
        <v>0.28184427946396889</v>
      </c>
      <c r="U11" s="24">
        <v>3.4359467519616889</v>
      </c>
      <c r="V11" s="24"/>
      <c r="W11" s="64"/>
    </row>
    <row r="12" spans="1:23" x14ac:dyDescent="0.25">
      <c r="A12" s="95"/>
      <c r="B12" s="99">
        <v>2004</v>
      </c>
      <c r="C12" s="61" t="s">
        <v>28</v>
      </c>
      <c r="D12" s="21">
        <v>7.9395700620430998E-2</v>
      </c>
      <c r="E12" s="21">
        <v>5.4021360954105493E-3</v>
      </c>
      <c r="F12" s="21">
        <v>0.11722949263620717</v>
      </c>
      <c r="G12" s="21">
        <v>9.1355401565287354E-3</v>
      </c>
      <c r="H12" s="21">
        <v>4.3117144179385523E-2</v>
      </c>
      <c r="I12" s="21">
        <v>1.644460160109725E-4</v>
      </c>
      <c r="J12" s="21">
        <v>0.11688533956857375</v>
      </c>
      <c r="K12" s="21">
        <v>9.8809959121917285E-2</v>
      </c>
      <c r="L12" s="21">
        <v>1.0097820860159184E-2</v>
      </c>
      <c r="M12" s="21">
        <v>8.7881955425926622E-3</v>
      </c>
      <c r="N12" s="21">
        <v>1.1191375501880024E-3</v>
      </c>
      <c r="O12" s="21">
        <v>1.9354199260366023E-2</v>
      </c>
      <c r="P12" s="21">
        <v>9.0822159592534882E-2</v>
      </c>
      <c r="Q12" s="21">
        <v>5.5131860073182867E-2</v>
      </c>
      <c r="R12" s="21">
        <v>5.8908954227886147E-2</v>
      </c>
      <c r="S12" s="21">
        <v>6.90063002834618E-3</v>
      </c>
      <c r="T12" s="21">
        <v>-0.19027290336275626</v>
      </c>
      <c r="U12" s="22">
        <v>0.5309898121669645</v>
      </c>
      <c r="V12" s="22"/>
      <c r="W12" s="64"/>
    </row>
    <row r="13" spans="1:23" x14ac:dyDescent="0.25">
      <c r="A13" s="95"/>
      <c r="B13" s="100"/>
      <c r="C13" s="19" t="s">
        <v>29</v>
      </c>
      <c r="D13" s="2">
        <v>2.4864448144618021</v>
      </c>
      <c r="E13" s="2">
        <v>0.10702375398613076</v>
      </c>
      <c r="F13" s="2">
        <v>3.1597075218775306</v>
      </c>
      <c r="G13" s="2">
        <v>9.7665194380130702E-2</v>
      </c>
      <c r="H13" s="2">
        <v>1.5010254934544922</v>
      </c>
      <c r="I13" s="2">
        <v>0.11716379048890571</v>
      </c>
      <c r="J13" s="2">
        <v>2.9135365514323257</v>
      </c>
      <c r="K13" s="2">
        <v>1.3148189344078391</v>
      </c>
      <c r="L13" s="2">
        <v>0.64024215183190758</v>
      </c>
      <c r="M13" s="2">
        <v>0.33602792483400723</v>
      </c>
      <c r="N13" s="2">
        <v>3.6793122755590456E-2</v>
      </c>
      <c r="O13" s="2">
        <v>-0.12983345993086143</v>
      </c>
      <c r="P13" s="2">
        <v>1.0076155353274177</v>
      </c>
      <c r="Q13" s="2">
        <v>0.7842506648671862</v>
      </c>
      <c r="R13" s="2">
        <v>1.3444646580057857</v>
      </c>
      <c r="S13" s="2">
        <v>0.48697690373222619</v>
      </c>
      <c r="T13" s="2">
        <v>1.3767969192166469</v>
      </c>
      <c r="U13" s="23">
        <v>17.580720475129066</v>
      </c>
      <c r="V13" s="23"/>
      <c r="W13" s="64"/>
    </row>
    <row r="14" spans="1:23" x14ac:dyDescent="0.25">
      <c r="A14" s="95"/>
      <c r="B14" s="100"/>
      <c r="C14" s="19" t="s">
        <v>30</v>
      </c>
      <c r="D14" s="2">
        <v>1.1837270236687636</v>
      </c>
      <c r="E14" s="2">
        <v>7.4797650423317069E-2</v>
      </c>
      <c r="F14" s="2">
        <v>3.1095462324061098</v>
      </c>
      <c r="G14" s="2">
        <v>-8.2205804782291045E-2</v>
      </c>
      <c r="H14" s="2">
        <v>1.5143012274703542</v>
      </c>
      <c r="I14" s="2">
        <v>0.27671593284097273</v>
      </c>
      <c r="J14" s="2">
        <v>2.9935632751948487</v>
      </c>
      <c r="K14" s="2">
        <v>0.21770689603734614</v>
      </c>
      <c r="L14" s="2">
        <v>0.70392951294775286</v>
      </c>
      <c r="M14" s="2">
        <v>0.45509794658648822</v>
      </c>
      <c r="N14" s="2">
        <v>7.5403230397184232E-2</v>
      </c>
      <c r="O14" s="2">
        <v>-7.3057173183662852E-2</v>
      </c>
      <c r="P14" s="2">
        <v>2.2787376469297982</v>
      </c>
      <c r="Q14" s="2">
        <v>-0.57716824970919356</v>
      </c>
      <c r="R14" s="2">
        <v>0.72097513326671459</v>
      </c>
      <c r="S14" s="2">
        <v>-0.49152711099504603</v>
      </c>
      <c r="T14" s="2">
        <v>1.2431709118545196</v>
      </c>
      <c r="U14" s="23">
        <v>13.623714281353974</v>
      </c>
      <c r="V14" s="23"/>
      <c r="W14" s="64"/>
    </row>
    <row r="15" spans="1:23" x14ac:dyDescent="0.25">
      <c r="A15" s="95"/>
      <c r="B15" s="101"/>
      <c r="C15" s="52" t="s">
        <v>31</v>
      </c>
      <c r="D15" s="20">
        <v>0.82256193286082824</v>
      </c>
      <c r="E15" s="20">
        <v>9.6886275666958149E-2</v>
      </c>
      <c r="F15" s="20">
        <v>3.5044018293510115</v>
      </c>
      <c r="G15" s="20">
        <v>0.13255449194598501</v>
      </c>
      <c r="H15" s="20">
        <v>1.5094289891890409</v>
      </c>
      <c r="I15" s="20">
        <v>0.19001826227648774</v>
      </c>
      <c r="J15" s="20">
        <v>2.932077812313683</v>
      </c>
      <c r="K15" s="20">
        <v>-6.1322822697503204E-3</v>
      </c>
      <c r="L15" s="20">
        <v>0.6105825078128615</v>
      </c>
      <c r="M15" s="20">
        <v>0.60743930897958154</v>
      </c>
      <c r="N15" s="20">
        <v>0.11037037170435486</v>
      </c>
      <c r="O15" s="20">
        <v>0.12738062224199656</v>
      </c>
      <c r="P15" s="20">
        <v>1.0476494305859427</v>
      </c>
      <c r="Q15" s="20">
        <v>-1.0921020288294561</v>
      </c>
      <c r="R15" s="20">
        <v>0.37789906983306665</v>
      </c>
      <c r="S15" s="20">
        <v>0.74036466396029366</v>
      </c>
      <c r="T15" s="20">
        <v>1.5775870307255915</v>
      </c>
      <c r="U15" s="24">
        <v>13.288968288348478</v>
      </c>
      <c r="V15" s="24"/>
      <c r="W15" s="64"/>
    </row>
    <row r="16" spans="1:23" x14ac:dyDescent="0.25">
      <c r="A16" s="95"/>
      <c r="B16" s="99">
        <v>2005</v>
      </c>
      <c r="C16" s="61" t="s">
        <v>28</v>
      </c>
      <c r="D16" s="21">
        <v>1.4390711519117378</v>
      </c>
      <c r="E16" s="21">
        <v>4.0461272542365631E-2</v>
      </c>
      <c r="F16" s="21">
        <v>11.070721585651611</v>
      </c>
      <c r="G16" s="21">
        <v>-0.24220740618195413</v>
      </c>
      <c r="H16" s="21">
        <v>1.3339900812018026</v>
      </c>
      <c r="I16" s="21">
        <v>0.24085083226180298</v>
      </c>
      <c r="J16" s="21">
        <v>4.0151596473213891</v>
      </c>
      <c r="K16" s="21">
        <v>3.673055580633354</v>
      </c>
      <c r="L16" s="21">
        <v>3.2024537863393154E-2</v>
      </c>
      <c r="M16" s="21">
        <v>0.82096647657310795</v>
      </c>
      <c r="N16" s="21">
        <v>-7.4024082881619088E-2</v>
      </c>
      <c r="O16" s="21">
        <v>4.0394038862795112E-3</v>
      </c>
      <c r="P16" s="21">
        <v>4.2255123222397959</v>
      </c>
      <c r="Q16" s="21">
        <v>0.34302390150828604</v>
      </c>
      <c r="R16" s="21">
        <v>1.2987019315486681</v>
      </c>
      <c r="S16" s="21">
        <v>1.2522942043658578</v>
      </c>
      <c r="T16" s="21">
        <v>9.6125461503527099</v>
      </c>
      <c r="U16" s="22">
        <v>39.086187590798581</v>
      </c>
      <c r="V16" s="22"/>
      <c r="W16" s="64"/>
    </row>
    <row r="17" spans="1:23" x14ac:dyDescent="0.25">
      <c r="A17" s="95"/>
      <c r="B17" s="100"/>
      <c r="C17" s="19" t="s">
        <v>29</v>
      </c>
      <c r="D17" s="2">
        <v>0.83745592409874015</v>
      </c>
      <c r="E17" s="2">
        <v>2.1322436779817714E-2</v>
      </c>
      <c r="F17" s="2">
        <v>6.0161499827573044</v>
      </c>
      <c r="G17" s="2">
        <v>-0.10080018837403207</v>
      </c>
      <c r="H17" s="2">
        <v>0.57978691697424045</v>
      </c>
      <c r="I17" s="2">
        <v>2.9555228552167745E-2</v>
      </c>
      <c r="J17" s="2">
        <v>1.7512300699330159</v>
      </c>
      <c r="K17" s="2">
        <v>1.8452643525736208</v>
      </c>
      <c r="L17" s="2">
        <v>-0.20847033852985519</v>
      </c>
      <c r="M17" s="2">
        <v>0.52133268770083641</v>
      </c>
      <c r="N17" s="2">
        <v>-0.25396596978725722</v>
      </c>
      <c r="O17" s="2">
        <v>0.68582713851777699</v>
      </c>
      <c r="P17" s="2">
        <v>2.2861693563549483</v>
      </c>
      <c r="Q17" s="2">
        <v>0.24484135257492476</v>
      </c>
      <c r="R17" s="2">
        <v>0.4443198805566429</v>
      </c>
      <c r="S17" s="2">
        <v>0.23468925203846902</v>
      </c>
      <c r="T17" s="2">
        <v>-8.8286589690539541E-2</v>
      </c>
      <c r="U17" s="23">
        <v>14.846421493030819</v>
      </c>
      <c r="V17" s="23"/>
      <c r="W17" s="64"/>
    </row>
    <row r="18" spans="1:23" x14ac:dyDescent="0.25">
      <c r="A18" s="95"/>
      <c r="B18" s="100"/>
      <c r="C18" s="19" t="s">
        <v>30</v>
      </c>
      <c r="D18" s="2">
        <v>0.64724032670215559</v>
      </c>
      <c r="E18" s="2">
        <v>6.2091620886151958E-2</v>
      </c>
      <c r="F18" s="2">
        <v>6.5145800912788649</v>
      </c>
      <c r="G18" s="2">
        <v>-0.21607385008420826</v>
      </c>
      <c r="H18" s="2">
        <v>0.52847635934009352</v>
      </c>
      <c r="I18" s="2">
        <v>-2.6571016167015706E-2</v>
      </c>
      <c r="J18" s="2">
        <v>1.8378344948901353</v>
      </c>
      <c r="K18" s="2">
        <v>1.6338243853399184</v>
      </c>
      <c r="L18" s="2">
        <v>-0.38675692388443511</v>
      </c>
      <c r="M18" s="2">
        <v>0.67109758543515841</v>
      </c>
      <c r="N18" s="2">
        <v>-0.47529989195287814</v>
      </c>
      <c r="O18" s="2">
        <v>0.7143612812105079</v>
      </c>
      <c r="P18" s="2">
        <v>0.48031237944552069</v>
      </c>
      <c r="Q18" s="2">
        <v>0.34096815368827033</v>
      </c>
      <c r="R18" s="2">
        <v>0.42527710983491873</v>
      </c>
      <c r="S18" s="2">
        <v>0.70375949771042956</v>
      </c>
      <c r="T18" s="2">
        <v>-9.0789938350518726E-2</v>
      </c>
      <c r="U18" s="23">
        <v>13.364331665323069</v>
      </c>
      <c r="V18" s="23"/>
      <c r="W18" s="64"/>
    </row>
    <row r="19" spans="1:23" x14ac:dyDescent="0.25">
      <c r="A19" s="95"/>
      <c r="B19" s="101"/>
      <c r="C19" s="52" t="s">
        <v>31</v>
      </c>
      <c r="D19" s="20">
        <v>0.41120872804041442</v>
      </c>
      <c r="E19" s="20">
        <v>0.14089833247723427</v>
      </c>
      <c r="F19" s="20">
        <v>3.7734563243193535</v>
      </c>
      <c r="G19" s="20">
        <v>-5.4079861647647824</v>
      </c>
      <c r="H19" s="20">
        <v>0.40302940517848823</v>
      </c>
      <c r="I19" s="20">
        <v>0.12439929805327032</v>
      </c>
      <c r="J19" s="20">
        <v>0.97377865793430896</v>
      </c>
      <c r="K19" s="20">
        <v>0.6591821874219348</v>
      </c>
      <c r="L19" s="20">
        <v>-2.7075994321334198</v>
      </c>
      <c r="M19" s="20">
        <v>0.40604162394355009</v>
      </c>
      <c r="N19" s="20">
        <v>-2.9533593938815859</v>
      </c>
      <c r="O19" s="20">
        <v>0.67943790061572806</v>
      </c>
      <c r="P19" s="20">
        <v>2.1986441991358125</v>
      </c>
      <c r="Q19" s="20">
        <v>0.23369478878936623</v>
      </c>
      <c r="R19" s="20">
        <v>0.38070736258091264</v>
      </c>
      <c r="S19" s="20">
        <v>0.24529819520696544</v>
      </c>
      <c r="T19" s="20">
        <v>-3.984887619880618</v>
      </c>
      <c r="U19" s="24">
        <v>-4.4240556069630674</v>
      </c>
      <c r="V19" s="24"/>
      <c r="W19" s="64"/>
    </row>
    <row r="20" spans="1:23" x14ac:dyDescent="0.25">
      <c r="A20" s="95"/>
      <c r="B20" s="99">
        <v>2006</v>
      </c>
      <c r="C20" s="61" t="s">
        <v>28</v>
      </c>
      <c r="D20" s="21">
        <v>1.5423993213203238</v>
      </c>
      <c r="E20" s="21">
        <v>0.19572445924892448</v>
      </c>
      <c r="F20" s="21">
        <v>2.3882778378680181</v>
      </c>
      <c r="G20" s="21">
        <v>0.16925991521862985</v>
      </c>
      <c r="H20" s="21">
        <v>0.40689084154802002</v>
      </c>
      <c r="I20" s="21">
        <v>0.12794373660178149</v>
      </c>
      <c r="J20" s="21">
        <v>0.95637454869790384</v>
      </c>
      <c r="K20" s="21">
        <v>0.75200870613254567</v>
      </c>
      <c r="L20" s="21">
        <v>8.8076490721902725E-2</v>
      </c>
      <c r="M20" s="21">
        <v>0.2796438470257655</v>
      </c>
      <c r="N20" s="21">
        <v>-0.13456867031023154</v>
      </c>
      <c r="O20" s="21">
        <v>0.14129991018914823</v>
      </c>
      <c r="P20" s="21">
        <v>0.31898071158271296</v>
      </c>
      <c r="Q20" s="21">
        <v>0.1457589081698554</v>
      </c>
      <c r="R20" s="21">
        <v>0.89890023703417743</v>
      </c>
      <c r="S20" s="21">
        <v>-0.25549143898975796</v>
      </c>
      <c r="T20" s="21">
        <v>-0.76748072326768424</v>
      </c>
      <c r="U20" s="22">
        <v>7.2539986387920381</v>
      </c>
      <c r="V20" s="22"/>
      <c r="W20" s="64"/>
    </row>
    <row r="21" spans="1:23" x14ac:dyDescent="0.25">
      <c r="A21" s="95"/>
      <c r="B21" s="100"/>
      <c r="C21" s="19" t="s">
        <v>29</v>
      </c>
      <c r="D21" s="2">
        <v>1.7388040970434235</v>
      </c>
      <c r="E21" s="2">
        <v>0.15471128910354434</v>
      </c>
      <c r="F21" s="2">
        <v>1.5689118498376236</v>
      </c>
      <c r="G21" s="2">
        <v>6.5034633272053055E-2</v>
      </c>
      <c r="H21" s="2">
        <v>0.3114760314137503</v>
      </c>
      <c r="I21" s="2">
        <v>9.447426712550952E-2</v>
      </c>
      <c r="J21" s="2">
        <v>0.68034993703201763</v>
      </c>
      <c r="K21" s="2">
        <v>0.27044173023695961</v>
      </c>
      <c r="L21" s="2">
        <v>0.30749374665121065</v>
      </c>
      <c r="M21" s="2">
        <v>0.19494807708356529</v>
      </c>
      <c r="N21" s="2">
        <v>3.9383731692296524E-2</v>
      </c>
      <c r="O21" s="2">
        <v>-2.9836034505923044E-2</v>
      </c>
      <c r="P21" s="2">
        <v>1.7242303137507591</v>
      </c>
      <c r="Q21" s="2">
        <v>0.11126523834033579</v>
      </c>
      <c r="R21" s="2">
        <v>0.75034603312961434</v>
      </c>
      <c r="S21" s="2">
        <v>-5.487398705892773E-2</v>
      </c>
      <c r="T21" s="2">
        <v>-0.59295072544614191</v>
      </c>
      <c r="U21" s="23">
        <v>7.3342102287016697</v>
      </c>
      <c r="V21" s="23"/>
      <c r="W21" s="64"/>
    </row>
    <row r="22" spans="1:23" x14ac:dyDescent="0.25">
      <c r="A22" s="95"/>
      <c r="B22" s="100"/>
      <c r="C22" s="19" t="s">
        <v>30</v>
      </c>
      <c r="D22" s="2">
        <v>1.2263117039371079</v>
      </c>
      <c r="E22" s="2">
        <v>0.19635424419669664</v>
      </c>
      <c r="F22" s="2">
        <v>2.4072113997148215</v>
      </c>
      <c r="G22" s="2">
        <v>0.18259000185650906</v>
      </c>
      <c r="H22" s="2">
        <v>0.39766968142812448</v>
      </c>
      <c r="I22" s="2">
        <v>0.14459910043372676</v>
      </c>
      <c r="J22" s="2">
        <v>1.1375883977347694</v>
      </c>
      <c r="K22" s="2">
        <v>0.26652861848596604</v>
      </c>
      <c r="L22" s="2">
        <v>0.66528248299543691</v>
      </c>
      <c r="M22" s="2">
        <v>0.2653535204617099</v>
      </c>
      <c r="N22" s="2">
        <v>0.17841438846476054</v>
      </c>
      <c r="O22" s="2">
        <v>0.32652435151706116</v>
      </c>
      <c r="P22" s="2">
        <v>0.43425478098705544</v>
      </c>
      <c r="Q22" s="2">
        <v>0.12196145027813839</v>
      </c>
      <c r="R22" s="2">
        <v>0.77314083475859707</v>
      </c>
      <c r="S22" s="2">
        <v>0.50344404585003122</v>
      </c>
      <c r="T22" s="2">
        <v>-0.84069995862074054</v>
      </c>
      <c r="U22" s="23">
        <v>8.3865290444797704</v>
      </c>
      <c r="V22" s="23"/>
      <c r="W22" s="64"/>
    </row>
    <row r="23" spans="1:23" x14ac:dyDescent="0.25">
      <c r="A23" s="95"/>
      <c r="B23" s="101"/>
      <c r="C23" s="52" t="s">
        <v>31</v>
      </c>
      <c r="D23" s="20">
        <v>1.1982526802540094</v>
      </c>
      <c r="E23" s="20">
        <v>0.53241400414470086</v>
      </c>
      <c r="F23" s="20">
        <v>4.6650681910948597</v>
      </c>
      <c r="G23" s="20">
        <v>0.45853754034625349</v>
      </c>
      <c r="H23" s="20">
        <v>0.77273099119767452</v>
      </c>
      <c r="I23" s="20">
        <v>0.35504441764006595</v>
      </c>
      <c r="J23" s="20">
        <v>2.3071811484761962</v>
      </c>
      <c r="K23" s="20">
        <v>0.77861338233328725</v>
      </c>
      <c r="L23" s="20">
        <v>1.3534518268115336</v>
      </c>
      <c r="M23" s="20">
        <v>0.42595058111314332</v>
      </c>
      <c r="N23" s="20">
        <v>0.42580101389692382</v>
      </c>
      <c r="O23" s="20">
        <v>1.7781922173929443</v>
      </c>
      <c r="P23" s="20">
        <v>4.5052400793086758</v>
      </c>
      <c r="Q23" s="20">
        <v>0.87496255495441511</v>
      </c>
      <c r="R23" s="20">
        <v>0.51340333588456144</v>
      </c>
      <c r="S23" s="20">
        <v>1.0747851585349248</v>
      </c>
      <c r="T23" s="20">
        <v>3.3986811738154121</v>
      </c>
      <c r="U23" s="24">
        <v>25.418310297199586</v>
      </c>
      <c r="V23" s="24"/>
      <c r="W23" s="64"/>
    </row>
    <row r="24" spans="1:23" x14ac:dyDescent="0.25">
      <c r="A24" s="95"/>
      <c r="B24" s="99">
        <v>2007</v>
      </c>
      <c r="C24" s="61" t="s">
        <v>28</v>
      </c>
      <c r="D24" s="21">
        <v>1.2665503967942326</v>
      </c>
      <c r="E24" s="21">
        <v>0.18938914657625575</v>
      </c>
      <c r="F24" s="21">
        <v>5.3572650291049211</v>
      </c>
      <c r="G24" s="21">
        <v>0.10691270299069618</v>
      </c>
      <c r="H24" s="21">
        <v>0.30974015685014217</v>
      </c>
      <c r="I24" s="21">
        <v>-0.3224009471343523</v>
      </c>
      <c r="J24" s="21">
        <v>2.1088782656099569</v>
      </c>
      <c r="K24" s="21">
        <v>1.0330963227199896</v>
      </c>
      <c r="L24" s="21">
        <v>0.2253405016766582</v>
      </c>
      <c r="M24" s="21">
        <v>0.20858058573673574</v>
      </c>
      <c r="N24" s="21">
        <v>0.14114246935408276</v>
      </c>
      <c r="O24" s="21">
        <v>0.50025231479317533</v>
      </c>
      <c r="P24" s="21">
        <v>2.1340765150763503</v>
      </c>
      <c r="Q24" s="21">
        <v>0.30181548778605172</v>
      </c>
      <c r="R24" s="21">
        <v>-0.40202298496409938</v>
      </c>
      <c r="S24" s="21">
        <v>1.3605935857199145</v>
      </c>
      <c r="T24" s="21">
        <v>-0.41887821269493919</v>
      </c>
      <c r="U24" s="22">
        <v>14.100331335995772</v>
      </c>
      <c r="V24" s="22"/>
      <c r="W24" s="64"/>
    </row>
    <row r="25" spans="1:23" x14ac:dyDescent="0.25">
      <c r="A25" s="95"/>
      <c r="B25" s="100"/>
      <c r="C25" s="19" t="s">
        <v>29</v>
      </c>
      <c r="D25" s="2">
        <v>1.142022868594943</v>
      </c>
      <c r="E25" s="2">
        <v>0.104924375649323</v>
      </c>
      <c r="F25" s="2">
        <v>5.463039068511117</v>
      </c>
      <c r="G25" s="2">
        <v>-1.71097064802893E-2</v>
      </c>
      <c r="H25" s="2">
        <v>0.2253072215779626</v>
      </c>
      <c r="I25" s="2">
        <v>0.3006690035507687</v>
      </c>
      <c r="J25" s="2">
        <v>2.2266369594261013</v>
      </c>
      <c r="K25" s="2">
        <v>1.55791223247573</v>
      </c>
      <c r="L25" s="2">
        <v>0.35561991745372723</v>
      </c>
      <c r="M25" s="2">
        <v>0.27453582382300501</v>
      </c>
      <c r="N25" s="2">
        <v>7.1393367380233025E-2</v>
      </c>
      <c r="O25" s="2">
        <v>0.58580337913665625</v>
      </c>
      <c r="P25" s="2">
        <v>0.81528314261450807</v>
      </c>
      <c r="Q25" s="2">
        <v>0.31490656240396514</v>
      </c>
      <c r="R25" s="2">
        <v>-1.0236848683698001</v>
      </c>
      <c r="S25" s="2">
        <v>1.0364749390100179</v>
      </c>
      <c r="T25" s="2">
        <v>0.32568216209320106</v>
      </c>
      <c r="U25" s="23">
        <v>13.759416448851173</v>
      </c>
      <c r="V25" s="23"/>
      <c r="W25" s="64"/>
    </row>
    <row r="26" spans="1:23" x14ac:dyDescent="0.25">
      <c r="A26" s="95"/>
      <c r="B26" s="100"/>
      <c r="C26" s="19" t="s">
        <v>30</v>
      </c>
      <c r="D26" s="2">
        <v>0.43838080087576109</v>
      </c>
      <c r="E26" s="2">
        <v>4.8369014569906631E-2</v>
      </c>
      <c r="F26" s="2">
        <v>4.9551631789526285</v>
      </c>
      <c r="G26" s="2">
        <v>0.13259342127529714</v>
      </c>
      <c r="H26" s="2">
        <v>0.16877928154405289</v>
      </c>
      <c r="I26" s="2">
        <v>0.26063511373489157</v>
      </c>
      <c r="J26" s="2">
        <v>2.2918511735953637</v>
      </c>
      <c r="K26" s="2">
        <v>1.8364071125014969</v>
      </c>
      <c r="L26" s="2">
        <v>0.2775717954141787</v>
      </c>
      <c r="M26" s="2">
        <v>0.41311939079184129</v>
      </c>
      <c r="N26" s="2">
        <v>4.935588325589884E-2</v>
      </c>
      <c r="O26" s="2">
        <v>0.22853269957605665</v>
      </c>
      <c r="P26" s="2">
        <v>3.3498037493923758</v>
      </c>
      <c r="Q26" s="2">
        <v>0.32296233629964244</v>
      </c>
      <c r="R26" s="2">
        <v>-1.0641091832035865</v>
      </c>
      <c r="S26" s="2">
        <v>0.61268380431237746</v>
      </c>
      <c r="T26" s="2">
        <v>1.0034585574397838</v>
      </c>
      <c r="U26" s="23">
        <v>15.325558130327968</v>
      </c>
      <c r="V26" s="23"/>
      <c r="W26" s="64"/>
    </row>
    <row r="27" spans="1:23" x14ac:dyDescent="0.25">
      <c r="A27" s="95"/>
      <c r="B27" s="101"/>
      <c r="C27" s="52" t="s">
        <v>31</v>
      </c>
      <c r="D27" s="20">
        <v>0.35188106942950892</v>
      </c>
      <c r="E27" s="20">
        <v>4.0688664346683147E-2</v>
      </c>
      <c r="F27" s="20">
        <v>6.2152983531060801</v>
      </c>
      <c r="G27" s="20">
        <v>0.55977335336542022</v>
      </c>
      <c r="H27" s="20">
        <v>0.30928749067291894</v>
      </c>
      <c r="I27" s="20">
        <v>0.14422130047211781</v>
      </c>
      <c r="J27" s="20">
        <v>2.4508577946748646</v>
      </c>
      <c r="K27" s="20">
        <v>2.6984207284601864</v>
      </c>
      <c r="L27" s="20">
        <v>0.30265943785782917</v>
      </c>
      <c r="M27" s="20">
        <v>0.77273693047342285</v>
      </c>
      <c r="N27" s="20">
        <v>0.16133209990893135</v>
      </c>
      <c r="O27" s="20">
        <v>-0.77567830561150364</v>
      </c>
      <c r="P27" s="20">
        <v>-0.57210508802983517</v>
      </c>
      <c r="Q27" s="20">
        <v>-6.3062981919027039E-2</v>
      </c>
      <c r="R27" s="20">
        <v>-0.89335189406854754</v>
      </c>
      <c r="S27" s="20">
        <v>-0.98990688251274372</v>
      </c>
      <c r="T27" s="20">
        <v>-1.5882597711600235</v>
      </c>
      <c r="U27" s="24">
        <v>9.1247922994662822</v>
      </c>
      <c r="V27" s="24"/>
      <c r="W27" s="64"/>
    </row>
    <row r="28" spans="1:23" x14ac:dyDescent="0.25">
      <c r="A28" s="95"/>
      <c r="B28" s="99">
        <v>2008</v>
      </c>
      <c r="C28" s="61" t="s">
        <v>28</v>
      </c>
      <c r="D28" s="21">
        <v>1.0861302589110229</v>
      </c>
      <c r="E28" s="21">
        <v>1.5363507618406722E-2</v>
      </c>
      <c r="F28" s="21">
        <v>3.5121676207475501</v>
      </c>
      <c r="G28" s="21">
        <v>0.15481762422681516</v>
      </c>
      <c r="H28" s="21">
        <v>0.27831897288361784</v>
      </c>
      <c r="I28" s="21">
        <v>0.69690681334951587</v>
      </c>
      <c r="J28" s="21">
        <v>2.1355787407714364</v>
      </c>
      <c r="K28" s="21">
        <v>2.5993409579748081</v>
      </c>
      <c r="L28" s="21">
        <v>0.10751259763899948</v>
      </c>
      <c r="M28" s="21">
        <v>0.89074419992318288</v>
      </c>
      <c r="N28" s="21">
        <v>0.31994801522181243</v>
      </c>
      <c r="O28" s="21">
        <v>-0.19686897457398941</v>
      </c>
      <c r="P28" s="21">
        <v>-1.9971793596705334</v>
      </c>
      <c r="Q28" s="21">
        <v>0.35025347729778472</v>
      </c>
      <c r="R28" s="21">
        <v>-0.15082867757295362</v>
      </c>
      <c r="S28" s="21">
        <v>-0.45573107889557518</v>
      </c>
      <c r="T28" s="21">
        <v>0.36502912406552462</v>
      </c>
      <c r="U28" s="22">
        <v>9.7115038199174268</v>
      </c>
      <c r="V28" s="22"/>
      <c r="W28" s="64"/>
    </row>
    <row r="29" spans="1:23" x14ac:dyDescent="0.25">
      <c r="A29" s="95"/>
      <c r="B29" s="100"/>
      <c r="C29" s="19" t="s">
        <v>29</v>
      </c>
      <c r="D29" s="2">
        <v>0.86867421134869049</v>
      </c>
      <c r="E29" s="2">
        <v>8.2749233202466955E-3</v>
      </c>
      <c r="F29" s="2">
        <v>1.9232604062982734</v>
      </c>
      <c r="G29" s="2">
        <v>0.21567376299043667</v>
      </c>
      <c r="H29" s="2">
        <v>0.14701129483970643</v>
      </c>
      <c r="I29" s="2">
        <v>-0.14371564063716716</v>
      </c>
      <c r="J29" s="2">
        <v>0.86827096125427761</v>
      </c>
      <c r="K29" s="2">
        <v>1.5736032102481523</v>
      </c>
      <c r="L29" s="2">
        <v>0.14539510793305929</v>
      </c>
      <c r="M29" s="2">
        <v>0.60626763090480562</v>
      </c>
      <c r="N29" s="2">
        <v>0.259458900031244</v>
      </c>
      <c r="O29" s="2">
        <v>-0.13445092185884083</v>
      </c>
      <c r="P29" s="2">
        <v>-0.26122344007700826</v>
      </c>
      <c r="Q29" s="2">
        <v>0.26585498634272053</v>
      </c>
      <c r="R29" s="2">
        <v>0.201429174226019</v>
      </c>
      <c r="S29" s="2">
        <v>0.61166696286983102</v>
      </c>
      <c r="T29" s="2">
        <v>-0.93424879257138149</v>
      </c>
      <c r="U29" s="23">
        <v>6.2212027374630665</v>
      </c>
      <c r="V29" s="23"/>
      <c r="W29" s="64"/>
    </row>
    <row r="30" spans="1:23" x14ac:dyDescent="0.25">
      <c r="A30" s="95"/>
      <c r="B30" s="100"/>
      <c r="C30" s="19" t="s">
        <v>30</v>
      </c>
      <c r="D30" s="2">
        <v>0.44694106334486794</v>
      </c>
      <c r="E30" s="2">
        <v>1.5150747183625274E-2</v>
      </c>
      <c r="F30" s="2">
        <v>1.7355352468782637</v>
      </c>
      <c r="G30" s="2">
        <v>4.6024926901800017E-2</v>
      </c>
      <c r="H30" s="2">
        <v>0.13807007801920454</v>
      </c>
      <c r="I30" s="2">
        <v>3.3645069190356919E-3</v>
      </c>
      <c r="J30" s="2">
        <v>0.71388761202660256</v>
      </c>
      <c r="K30" s="2">
        <v>1.5332552924303948</v>
      </c>
      <c r="L30" s="2">
        <v>0.19797078626062328</v>
      </c>
      <c r="M30" s="2">
        <v>0.66193937843965511</v>
      </c>
      <c r="N30" s="2">
        <v>0.28082297663296774</v>
      </c>
      <c r="O30" s="2">
        <v>4.9081389622550757E-2</v>
      </c>
      <c r="P30" s="2">
        <v>0.91649751571717653</v>
      </c>
      <c r="Q30" s="2">
        <v>0.31909886210267241</v>
      </c>
      <c r="R30" s="2">
        <v>0.34344937893629507</v>
      </c>
      <c r="S30" s="2">
        <v>0.69483912717480334</v>
      </c>
      <c r="T30" s="2">
        <v>-1.0066485803594756</v>
      </c>
      <c r="U30" s="23">
        <v>7.0892803082310634</v>
      </c>
      <c r="V30" s="23"/>
      <c r="W30" s="64"/>
    </row>
    <row r="31" spans="1:23" x14ac:dyDescent="0.25">
      <c r="A31" s="95"/>
      <c r="B31" s="101"/>
      <c r="C31" s="52" t="s">
        <v>31</v>
      </c>
      <c r="D31" s="20">
        <v>0.43788114324139121</v>
      </c>
      <c r="E31" s="20">
        <v>8.0134570621935103E-2</v>
      </c>
      <c r="F31" s="20">
        <v>2.6561960063340004</v>
      </c>
      <c r="G31" s="20">
        <v>-0.63813594350464931</v>
      </c>
      <c r="H31" s="20">
        <v>0.3175022917741922</v>
      </c>
      <c r="I31" s="20">
        <v>1.7961601538507538E-2</v>
      </c>
      <c r="J31" s="20">
        <v>0.85505014707633997</v>
      </c>
      <c r="K31" s="20">
        <v>2.4204399332055431</v>
      </c>
      <c r="L31" s="20">
        <v>0.42876566279755801</v>
      </c>
      <c r="M31" s="20">
        <v>0.9104773179433675</v>
      </c>
      <c r="N31" s="20">
        <v>0.53647975427046324</v>
      </c>
      <c r="O31" s="20">
        <v>1.5418378758883828</v>
      </c>
      <c r="P31" s="20">
        <v>5.0190685857252308</v>
      </c>
      <c r="Q31" s="20">
        <v>0.63835103576941121</v>
      </c>
      <c r="R31" s="20">
        <v>0.52475344397619028</v>
      </c>
      <c r="S31" s="20">
        <v>1.1725669943925077</v>
      </c>
      <c r="T31" s="20">
        <v>2.9378270451992128</v>
      </c>
      <c r="U31" s="24">
        <v>19.857157466249582</v>
      </c>
      <c r="V31" s="24"/>
      <c r="W31" s="64"/>
    </row>
    <row r="32" spans="1:23" x14ac:dyDescent="0.25">
      <c r="A32" s="95"/>
      <c r="B32" s="99">
        <v>2009</v>
      </c>
      <c r="C32" s="61" t="s">
        <v>28</v>
      </c>
      <c r="D32" s="21">
        <v>0.12769726840696993</v>
      </c>
      <c r="E32" s="21">
        <v>1.6893074868231224E-2</v>
      </c>
      <c r="F32" s="21">
        <v>-0.35774092911087169</v>
      </c>
      <c r="G32" s="21">
        <v>-3.7784431343548863E-2</v>
      </c>
      <c r="H32" s="21">
        <v>6.8622534055219148E-2</v>
      </c>
      <c r="I32" s="21">
        <v>-1.9377023221262928E-2</v>
      </c>
      <c r="J32" s="21">
        <v>0.10921405651587333</v>
      </c>
      <c r="K32" s="21">
        <v>0.23577645732995969</v>
      </c>
      <c r="L32" s="21">
        <v>2.4847660285799354E-2</v>
      </c>
      <c r="M32" s="21">
        <v>6.2988557341420254E-2</v>
      </c>
      <c r="N32" s="21">
        <v>6.3238401552661236E-2</v>
      </c>
      <c r="O32" s="21">
        <v>0.14620255157499365</v>
      </c>
      <c r="P32" s="21">
        <v>0.6008898676285308</v>
      </c>
      <c r="Q32" s="21">
        <v>1.7131245607120162E-3</v>
      </c>
      <c r="R32" s="21">
        <v>4.6079536775473204E-2</v>
      </c>
      <c r="S32" s="21">
        <v>0.24641162319198831</v>
      </c>
      <c r="T32" s="21">
        <v>9.9087415000587445E-2</v>
      </c>
      <c r="U32" s="22">
        <v>1.4347597454127361</v>
      </c>
      <c r="V32" s="22"/>
      <c r="W32" s="64"/>
    </row>
    <row r="33" spans="1:23" x14ac:dyDescent="0.25">
      <c r="A33" s="95"/>
      <c r="B33" s="100"/>
      <c r="C33" s="19" t="s">
        <v>29</v>
      </c>
      <c r="D33" s="2">
        <v>0.77789676270289709</v>
      </c>
      <c r="E33" s="2">
        <v>8.3003220304952843E-2</v>
      </c>
      <c r="F33" s="2">
        <v>-1.4818051498650764</v>
      </c>
      <c r="G33" s="2">
        <v>8.7133563767078592E-2</v>
      </c>
      <c r="H33" s="2">
        <v>0.45456187810022675</v>
      </c>
      <c r="I33" s="2">
        <v>0.22552412859915033</v>
      </c>
      <c r="J33" s="2">
        <v>0.50327802219784501</v>
      </c>
      <c r="K33" s="2">
        <v>0.97996102845811162</v>
      </c>
      <c r="L33" s="2">
        <v>0.29246076655112158</v>
      </c>
      <c r="M33" s="2">
        <v>0.1588507620220988</v>
      </c>
      <c r="N33" s="2">
        <v>0.27462604855965572</v>
      </c>
      <c r="O33" s="2">
        <v>0.5028640387277008</v>
      </c>
      <c r="P33" s="2">
        <v>2.6698549623892709</v>
      </c>
      <c r="Q33" s="2">
        <v>0.37227046746835496</v>
      </c>
      <c r="R33" s="2">
        <v>0.19799222033761052</v>
      </c>
      <c r="S33" s="2">
        <v>-0.55330812485479897</v>
      </c>
      <c r="T33" s="2">
        <v>1.0670387336831761</v>
      </c>
      <c r="U33" s="23">
        <v>6.6122033291493771</v>
      </c>
      <c r="V33" s="23"/>
      <c r="W33" s="64"/>
    </row>
    <row r="34" spans="1:23" x14ac:dyDescent="0.25">
      <c r="A34" s="95"/>
      <c r="B34" s="100"/>
      <c r="C34" s="19" t="s">
        <v>30</v>
      </c>
      <c r="D34" s="2">
        <v>0.53668265224058598</v>
      </c>
      <c r="E34" s="2">
        <v>7.4500820600450393E-2</v>
      </c>
      <c r="F34" s="2">
        <v>-1.4310860588585923</v>
      </c>
      <c r="G34" s="2">
        <v>-3.5052475395950353E-3</v>
      </c>
      <c r="H34" s="2">
        <v>0.60192264076766633</v>
      </c>
      <c r="I34" s="2">
        <v>3.1262945314212795E-2</v>
      </c>
      <c r="J34" s="2">
        <v>0.75760418671619001</v>
      </c>
      <c r="K34" s="2">
        <v>0.90210056433706209</v>
      </c>
      <c r="L34" s="2">
        <v>0.40610377877208931</v>
      </c>
      <c r="M34" s="2">
        <v>0.10576938266104854</v>
      </c>
      <c r="N34" s="2">
        <v>0.22474096243941816</v>
      </c>
      <c r="O34" s="2">
        <v>0.70482916411990637</v>
      </c>
      <c r="P34" s="2">
        <v>0.69539692608152515</v>
      </c>
      <c r="Q34" s="2">
        <v>0.44277026825661397</v>
      </c>
      <c r="R34" s="2">
        <v>0.21949792006949576</v>
      </c>
      <c r="S34" s="2">
        <v>-0.26797798737230594</v>
      </c>
      <c r="T34" s="2">
        <v>0.8044627042044622</v>
      </c>
      <c r="U34" s="23">
        <v>4.8050756228102331</v>
      </c>
      <c r="V34" s="23"/>
      <c r="W34" s="64"/>
    </row>
    <row r="35" spans="1:23" x14ac:dyDescent="0.25">
      <c r="A35" s="95"/>
      <c r="B35" s="101"/>
      <c r="C35" s="52" t="s">
        <v>31</v>
      </c>
      <c r="D35" s="20">
        <v>0.37622500705418715</v>
      </c>
      <c r="E35" s="20">
        <v>7.1012688102459892E-2</v>
      </c>
      <c r="F35" s="20">
        <v>-3.5608509624707603</v>
      </c>
      <c r="G35" s="20">
        <v>0.19827236073530707</v>
      </c>
      <c r="H35" s="20">
        <v>0.45970822173771353</v>
      </c>
      <c r="I35" s="20">
        <v>3.9812414752866364E-2</v>
      </c>
      <c r="J35" s="20">
        <v>0.81313583094934683</v>
      </c>
      <c r="K35" s="20">
        <v>0.73459397199045884</v>
      </c>
      <c r="L35" s="20">
        <v>0.36738273403025884</v>
      </c>
      <c r="M35" s="20">
        <v>0.12469284411745167</v>
      </c>
      <c r="N35" s="20">
        <v>0.12570528084202073</v>
      </c>
      <c r="O35" s="20">
        <v>-3.6734634375028836</v>
      </c>
      <c r="P35" s="20">
        <v>1.8058716987558203</v>
      </c>
      <c r="Q35" s="20">
        <v>0.28153342026507439</v>
      </c>
      <c r="R35" s="20">
        <v>0.2107423277615191</v>
      </c>
      <c r="S35" s="20">
        <v>-0.34077335805128434</v>
      </c>
      <c r="T35" s="20">
        <v>-1.9395545916076939</v>
      </c>
      <c r="U35" s="24">
        <v>-3.9059535485381378</v>
      </c>
      <c r="V35" s="24"/>
      <c r="W35" s="64"/>
    </row>
    <row r="36" spans="1:23" x14ac:dyDescent="0.25">
      <c r="A36" s="95"/>
      <c r="B36" s="99">
        <v>2010</v>
      </c>
      <c r="C36" s="61" t="s">
        <v>28</v>
      </c>
      <c r="D36" s="21">
        <v>1.9704277681508529</v>
      </c>
      <c r="E36" s="21">
        <v>1.5384656590395654E-2</v>
      </c>
      <c r="F36" s="21">
        <v>0.39839151173934334</v>
      </c>
      <c r="G36" s="21">
        <v>0.21227233683216482</v>
      </c>
      <c r="H36" s="21">
        <v>0.53225374528121971</v>
      </c>
      <c r="I36" s="21">
        <v>0.27187060478405745</v>
      </c>
      <c r="J36" s="21">
        <v>2.0166110130184025</v>
      </c>
      <c r="K36" s="21">
        <v>1.1193854019982947</v>
      </c>
      <c r="L36" s="21">
        <v>0.18546211916646876</v>
      </c>
      <c r="M36" s="21">
        <v>0.35118731481377513</v>
      </c>
      <c r="N36" s="21">
        <v>1.814807124092134E-2</v>
      </c>
      <c r="O36" s="21">
        <v>-0.44613484832680744</v>
      </c>
      <c r="P36" s="21">
        <v>1.3510898311393189</v>
      </c>
      <c r="Q36" s="21">
        <v>0.71857252151279494</v>
      </c>
      <c r="R36" s="21">
        <v>0.44405482318969169</v>
      </c>
      <c r="S36" s="21">
        <v>-1.5006512205615101</v>
      </c>
      <c r="T36" s="21">
        <v>0.30735729812674528</v>
      </c>
      <c r="U36" s="22">
        <v>7.9656829486961298</v>
      </c>
      <c r="V36" s="22"/>
      <c r="W36" s="64"/>
    </row>
    <row r="37" spans="1:23" x14ac:dyDescent="0.25">
      <c r="A37" s="95"/>
      <c r="B37" s="100"/>
      <c r="C37" s="19" t="s">
        <v>29</v>
      </c>
      <c r="D37" s="2">
        <v>2.5867935589063236</v>
      </c>
      <c r="E37" s="2">
        <v>-9.7491788001630251E-3</v>
      </c>
      <c r="F37" s="2">
        <v>0.45388613029885394</v>
      </c>
      <c r="G37" s="2">
        <v>-0.26083335018607329</v>
      </c>
      <c r="H37" s="2">
        <v>0.56345267739639227</v>
      </c>
      <c r="I37" s="2">
        <v>-2.5572093284115388E-2</v>
      </c>
      <c r="J37" s="2">
        <v>1.8239054905881764</v>
      </c>
      <c r="K37" s="2">
        <v>1.1580746494744458</v>
      </c>
      <c r="L37" s="2">
        <v>0.34237381522535343</v>
      </c>
      <c r="M37" s="2">
        <v>0.45417386717459435</v>
      </c>
      <c r="N37" s="2">
        <v>-4.5706862795414464E-2</v>
      </c>
      <c r="O37" s="2">
        <v>5.2106600196244274E-2</v>
      </c>
      <c r="P37" s="2">
        <v>1.6582612213664309</v>
      </c>
      <c r="Q37" s="2">
        <v>0.26995785936642658</v>
      </c>
      <c r="R37" s="2">
        <v>0.60297126339446849</v>
      </c>
      <c r="S37" s="2">
        <v>0.3269275151833575</v>
      </c>
      <c r="T37" s="2">
        <v>0.4240850948643945</v>
      </c>
      <c r="U37" s="23">
        <v>10.375108258369696</v>
      </c>
      <c r="V37" s="23"/>
      <c r="W37" s="64"/>
    </row>
    <row r="38" spans="1:23" x14ac:dyDescent="0.25">
      <c r="A38" s="95"/>
      <c r="B38" s="100"/>
      <c r="C38" s="19" t="s">
        <v>30</v>
      </c>
      <c r="D38" s="2">
        <v>1.2764196851554499</v>
      </c>
      <c r="E38" s="2">
        <v>1.5497419567993922E-3</v>
      </c>
      <c r="F38" s="2">
        <v>-0.53802114452786121</v>
      </c>
      <c r="G38" s="2">
        <v>-0.10378569036375096</v>
      </c>
      <c r="H38" s="2">
        <v>0.56184614148509548</v>
      </c>
      <c r="I38" s="2">
        <v>5.9180109607520112E-2</v>
      </c>
      <c r="J38" s="2">
        <v>1.7870621045634349</v>
      </c>
      <c r="K38" s="2">
        <v>1.2625138751872877</v>
      </c>
      <c r="L38" s="2">
        <v>0.37740213364696235</v>
      </c>
      <c r="M38" s="2">
        <v>0.55377192585418544</v>
      </c>
      <c r="N38" s="2">
        <v>3.9999038451122571E-2</v>
      </c>
      <c r="O38" s="2">
        <v>-0.46419814029564677</v>
      </c>
      <c r="P38" s="2">
        <v>1.6116032826730911</v>
      </c>
      <c r="Q38" s="2">
        <v>0.12851046267739333</v>
      </c>
      <c r="R38" s="2">
        <v>0.66674330321987418</v>
      </c>
      <c r="S38" s="2">
        <v>0.76348971500208807</v>
      </c>
      <c r="T38" s="2">
        <v>0.43886125042372631</v>
      </c>
      <c r="U38" s="23">
        <v>8.4229477947167712</v>
      </c>
      <c r="V38" s="23"/>
      <c r="W38" s="64"/>
    </row>
    <row r="39" spans="1:23" x14ac:dyDescent="0.25">
      <c r="A39" s="95"/>
      <c r="B39" s="101"/>
      <c r="C39" s="52" t="s">
        <v>31</v>
      </c>
      <c r="D39" s="20">
        <v>0.61857048114576529</v>
      </c>
      <c r="E39" s="20">
        <v>4.7595654802049511E-2</v>
      </c>
      <c r="F39" s="20">
        <v>-3.5037816043665244</v>
      </c>
      <c r="G39" s="20">
        <v>-1.6255865009102579</v>
      </c>
      <c r="H39" s="20">
        <v>0.49807537461972379</v>
      </c>
      <c r="I39" s="20">
        <v>0.10544629339151342</v>
      </c>
      <c r="J39" s="20">
        <v>1.1638033259666569</v>
      </c>
      <c r="K39" s="20">
        <v>1.2968983579348694</v>
      </c>
      <c r="L39" s="20">
        <v>0.34662666374812767</v>
      </c>
      <c r="M39" s="20">
        <v>0.47918105907169628</v>
      </c>
      <c r="N39" s="20">
        <v>0.30856337670594453</v>
      </c>
      <c r="O39" s="20">
        <v>0.85718209238527066</v>
      </c>
      <c r="P39" s="20">
        <v>-4.0007360798333611</v>
      </c>
      <c r="Q39" s="20">
        <v>5.2565356032332554E-2</v>
      </c>
      <c r="R39" s="20">
        <v>0.55299446532175711</v>
      </c>
      <c r="S39" s="20">
        <v>0.97563951752864186</v>
      </c>
      <c r="T39" s="20">
        <v>-3.1975916293813285</v>
      </c>
      <c r="U39" s="24">
        <v>-5.0245537958371225</v>
      </c>
      <c r="V39" s="24"/>
      <c r="W39" s="64"/>
    </row>
    <row r="40" spans="1:23" x14ac:dyDescent="0.25">
      <c r="A40" s="95"/>
      <c r="B40" s="99">
        <v>2011</v>
      </c>
      <c r="C40" s="61" t="s">
        <v>28</v>
      </c>
      <c r="D40" s="21">
        <v>0.46397766145358377</v>
      </c>
      <c r="E40" s="21">
        <v>4.4484324766445496E-2</v>
      </c>
      <c r="F40" s="21">
        <v>-0.74128757150012314</v>
      </c>
      <c r="G40" s="21">
        <v>-2.2978247109494327E-2</v>
      </c>
      <c r="H40" s="21">
        <v>0.19553881487507796</v>
      </c>
      <c r="I40" s="21">
        <v>3.5476534655232352E-2</v>
      </c>
      <c r="J40" s="21">
        <v>0.33208762044678369</v>
      </c>
      <c r="K40" s="21">
        <v>0.48421007866876503</v>
      </c>
      <c r="L40" s="21">
        <v>4.5638969468202999E-2</v>
      </c>
      <c r="M40" s="21">
        <v>0.14593068204724005</v>
      </c>
      <c r="N40" s="21">
        <v>0.28535158393932852</v>
      </c>
      <c r="O40" s="21">
        <v>0.1211849640776782</v>
      </c>
      <c r="P40" s="21">
        <v>6.4189660225744252E-2</v>
      </c>
      <c r="Q40" s="21">
        <v>6.059577193993284E-2</v>
      </c>
      <c r="R40" s="21">
        <v>0.19900006066035075</v>
      </c>
      <c r="S40" s="21">
        <v>0.18412275300913139</v>
      </c>
      <c r="T40" s="21">
        <v>-5.0822512011264127E-3</v>
      </c>
      <c r="U40" s="22">
        <v>1.8924414104227538</v>
      </c>
      <c r="V40" s="22"/>
      <c r="W40" s="64"/>
    </row>
    <row r="41" spans="1:23" x14ac:dyDescent="0.25">
      <c r="A41" s="95"/>
      <c r="B41" s="100"/>
      <c r="C41" s="19" t="s">
        <v>29</v>
      </c>
      <c r="D41" s="2">
        <v>1.1382718452708869</v>
      </c>
      <c r="E41" s="2">
        <v>0.13073002838509112</v>
      </c>
      <c r="F41" s="2">
        <v>-4.2921890306856803</v>
      </c>
      <c r="G41" s="2">
        <v>0.13148292376719509</v>
      </c>
      <c r="H41" s="2">
        <v>0.48533115847947655</v>
      </c>
      <c r="I41" s="2">
        <v>0.11013631580671575</v>
      </c>
      <c r="J41" s="2">
        <v>0.65721824876456103</v>
      </c>
      <c r="K41" s="2">
        <v>1.1722406150386477</v>
      </c>
      <c r="L41" s="2">
        <v>0.21607597398432885</v>
      </c>
      <c r="M41" s="2">
        <v>0.38403711167349597</v>
      </c>
      <c r="N41" s="2">
        <v>1.0257785640050661</v>
      </c>
      <c r="O41" s="2">
        <v>-1.6865130605165173</v>
      </c>
      <c r="P41" s="2">
        <v>-2.8059229681609512</v>
      </c>
      <c r="Q41" s="2">
        <v>9.5737283072377194E-2</v>
      </c>
      <c r="R41" s="2">
        <v>0.47908753804753329</v>
      </c>
      <c r="S41" s="2">
        <v>0.33485035664889423</v>
      </c>
      <c r="T41" s="2">
        <v>0.10862917164781338</v>
      </c>
      <c r="U41" s="23">
        <v>-2.3150179247710652</v>
      </c>
      <c r="V41" s="23"/>
      <c r="W41" s="64"/>
    </row>
    <row r="42" spans="1:23" x14ac:dyDescent="0.25">
      <c r="A42" s="95"/>
      <c r="B42" s="100"/>
      <c r="C42" s="19" t="s">
        <v>30</v>
      </c>
      <c r="D42" s="2">
        <v>0.40772239328352083</v>
      </c>
      <c r="E42" s="2">
        <v>0.10736994956535864</v>
      </c>
      <c r="F42" s="2">
        <v>-0.56999994194849224</v>
      </c>
      <c r="G42" s="2">
        <v>-6.1693453356948008E-2</v>
      </c>
      <c r="H42" s="2">
        <v>0.37116920154943445</v>
      </c>
      <c r="I42" s="2">
        <v>1.1640908093400921E-2</v>
      </c>
      <c r="J42" s="2">
        <v>0.74568677982652265</v>
      </c>
      <c r="K42" s="2">
        <v>0.80982252025406909</v>
      </c>
      <c r="L42" s="2">
        <v>0.14959985465486075</v>
      </c>
      <c r="M42" s="2">
        <v>0.39313317955022814</v>
      </c>
      <c r="N42" s="2">
        <v>0.86745928864861466</v>
      </c>
      <c r="O42" s="2">
        <v>0.28795308997591024</v>
      </c>
      <c r="P42" s="2">
        <v>-9.3086393783178012E-2</v>
      </c>
      <c r="Q42" s="2">
        <v>0.13166492367930208</v>
      </c>
      <c r="R42" s="2">
        <v>0.32092122808784262</v>
      </c>
      <c r="S42" s="2">
        <v>-0.46321641466126678</v>
      </c>
      <c r="T42" s="2">
        <v>-1.2740340394201554E-2</v>
      </c>
      <c r="U42" s="23">
        <v>3.4034067730249782</v>
      </c>
      <c r="V42" s="23"/>
      <c r="W42" s="64"/>
    </row>
    <row r="43" spans="1:23" x14ac:dyDescent="0.25">
      <c r="A43" s="95"/>
      <c r="B43" s="101"/>
      <c r="C43" s="52" t="s">
        <v>31</v>
      </c>
      <c r="D43" s="20">
        <v>0.52692501743286835</v>
      </c>
      <c r="E43" s="20">
        <v>0.38613139505099792</v>
      </c>
      <c r="F43" s="20">
        <v>2.7930730947740372</v>
      </c>
      <c r="G43" s="20">
        <v>0.14475836634750813</v>
      </c>
      <c r="H43" s="20">
        <v>0.84291881432172377</v>
      </c>
      <c r="I43" s="20">
        <v>-0.13033498412257782</v>
      </c>
      <c r="J43" s="20">
        <v>2.3585460219338383</v>
      </c>
      <c r="K43" s="20">
        <v>1.3928368311649961</v>
      </c>
      <c r="L43" s="20">
        <v>9.8999067988643594E-2</v>
      </c>
      <c r="M43" s="20">
        <v>1.038499425003949</v>
      </c>
      <c r="N43" s="20">
        <v>1.7925436795555127</v>
      </c>
      <c r="O43" s="20">
        <v>-0.38663004205848217</v>
      </c>
      <c r="P43" s="20">
        <v>2.4400626659183957</v>
      </c>
      <c r="Q43" s="20">
        <v>0.60498883091660327</v>
      </c>
      <c r="R43" s="20">
        <v>0.50027938868158106</v>
      </c>
      <c r="S43" s="20">
        <v>-1.191793911093739</v>
      </c>
      <c r="T43" s="20">
        <v>-1.0870193485314008</v>
      </c>
      <c r="U43" s="24">
        <v>12.124784313284453</v>
      </c>
      <c r="V43" s="24"/>
      <c r="W43" s="64"/>
    </row>
    <row r="44" spans="1:23" x14ac:dyDescent="0.25">
      <c r="A44" s="95"/>
      <c r="B44" s="99">
        <v>2012</v>
      </c>
      <c r="C44" s="61" t="s">
        <v>28</v>
      </c>
      <c r="D44" s="21">
        <v>0.74810157719212744</v>
      </c>
      <c r="E44" s="21">
        <v>0.14618335405254218</v>
      </c>
      <c r="F44" s="21">
        <v>1.5813588244435641</v>
      </c>
      <c r="G44" s="21">
        <v>2.2159355557132967E-2</v>
      </c>
      <c r="H44" s="21">
        <v>0.32629017375495845</v>
      </c>
      <c r="I44" s="21">
        <v>6.6542460011883242E-2</v>
      </c>
      <c r="J44" s="21">
        <v>2.3191876371073068</v>
      </c>
      <c r="K44" s="21">
        <v>1.029537921606104</v>
      </c>
      <c r="L44" s="21">
        <v>-5.3533848055296429E-2</v>
      </c>
      <c r="M44" s="21">
        <v>0.6221195458276878</v>
      </c>
      <c r="N44" s="21">
        <v>0.46767624517318335</v>
      </c>
      <c r="O44" s="21">
        <v>-0.20828931139986978</v>
      </c>
      <c r="P44" s="21">
        <v>-0.14089670037579519</v>
      </c>
      <c r="Q44" s="21">
        <v>0.66080474086823549</v>
      </c>
      <c r="R44" s="21">
        <v>0.38544728772882436</v>
      </c>
      <c r="S44" s="21">
        <v>-0.12663739938748095</v>
      </c>
      <c r="T44" s="21">
        <v>-4.7541317480863432E-2</v>
      </c>
      <c r="U44" s="22">
        <v>7.798510546624243</v>
      </c>
      <c r="V44" s="22"/>
      <c r="W44" s="64"/>
    </row>
    <row r="45" spans="1:23" x14ac:dyDescent="0.25">
      <c r="A45" s="95"/>
      <c r="B45" s="100"/>
      <c r="C45" s="19" t="s">
        <v>29</v>
      </c>
      <c r="D45" s="2">
        <v>1.4758630651008537</v>
      </c>
      <c r="E45" s="2">
        <v>0.15176692247757045</v>
      </c>
      <c r="F45" s="2">
        <v>3.5027641149064337</v>
      </c>
      <c r="G45" s="2">
        <v>-0.15948334899120348</v>
      </c>
      <c r="H45" s="2">
        <v>0.55889026872448766</v>
      </c>
      <c r="I45" s="2">
        <v>0.13425853762677642</v>
      </c>
      <c r="J45" s="2">
        <v>3.8317300875729972</v>
      </c>
      <c r="K45" s="2">
        <v>1.3644251149519679</v>
      </c>
      <c r="L45" s="2">
        <v>-0.32096996175716547</v>
      </c>
      <c r="M45" s="2">
        <v>0.9398456503932584</v>
      </c>
      <c r="N45" s="2">
        <v>0.1850815148600167</v>
      </c>
      <c r="O45" s="2">
        <v>0.42652527807312557</v>
      </c>
      <c r="P45" s="2">
        <v>-0.36530770571678378</v>
      </c>
      <c r="Q45" s="2">
        <v>1.1447002616195669</v>
      </c>
      <c r="R45" s="2">
        <v>0.55997057830941699</v>
      </c>
      <c r="S45" s="2">
        <v>-2.03762923449286E-2</v>
      </c>
      <c r="T45" s="2">
        <v>-6.4279653237482373E-2</v>
      </c>
      <c r="U45" s="23">
        <v>13.345404432568905</v>
      </c>
      <c r="V45" s="23"/>
      <c r="W45" s="64"/>
    </row>
    <row r="46" spans="1:23" x14ac:dyDescent="0.25">
      <c r="A46" s="95"/>
      <c r="B46" s="100"/>
      <c r="C46" s="19" t="s">
        <v>30</v>
      </c>
      <c r="D46" s="2">
        <v>0.39959375527972635</v>
      </c>
      <c r="E46" s="2">
        <v>5.5196089582459078E-2</v>
      </c>
      <c r="F46" s="2">
        <v>0.47941525343423347</v>
      </c>
      <c r="G46" s="2">
        <v>5.3658021124036323E-2</v>
      </c>
      <c r="H46" s="2">
        <v>0.30330322462690024</v>
      </c>
      <c r="I46" s="2">
        <v>6.4605999336718428E-2</v>
      </c>
      <c r="J46" s="2">
        <v>2.2748224468040474</v>
      </c>
      <c r="K46" s="2">
        <v>0.56786909723423395</v>
      </c>
      <c r="L46" s="2">
        <v>-0.19151017498422027</v>
      </c>
      <c r="M46" s="2">
        <v>0.3661061167794426</v>
      </c>
      <c r="N46" s="2">
        <v>-5.2984515127084811E-2</v>
      </c>
      <c r="O46" s="2">
        <v>0.22674742479854068</v>
      </c>
      <c r="P46" s="2">
        <v>0.79679670117493828</v>
      </c>
      <c r="Q46" s="2">
        <v>0.55415140615667835</v>
      </c>
      <c r="R46" s="2">
        <v>0.21310414406569458</v>
      </c>
      <c r="S46" s="2">
        <v>-0.16480474570424739</v>
      </c>
      <c r="T46" s="2">
        <v>1.0835307810591258E-2</v>
      </c>
      <c r="U46" s="23">
        <v>5.9569055523926897</v>
      </c>
      <c r="V46" s="23"/>
      <c r="W46" s="64"/>
    </row>
    <row r="47" spans="1:23" x14ac:dyDescent="0.25">
      <c r="A47" s="95"/>
      <c r="B47" s="101"/>
      <c r="C47" s="52" t="s">
        <v>31</v>
      </c>
      <c r="D47" s="20">
        <v>0.39326909296660684</v>
      </c>
      <c r="E47" s="20">
        <v>0.10733535263368583</v>
      </c>
      <c r="F47" s="20">
        <v>0.78413098409221504</v>
      </c>
      <c r="G47" s="20">
        <v>-4.3218770746854179E-2</v>
      </c>
      <c r="H47" s="20">
        <v>0.54543725218091743</v>
      </c>
      <c r="I47" s="20">
        <v>9.4353177059967305E-2</v>
      </c>
      <c r="J47" s="20">
        <v>3.242910762500995</v>
      </c>
      <c r="K47" s="20">
        <v>0.71749818993825454</v>
      </c>
      <c r="L47" s="20">
        <v>-0.12375020357065972</v>
      </c>
      <c r="M47" s="20">
        <v>4.6076689066650148E-2</v>
      </c>
      <c r="N47" s="20">
        <v>-7.7323248248803891E-2</v>
      </c>
      <c r="O47" s="20">
        <v>-0.39753542815694509</v>
      </c>
      <c r="P47" s="20">
        <v>1.0441744977271386</v>
      </c>
      <c r="Q47" s="20">
        <v>0.71439346810400217</v>
      </c>
      <c r="R47" s="20">
        <v>0.19797434346117546</v>
      </c>
      <c r="S47" s="20">
        <v>0.13896130650567121</v>
      </c>
      <c r="T47" s="20">
        <v>-0.27604020832075593</v>
      </c>
      <c r="U47" s="24">
        <v>7.1086472571932608</v>
      </c>
      <c r="V47" s="24"/>
      <c r="W47" s="64"/>
    </row>
    <row r="48" spans="1:23" x14ac:dyDescent="0.25">
      <c r="A48" s="95"/>
      <c r="B48" s="99">
        <v>2013</v>
      </c>
      <c r="C48" s="61" t="s">
        <v>28</v>
      </c>
      <c r="D48" s="21">
        <v>1.3331958237852533</v>
      </c>
      <c r="E48" s="21">
        <v>7.9730216953637273E-2</v>
      </c>
      <c r="F48" s="21">
        <v>-0.55332074075335125</v>
      </c>
      <c r="G48" s="21">
        <v>-8.2778155248102274E-3</v>
      </c>
      <c r="H48" s="21">
        <v>0.70759479103599565</v>
      </c>
      <c r="I48" s="21">
        <v>0.2770010053431351</v>
      </c>
      <c r="J48" s="21">
        <v>4.4034801749701007</v>
      </c>
      <c r="K48" s="21">
        <v>0.83412248256456611</v>
      </c>
      <c r="L48" s="21">
        <v>0.12442345737891121</v>
      </c>
      <c r="M48" s="21">
        <v>1.2723738201805166</v>
      </c>
      <c r="N48" s="21">
        <v>0.27598461039116273</v>
      </c>
      <c r="O48" s="21">
        <v>-0.29133557335014215</v>
      </c>
      <c r="P48" s="21">
        <v>2.311067013403048</v>
      </c>
      <c r="Q48" s="21">
        <v>0.60417082701227653</v>
      </c>
      <c r="R48" s="21">
        <v>0.14020377619415816</v>
      </c>
      <c r="S48" s="21">
        <v>0.74471702751361157</v>
      </c>
      <c r="T48" s="21">
        <v>3.8943279950742135E-2</v>
      </c>
      <c r="U48" s="22">
        <v>12.294074177048811</v>
      </c>
      <c r="V48" s="22"/>
      <c r="W48" s="64"/>
    </row>
    <row r="49" spans="1:23" x14ac:dyDescent="0.25">
      <c r="A49" s="95"/>
      <c r="B49" s="100"/>
      <c r="C49" s="19" t="s">
        <v>29</v>
      </c>
      <c r="D49" s="2">
        <v>0.93189773010348198</v>
      </c>
      <c r="E49" s="2">
        <v>2.8314819595117252E-2</v>
      </c>
      <c r="F49" s="2">
        <v>0.47018328086291605</v>
      </c>
      <c r="G49" s="2">
        <v>2.2368146351088351E-2</v>
      </c>
      <c r="H49" s="2">
        <v>0.46588207474302518</v>
      </c>
      <c r="I49" s="2">
        <v>0.26610507651901605</v>
      </c>
      <c r="J49" s="2">
        <v>2.2422770919010282</v>
      </c>
      <c r="K49" s="2">
        <v>0.55650007791191436</v>
      </c>
      <c r="L49" s="2">
        <v>0.35159298343579998</v>
      </c>
      <c r="M49" s="2">
        <v>0.77894663489883353</v>
      </c>
      <c r="N49" s="2">
        <v>0.3623561321021494</v>
      </c>
      <c r="O49" s="2">
        <v>-4.0748967570322078E-2</v>
      </c>
      <c r="P49" s="2">
        <v>1.0750755928595173</v>
      </c>
      <c r="Q49" s="2">
        <v>0.18568750582932753</v>
      </c>
      <c r="R49" s="2">
        <v>0.11107178205202703</v>
      </c>
      <c r="S49" s="2">
        <v>0.11020210287459174</v>
      </c>
      <c r="T49" s="2">
        <v>-0.14797655379401353</v>
      </c>
      <c r="U49" s="23">
        <v>7.7697355106754973</v>
      </c>
      <c r="V49" s="23"/>
      <c r="W49" s="64"/>
    </row>
    <row r="50" spans="1:23" x14ac:dyDescent="0.25">
      <c r="A50" s="95"/>
      <c r="B50" s="100"/>
      <c r="C50" s="19" t="s">
        <v>30</v>
      </c>
      <c r="D50" s="2">
        <v>0.3260811172632278</v>
      </c>
      <c r="E50" s="2">
        <v>1.6527940235864933E-2</v>
      </c>
      <c r="F50" s="2">
        <v>0.5307702665073416</v>
      </c>
      <c r="G50" s="2">
        <v>4.2823607248958263E-2</v>
      </c>
      <c r="H50" s="2">
        <v>0.42976362862106965</v>
      </c>
      <c r="I50" s="2">
        <v>0.13057934127629378</v>
      </c>
      <c r="J50" s="2">
        <v>2.2243991328660382</v>
      </c>
      <c r="K50" s="2">
        <v>0.75199410815089662</v>
      </c>
      <c r="L50" s="2">
        <v>0.57640282112803687</v>
      </c>
      <c r="M50" s="2">
        <v>6.0779998558347689E-2</v>
      </c>
      <c r="N50" s="2">
        <v>0.47640496462762405</v>
      </c>
      <c r="O50" s="2">
        <v>-0.25194973075586458</v>
      </c>
      <c r="P50" s="2">
        <v>7.9686096732371949E-3</v>
      </c>
      <c r="Q50" s="2">
        <v>1.83511253522314E-2</v>
      </c>
      <c r="R50" s="2">
        <v>0.23357496079504597</v>
      </c>
      <c r="S50" s="2">
        <v>0.49694546320108995</v>
      </c>
      <c r="T50" s="2">
        <v>-14.772189679917568</v>
      </c>
      <c r="U50" s="23">
        <v>-8.7007723251681295</v>
      </c>
      <c r="V50" s="23"/>
      <c r="W50" s="64"/>
    </row>
    <row r="51" spans="1:23" x14ac:dyDescent="0.25">
      <c r="A51" s="95"/>
      <c r="B51" s="101"/>
      <c r="C51" s="52" t="s">
        <v>31</v>
      </c>
      <c r="D51" s="20">
        <v>2.9394460526108501E-2</v>
      </c>
      <c r="E51" s="20">
        <v>1.3875151115955898E-2</v>
      </c>
      <c r="F51" s="20">
        <v>-1.3594522349670153</v>
      </c>
      <c r="G51" s="20">
        <v>3.7925596941509238E-2</v>
      </c>
      <c r="H51" s="20">
        <v>0.3440114325363709</v>
      </c>
      <c r="I51" s="20">
        <v>0.33598599757452435</v>
      </c>
      <c r="J51" s="20">
        <v>1.7815241207325367</v>
      </c>
      <c r="K51" s="20">
        <v>1.1084414287342952</v>
      </c>
      <c r="L51" s="20">
        <v>0.67202507425488966</v>
      </c>
      <c r="M51" s="20">
        <v>-0.74993516021913686</v>
      </c>
      <c r="N51" s="20">
        <v>0.55708492789288466</v>
      </c>
      <c r="O51" s="20">
        <v>0.24183436678110387</v>
      </c>
      <c r="P51" s="20">
        <v>0.3675553043510521</v>
      </c>
      <c r="Q51" s="20">
        <v>-0.14165957459185433</v>
      </c>
      <c r="R51" s="20">
        <v>0.44386077618826236</v>
      </c>
      <c r="S51" s="20">
        <v>1.1056268881153417</v>
      </c>
      <c r="T51" s="20">
        <v>3.4321452681055402</v>
      </c>
      <c r="U51" s="24">
        <v>8.2202438240723694</v>
      </c>
      <c r="V51" s="24"/>
      <c r="W51" s="64"/>
    </row>
    <row r="52" spans="1:23" x14ac:dyDescent="0.25">
      <c r="A52" s="95"/>
      <c r="B52" s="99">
        <v>2014</v>
      </c>
      <c r="C52" s="61" t="s">
        <v>28</v>
      </c>
      <c r="D52" s="21">
        <v>0.76104956670541224</v>
      </c>
      <c r="E52" s="21">
        <v>0.43107909093416596</v>
      </c>
      <c r="F52" s="21">
        <v>-3.4852859665683882</v>
      </c>
      <c r="G52" s="21">
        <v>-2.0179411360624488</v>
      </c>
      <c r="H52" s="21">
        <v>-2.616798389724361</v>
      </c>
      <c r="I52" s="21">
        <v>0.12700164760507954</v>
      </c>
      <c r="J52" s="21">
        <v>0.19843298915816865</v>
      </c>
      <c r="K52" s="21">
        <v>2.0178966161562326</v>
      </c>
      <c r="L52" s="21">
        <v>0.57508346759880014</v>
      </c>
      <c r="M52" s="21">
        <v>0.59744359681375026</v>
      </c>
      <c r="N52" s="21">
        <v>0.31084234298783481</v>
      </c>
      <c r="O52" s="21">
        <v>-2.0167363154861615</v>
      </c>
      <c r="P52" s="21">
        <v>1.022936006205317</v>
      </c>
      <c r="Q52" s="21">
        <v>-2.0814870431301649</v>
      </c>
      <c r="R52" s="21">
        <v>1.0138094167615306</v>
      </c>
      <c r="S52" s="21">
        <v>0.39650055215670149</v>
      </c>
      <c r="T52" s="21">
        <v>-3.6220913320209602</v>
      </c>
      <c r="U52" s="22">
        <v>-8.3882648899094931</v>
      </c>
      <c r="V52" s="22"/>
      <c r="W52" s="64"/>
    </row>
    <row r="53" spans="1:23" x14ac:dyDescent="0.25">
      <c r="A53" s="95"/>
      <c r="B53" s="100"/>
      <c r="C53" s="19" t="s">
        <v>29</v>
      </c>
      <c r="D53" s="2">
        <v>1.0556945039009527</v>
      </c>
      <c r="E53" s="2">
        <v>0.2270015103379755</v>
      </c>
      <c r="F53" s="2">
        <v>-1.9943538738404523</v>
      </c>
      <c r="G53" s="2">
        <v>2.3699242895321066E-2</v>
      </c>
      <c r="H53" s="2">
        <v>-1.6394756475569627</v>
      </c>
      <c r="I53" s="2">
        <v>-1.0666992883311246</v>
      </c>
      <c r="J53" s="2">
        <v>-4.0527388198726451</v>
      </c>
      <c r="K53" s="2">
        <v>2.3795309320056228</v>
      </c>
      <c r="L53" s="2">
        <v>1.3957389110574008</v>
      </c>
      <c r="M53" s="2">
        <v>0.696056939171116</v>
      </c>
      <c r="N53" s="2">
        <v>0.14614661725044623</v>
      </c>
      <c r="O53" s="2">
        <v>-1.1480008903017109</v>
      </c>
      <c r="P53" s="2">
        <v>0.92712694964059761</v>
      </c>
      <c r="Q53" s="2">
        <v>-1.0965872813439765</v>
      </c>
      <c r="R53" s="2">
        <v>0.67305832403729648</v>
      </c>
      <c r="S53" s="2">
        <v>1.0476309898852816</v>
      </c>
      <c r="T53" s="2">
        <v>-2.5023070976033965</v>
      </c>
      <c r="U53" s="23">
        <v>-4.9284779786682584</v>
      </c>
      <c r="V53" s="23"/>
      <c r="W53" s="64"/>
    </row>
    <row r="54" spans="1:23" x14ac:dyDescent="0.25">
      <c r="A54" s="95"/>
      <c r="B54" s="100"/>
      <c r="C54" s="19" t="s">
        <v>30</v>
      </c>
      <c r="D54" s="2">
        <v>1.309822509774434</v>
      </c>
      <c r="E54" s="2">
        <v>0.69515114470229844</v>
      </c>
      <c r="F54" s="2">
        <v>0.11988758941859874</v>
      </c>
      <c r="G54" s="2">
        <v>9.9145259994500204E-2</v>
      </c>
      <c r="H54" s="2">
        <v>-1.257373441372448</v>
      </c>
      <c r="I54" s="2">
        <v>0.13369218868920549</v>
      </c>
      <c r="J54" s="2">
        <v>3.7575391709311803</v>
      </c>
      <c r="K54" s="2">
        <v>8.2409532931913905</v>
      </c>
      <c r="L54" s="2">
        <v>-2.0746939899006844</v>
      </c>
      <c r="M54" s="2">
        <v>1.248500954484973</v>
      </c>
      <c r="N54" s="2">
        <v>0.64602893490955826</v>
      </c>
      <c r="O54" s="2">
        <v>-2.1399000202668756</v>
      </c>
      <c r="P54" s="2">
        <v>2.6261732942017995</v>
      </c>
      <c r="Q54" s="2">
        <v>-0.42471387290166845</v>
      </c>
      <c r="R54" s="2">
        <v>1.2870935146254006</v>
      </c>
      <c r="S54" s="2">
        <v>2.1047726721954794</v>
      </c>
      <c r="T54" s="2">
        <v>6.1906222357646987</v>
      </c>
      <c r="U54" s="23">
        <v>22.562701438441842</v>
      </c>
      <c r="V54" s="23"/>
      <c r="W54" s="64"/>
    </row>
    <row r="55" spans="1:23" x14ac:dyDescent="0.25">
      <c r="A55" s="95"/>
      <c r="B55" s="101"/>
      <c r="C55" s="52" t="s">
        <v>31</v>
      </c>
      <c r="D55" s="20">
        <v>0.15102262198862335</v>
      </c>
      <c r="E55" s="20">
        <v>0.58235545314865311</v>
      </c>
      <c r="F55" s="20">
        <v>1.3471999879725383</v>
      </c>
      <c r="G55" s="20">
        <v>-3.0869452598111101E-2</v>
      </c>
      <c r="H55" s="20">
        <v>0.74708786094767143</v>
      </c>
      <c r="I55" s="20">
        <v>0.12321314163525958</v>
      </c>
      <c r="J55" s="20">
        <v>3.0775380299951167</v>
      </c>
      <c r="K55" s="20">
        <v>6.127134705277534</v>
      </c>
      <c r="L55" s="20">
        <v>-1.442781802264085</v>
      </c>
      <c r="M55" s="20">
        <v>0.60781818605219551</v>
      </c>
      <c r="N55" s="20">
        <v>0.12896288365808828</v>
      </c>
      <c r="O55" s="20">
        <v>0.37788542186553425</v>
      </c>
      <c r="P55" s="20">
        <v>1.3346879044811835</v>
      </c>
      <c r="Q55" s="20">
        <v>-0.1880692679701722</v>
      </c>
      <c r="R55" s="20">
        <v>0.75725848926053008</v>
      </c>
      <c r="S55" s="20">
        <v>-1.8598320200683955</v>
      </c>
      <c r="T55" s="20">
        <v>0.71123027474145417</v>
      </c>
      <c r="U55" s="24">
        <v>12.551842418123618</v>
      </c>
      <c r="V55" s="24"/>
      <c r="W55" s="64"/>
    </row>
    <row r="56" spans="1:23" x14ac:dyDescent="0.25">
      <c r="A56" s="95"/>
      <c r="B56" s="99">
        <v>2015</v>
      </c>
      <c r="C56" s="61" t="s">
        <v>28</v>
      </c>
      <c r="D56" s="21">
        <v>1.0931940724161262</v>
      </c>
      <c r="E56" s="21">
        <v>2.1103764367776794</v>
      </c>
      <c r="F56" s="21">
        <v>14.294330579757846</v>
      </c>
      <c r="G56" s="21">
        <v>0.17108250285417148</v>
      </c>
      <c r="H56" s="21">
        <v>6.830160027550531</v>
      </c>
      <c r="I56" s="21">
        <v>0.43688422034312224</v>
      </c>
      <c r="J56" s="21">
        <v>-23.921432888182082</v>
      </c>
      <c r="K56" s="21">
        <v>5.7171259451546756</v>
      </c>
      <c r="L56" s="21">
        <v>0.80448794519687916</v>
      </c>
      <c r="M56" s="21">
        <v>2.0237066339193697</v>
      </c>
      <c r="N56" s="21">
        <v>-0.53085655989160496</v>
      </c>
      <c r="O56" s="21">
        <v>3.636696308934805</v>
      </c>
      <c r="P56" s="21">
        <v>2.3017055725467417</v>
      </c>
      <c r="Q56" s="21">
        <v>-0.43791388311797586</v>
      </c>
      <c r="R56" s="21">
        <v>0.97301965064243345</v>
      </c>
      <c r="S56" s="21">
        <v>-1.6713737132516753</v>
      </c>
      <c r="T56" s="21">
        <v>-6.5428865957490805</v>
      </c>
      <c r="U56" s="22">
        <v>7.2883062559019605</v>
      </c>
      <c r="V56" s="22"/>
      <c r="W56" s="64"/>
    </row>
    <row r="57" spans="1:23" x14ac:dyDescent="0.25">
      <c r="A57" s="95"/>
      <c r="B57" s="100"/>
      <c r="C57" s="19" t="s">
        <v>29</v>
      </c>
      <c r="D57" s="2">
        <v>1.1051765709982635</v>
      </c>
      <c r="E57" s="2">
        <v>6.5104046264823898E-2</v>
      </c>
      <c r="F57" s="2">
        <v>5.9962426028317184</v>
      </c>
      <c r="G57" s="2">
        <v>9.1362926576840933E-2</v>
      </c>
      <c r="H57" s="2">
        <v>1.3221029468598609</v>
      </c>
      <c r="I57" s="2">
        <v>0.44032568108607834</v>
      </c>
      <c r="J57" s="2">
        <v>-0.85921065024522958</v>
      </c>
      <c r="K57" s="2">
        <v>-2.3225913956299634E-2</v>
      </c>
      <c r="L57" s="2">
        <v>0.78584712371581555</v>
      </c>
      <c r="M57" s="2">
        <v>0.68041400740843416</v>
      </c>
      <c r="N57" s="2">
        <v>8.2979945300216018E-2</v>
      </c>
      <c r="O57" s="2">
        <v>1.1468317222340803</v>
      </c>
      <c r="P57" s="2">
        <v>1.0109245511397826</v>
      </c>
      <c r="Q57" s="2">
        <v>9.316022337917169E-4</v>
      </c>
      <c r="R57" s="2">
        <v>-1.7872584393357196</v>
      </c>
      <c r="S57" s="2">
        <v>-4.5687973806598992</v>
      </c>
      <c r="T57" s="2">
        <v>3.7144790351419643</v>
      </c>
      <c r="U57" s="23">
        <v>9.2042303775945218</v>
      </c>
      <c r="V57" s="23"/>
      <c r="W57" s="64"/>
    </row>
    <row r="58" spans="1:23" x14ac:dyDescent="0.25">
      <c r="A58" s="95"/>
      <c r="B58" s="100"/>
      <c r="C58" s="19" t="s">
        <v>30</v>
      </c>
      <c r="D58" s="2">
        <v>0.10570630845901453</v>
      </c>
      <c r="E58" s="2">
        <v>0.20576514562350245</v>
      </c>
      <c r="F58" s="2">
        <v>0.96113482911929382</v>
      </c>
      <c r="G58" s="2">
        <v>1.6458843307896477E-4</v>
      </c>
      <c r="H58" s="2">
        <v>-4.4913534988330492E-2</v>
      </c>
      <c r="I58" s="2">
        <v>8.5596485245574408E-2</v>
      </c>
      <c r="J58" s="2">
        <v>-0.57106160395598116</v>
      </c>
      <c r="K58" s="2">
        <v>-0.81149680680131264</v>
      </c>
      <c r="L58" s="2">
        <v>-5.0500336477658288E-2</v>
      </c>
      <c r="M58" s="2">
        <v>0.77415916591501777</v>
      </c>
      <c r="N58" s="2">
        <v>-1.7444079779866412E-2</v>
      </c>
      <c r="O58" s="2">
        <v>0.44873423322451839</v>
      </c>
      <c r="P58" s="2">
        <v>-0.76874348398420267</v>
      </c>
      <c r="Q58" s="2">
        <v>3.817716031798634E-2</v>
      </c>
      <c r="R58" s="2">
        <v>-0.63663471902810231</v>
      </c>
      <c r="S58" s="2">
        <v>-1.0787983728807349</v>
      </c>
      <c r="T58" s="2">
        <v>0.54115261481078236</v>
      </c>
      <c r="U58" s="23">
        <v>-0.81900240674741975</v>
      </c>
      <c r="V58" s="23"/>
      <c r="W58" s="64"/>
    </row>
    <row r="59" spans="1:23" x14ac:dyDescent="0.25">
      <c r="A59" s="95"/>
      <c r="B59" s="101"/>
      <c r="C59" s="52" t="s">
        <v>31</v>
      </c>
      <c r="D59" s="20">
        <v>0.86468828555720201</v>
      </c>
      <c r="E59" s="20">
        <v>0.37626770398411297</v>
      </c>
      <c r="F59" s="20">
        <v>1.7249558951926662</v>
      </c>
      <c r="G59" s="20">
        <v>0.16326540332332456</v>
      </c>
      <c r="H59" s="20">
        <v>-1.0194560246825095</v>
      </c>
      <c r="I59" s="20">
        <v>0.16633434861320787</v>
      </c>
      <c r="J59" s="20">
        <v>-4.3586213445641766</v>
      </c>
      <c r="K59" s="20">
        <v>-3.5644470580536822</v>
      </c>
      <c r="L59" s="20">
        <v>-0.51644232706231241</v>
      </c>
      <c r="M59" s="20">
        <v>6.7654402947698297E-2</v>
      </c>
      <c r="N59" s="20">
        <v>9.7012716638587279E-2</v>
      </c>
      <c r="O59" s="20">
        <v>-0.90439488111236244</v>
      </c>
      <c r="P59" s="20">
        <v>-2.9420376949374356</v>
      </c>
      <c r="Q59" s="20">
        <v>0.1595958651773523</v>
      </c>
      <c r="R59" s="20">
        <v>-1.0463620655998864</v>
      </c>
      <c r="S59" s="20">
        <v>3.7620427232287921</v>
      </c>
      <c r="T59" s="20">
        <v>-3.4186763896208916</v>
      </c>
      <c r="U59" s="24">
        <v>-10.388620440970316</v>
      </c>
      <c r="V59" s="24"/>
      <c r="W59" s="64"/>
    </row>
    <row r="60" spans="1:23" x14ac:dyDescent="0.25">
      <c r="A60" s="95"/>
      <c r="B60" s="99">
        <v>2016</v>
      </c>
      <c r="C60" s="61" t="s">
        <v>28</v>
      </c>
      <c r="D60" s="21">
        <v>0.29580079303144358</v>
      </c>
      <c r="E60" s="21">
        <v>-0.46973046481869607</v>
      </c>
      <c r="F60" s="21">
        <v>0.75231072166474611</v>
      </c>
      <c r="G60" s="21">
        <v>5.9394319718644499E-2</v>
      </c>
      <c r="H60" s="21">
        <v>0.14416271999922975</v>
      </c>
      <c r="I60" s="21">
        <v>0.10083539211936135</v>
      </c>
      <c r="J60" s="21">
        <v>2.4188039460335498</v>
      </c>
      <c r="K60" s="21">
        <v>0.48618554962888061</v>
      </c>
      <c r="L60" s="21">
        <v>0.10707748515769482</v>
      </c>
      <c r="M60" s="21">
        <v>0.17309357879289103</v>
      </c>
      <c r="N60" s="21">
        <v>5.7917291506187386E-2</v>
      </c>
      <c r="O60" s="21">
        <v>6.2380850526257685E-2</v>
      </c>
      <c r="P60" s="21">
        <v>-1.4857474145514327</v>
      </c>
      <c r="Q60" s="21">
        <v>9.3593931827744531E-2</v>
      </c>
      <c r="R60" s="21">
        <v>0.11243112654031011</v>
      </c>
      <c r="S60" s="21">
        <v>-0.32716199465923618</v>
      </c>
      <c r="T60" s="21">
        <v>2.647294905601365</v>
      </c>
      <c r="U60" s="22">
        <v>5.2286427381189409</v>
      </c>
      <c r="V60" s="22"/>
      <c r="W60" s="64"/>
    </row>
    <row r="61" spans="1:23" x14ac:dyDescent="0.25">
      <c r="A61" s="95"/>
      <c r="B61" s="100"/>
      <c r="C61" s="19" t="s">
        <v>29</v>
      </c>
      <c r="D61" s="2">
        <v>0.62008357545392689</v>
      </c>
      <c r="E61" s="2">
        <v>5.7904973136562198E-2</v>
      </c>
      <c r="F61" s="2">
        <v>-0.20199349125953506</v>
      </c>
      <c r="G61" s="2">
        <v>-5.4104265177316375E-2</v>
      </c>
      <c r="H61" s="2">
        <v>0.15128558727219737</v>
      </c>
      <c r="I61" s="2">
        <v>0.10778592564224272</v>
      </c>
      <c r="J61" s="2">
        <v>1.1006139915850819</v>
      </c>
      <c r="K61" s="2">
        <v>-0.42524953638861807</v>
      </c>
      <c r="L61" s="2">
        <v>-0.48858466582917776</v>
      </c>
      <c r="M61" s="2">
        <v>5.6232811138688908E-2</v>
      </c>
      <c r="N61" s="2">
        <v>-5.632962165994751E-2</v>
      </c>
      <c r="O61" s="2">
        <v>3.0097937322053101E-2</v>
      </c>
      <c r="P61" s="2">
        <v>-2.1200788221100115</v>
      </c>
      <c r="Q61" s="2">
        <v>0.10523902323050743</v>
      </c>
      <c r="R61" s="2">
        <v>0.30004104723056257</v>
      </c>
      <c r="S61" s="2">
        <v>0.554278302757929</v>
      </c>
      <c r="T61" s="2">
        <v>-4.5656723461193136E-2</v>
      </c>
      <c r="U61" s="23">
        <v>-0.30843395111604727</v>
      </c>
      <c r="V61" s="23"/>
      <c r="W61" s="64"/>
    </row>
    <row r="62" spans="1:23" x14ac:dyDescent="0.25">
      <c r="A62" s="95"/>
      <c r="B62" s="100"/>
      <c r="C62" s="19" t="s">
        <v>30</v>
      </c>
      <c r="D62" s="2">
        <v>0.42442225509196402</v>
      </c>
      <c r="E62" s="2">
        <v>0.39939883373218132</v>
      </c>
      <c r="F62" s="2">
        <v>-0.58423211025771338</v>
      </c>
      <c r="G62" s="2">
        <v>3.4547740680137988E-2</v>
      </c>
      <c r="H62" s="2">
        <v>0.4295596766263779</v>
      </c>
      <c r="I62" s="2">
        <v>0.10125971359089805</v>
      </c>
      <c r="J62" s="2">
        <v>-2.9200838962907083</v>
      </c>
      <c r="K62" s="2">
        <v>-0.96505782790231331</v>
      </c>
      <c r="L62" s="2">
        <v>7.8508822120525179E-2</v>
      </c>
      <c r="M62" s="2">
        <v>0.53675162583315972</v>
      </c>
      <c r="N62" s="2">
        <v>-0.15245599409024249</v>
      </c>
      <c r="O62" s="2">
        <v>-7.2749888837381219E-2</v>
      </c>
      <c r="P62" s="2">
        <v>-1.3630013897856257</v>
      </c>
      <c r="Q62" s="2">
        <v>0.12123219356746363</v>
      </c>
      <c r="R62" s="2">
        <v>0.55771463658011211</v>
      </c>
      <c r="S62" s="2">
        <v>0.61817107876488842</v>
      </c>
      <c r="T62" s="2">
        <v>-0.23566976737021259</v>
      </c>
      <c r="U62" s="23">
        <v>-2.9916842979464882</v>
      </c>
      <c r="V62" s="23"/>
      <c r="W62" s="64"/>
    </row>
    <row r="63" spans="1:23" x14ac:dyDescent="0.25">
      <c r="A63" s="95"/>
      <c r="B63" s="101"/>
      <c r="C63" s="52" t="s">
        <v>31</v>
      </c>
      <c r="D63" s="20">
        <v>-0.50056908383557164</v>
      </c>
      <c r="E63" s="20">
        <v>0.49859255839903532</v>
      </c>
      <c r="F63" s="20">
        <v>-1.64966444384491</v>
      </c>
      <c r="G63" s="20">
        <v>-3.6869642697720188E-2</v>
      </c>
      <c r="H63" s="20">
        <v>0.34437038371476303</v>
      </c>
      <c r="I63" s="20">
        <v>0.11836472132885345</v>
      </c>
      <c r="J63" s="20">
        <v>0.80734755764747124</v>
      </c>
      <c r="K63" s="20">
        <v>-2.2470581716182805</v>
      </c>
      <c r="L63" s="20">
        <v>0.40411058141617417</v>
      </c>
      <c r="M63" s="20">
        <v>3.4536438868614953E-2</v>
      </c>
      <c r="N63" s="20">
        <v>-0.35523061675751949</v>
      </c>
      <c r="O63" s="20">
        <v>0.12550016695111046</v>
      </c>
      <c r="P63" s="20">
        <v>-2.7203967381082337</v>
      </c>
      <c r="Q63" s="20">
        <v>0.13465278323175306</v>
      </c>
      <c r="R63" s="20">
        <v>1.0325029810247244</v>
      </c>
      <c r="S63" s="20">
        <v>-0.68384465251430315</v>
      </c>
      <c r="T63" s="20">
        <v>1.9237695807938395</v>
      </c>
      <c r="U63" s="24">
        <v>-2.7698855960001989</v>
      </c>
      <c r="V63" s="24"/>
      <c r="W63" s="64"/>
    </row>
    <row r="64" spans="1:23" x14ac:dyDescent="0.25">
      <c r="A64" s="95"/>
      <c r="B64" s="99">
        <v>2017</v>
      </c>
      <c r="C64" s="61" t="s">
        <v>28</v>
      </c>
      <c r="D64" s="21">
        <v>-0.37737768286756135</v>
      </c>
      <c r="E64" s="21">
        <v>0.15627386544481423</v>
      </c>
      <c r="F64" s="21">
        <v>-1.8635990109125935</v>
      </c>
      <c r="G64" s="21">
        <v>7.1931328778766582E-3</v>
      </c>
      <c r="H64" s="21">
        <v>0.26450886370328658</v>
      </c>
      <c r="I64" s="21">
        <v>-1.1373073900197796E-2</v>
      </c>
      <c r="J64" s="21">
        <v>-2.3383188090958922</v>
      </c>
      <c r="K64" s="21">
        <v>-0.84484970204863497</v>
      </c>
      <c r="L64" s="21">
        <v>-9.8036608761343763E-2</v>
      </c>
      <c r="M64" s="21">
        <v>-1.8234689562175424E-3</v>
      </c>
      <c r="N64" s="21">
        <v>1.7498498517248769E-2</v>
      </c>
      <c r="O64" s="21">
        <v>-0.1928825803016985</v>
      </c>
      <c r="P64" s="21">
        <v>-0.82554198517279143</v>
      </c>
      <c r="Q64" s="21">
        <v>0.12393923462720305</v>
      </c>
      <c r="R64" s="21">
        <v>0.65159727778647913</v>
      </c>
      <c r="S64" s="21">
        <v>0.30986133270355409</v>
      </c>
      <c r="T64" s="21">
        <v>5.7870881392528564E-2</v>
      </c>
      <c r="U64" s="22">
        <v>-4.9650598349639417</v>
      </c>
      <c r="V64" s="22"/>
      <c r="W64" s="64"/>
    </row>
    <row r="65" spans="1:23" x14ac:dyDescent="0.25">
      <c r="A65" s="95"/>
      <c r="B65" s="100"/>
      <c r="C65" s="19" t="s">
        <v>29</v>
      </c>
      <c r="D65" s="2">
        <v>0.15008965596257784</v>
      </c>
      <c r="E65" s="2">
        <v>0.27943590692096648</v>
      </c>
      <c r="F65" s="2">
        <v>-1.8181667869223817</v>
      </c>
      <c r="G65" s="2">
        <v>6.4606970900823846E-2</v>
      </c>
      <c r="H65" s="2">
        <v>-1.8839117618064151E-2</v>
      </c>
      <c r="I65" s="2">
        <v>-8.6574368546084565E-2</v>
      </c>
      <c r="J65" s="2">
        <v>-1.4041949873314747</v>
      </c>
      <c r="K65" s="2">
        <v>0.2992610778319893</v>
      </c>
      <c r="L65" s="2">
        <v>0.26211180828471942</v>
      </c>
      <c r="M65" s="2">
        <v>7.9966018168474817E-2</v>
      </c>
      <c r="N65" s="2">
        <v>1.4648701550978389E-3</v>
      </c>
      <c r="O65" s="2">
        <v>-0.18483498817334795</v>
      </c>
      <c r="P65" s="2">
        <v>-0.14990591777345544</v>
      </c>
      <c r="Q65" s="2">
        <v>0.14473570199901742</v>
      </c>
      <c r="R65" s="2">
        <v>0.67433501024162645</v>
      </c>
      <c r="S65" s="2">
        <v>0.65627028575607604</v>
      </c>
      <c r="T65" s="2">
        <v>0.18525514334434146</v>
      </c>
      <c r="U65" s="23">
        <v>-0.86498371679909769</v>
      </c>
      <c r="V65" s="23"/>
      <c r="W65" s="64"/>
    </row>
    <row r="66" spans="1:23" x14ac:dyDescent="0.25">
      <c r="A66" s="95"/>
      <c r="B66" s="100"/>
      <c r="C66" s="19" t="s">
        <v>30</v>
      </c>
      <c r="D66" s="2">
        <v>0.11471291137706713</v>
      </c>
      <c r="E66" s="2">
        <v>-8.5252996267886835E-3</v>
      </c>
      <c r="F66" s="2">
        <v>-1.1824008677605153</v>
      </c>
      <c r="G66" s="2">
        <v>-0.13416560758961499</v>
      </c>
      <c r="H66" s="2">
        <v>6.5933262212836061E-2</v>
      </c>
      <c r="I66" s="2">
        <v>2.4152945885841121E-2</v>
      </c>
      <c r="J66" s="2">
        <v>3.6072132731188393</v>
      </c>
      <c r="K66" s="2">
        <v>0.31195926161621296</v>
      </c>
      <c r="L66" s="2">
        <v>-3.251670500867402E-2</v>
      </c>
      <c r="M66" s="2">
        <v>0.41956811597107074</v>
      </c>
      <c r="N66" s="2">
        <v>6.3461953221990719E-2</v>
      </c>
      <c r="O66" s="2">
        <v>-0.10937573016593453</v>
      </c>
      <c r="P66" s="2">
        <v>0.43639524134935165</v>
      </c>
      <c r="Q66" s="2">
        <v>0.11748438038275284</v>
      </c>
      <c r="R66" s="2">
        <v>0.51992966359453896</v>
      </c>
      <c r="S66" s="2">
        <v>-2.430554441110943E-2</v>
      </c>
      <c r="T66" s="2">
        <v>7.0026267705315934E-2</v>
      </c>
      <c r="U66" s="23">
        <v>4.2595475218731824</v>
      </c>
      <c r="V66" s="23"/>
      <c r="W66" s="64"/>
    </row>
    <row r="67" spans="1:23" x14ac:dyDescent="0.25">
      <c r="A67" s="95"/>
      <c r="B67" s="101"/>
      <c r="C67" s="52" t="s">
        <v>31</v>
      </c>
      <c r="D67" s="20">
        <v>0.22707885337918199</v>
      </c>
      <c r="E67" s="20">
        <v>-0.58386270413295638</v>
      </c>
      <c r="F67" s="20">
        <v>-0.79618462078418417</v>
      </c>
      <c r="G67" s="20">
        <v>5.4023066370343514E-2</v>
      </c>
      <c r="H67" s="20">
        <v>2.5698177089111863E-2</v>
      </c>
      <c r="I67" s="20">
        <v>-2.0011384993177683E-2</v>
      </c>
      <c r="J67" s="20">
        <v>1.9838449345363258</v>
      </c>
      <c r="K67" s="20">
        <v>0.49024811028158594</v>
      </c>
      <c r="L67" s="20">
        <v>-0.212221995757398</v>
      </c>
      <c r="M67" s="20">
        <v>0.1228416961930639</v>
      </c>
      <c r="N67" s="20">
        <v>-8.303343825556566E-4</v>
      </c>
      <c r="O67" s="20">
        <v>-0.38767299031938085</v>
      </c>
      <c r="P67" s="20">
        <v>0.85174953330873149</v>
      </c>
      <c r="Q67" s="20">
        <v>9.8299695209904212E-2</v>
      </c>
      <c r="R67" s="20">
        <v>0.21941528065756974</v>
      </c>
      <c r="S67" s="20">
        <v>-1.1443894196625488</v>
      </c>
      <c r="T67" s="20">
        <v>0.32976227611082948</v>
      </c>
      <c r="U67" s="24">
        <v>1.2577881731044462</v>
      </c>
      <c r="V67" s="24"/>
      <c r="W67" s="64"/>
    </row>
    <row r="68" spans="1:23" x14ac:dyDescent="0.25">
      <c r="A68" s="95"/>
      <c r="B68" s="99">
        <v>2018</v>
      </c>
      <c r="C68" s="61" t="s">
        <v>28</v>
      </c>
      <c r="D68" s="21">
        <v>0.19744686218045401</v>
      </c>
      <c r="E68" s="21">
        <v>1.9169607200103522E-2</v>
      </c>
      <c r="F68" s="21">
        <v>-0.74396624202773431</v>
      </c>
      <c r="G68" s="21">
        <v>-1.3486530033419184E-2</v>
      </c>
      <c r="H68" s="21">
        <v>5.3413033534931487E-2</v>
      </c>
      <c r="I68" s="21">
        <v>4.939458628858736E-2</v>
      </c>
      <c r="J68" s="21">
        <v>-2.3507673592206593</v>
      </c>
      <c r="K68" s="21">
        <v>0.11971389802766037</v>
      </c>
      <c r="L68" s="21">
        <v>2.3792547123574578E-2</v>
      </c>
      <c r="M68" s="21">
        <v>0.12098957660215955</v>
      </c>
      <c r="N68" s="21">
        <v>-1.7391404250940799E-2</v>
      </c>
      <c r="O68" s="21">
        <v>0.21840845730618935</v>
      </c>
      <c r="P68" s="21">
        <v>0.48820660864676974</v>
      </c>
      <c r="Q68" s="21">
        <v>1.9426330727762987E-2</v>
      </c>
      <c r="R68" s="21">
        <v>0.13284195365615728</v>
      </c>
      <c r="S68" s="21">
        <v>0.18120533085027599</v>
      </c>
      <c r="T68" s="21">
        <v>5.4240853717718931E-2</v>
      </c>
      <c r="U68" s="22">
        <v>-1.4473618896704081</v>
      </c>
      <c r="V68" s="22"/>
      <c r="W68" s="64"/>
    </row>
    <row r="69" spans="1:23" x14ac:dyDescent="0.25">
      <c r="A69" s="95"/>
      <c r="B69" s="100"/>
      <c r="C69" s="19" t="s">
        <v>29</v>
      </c>
      <c r="D69" s="2">
        <v>-0.29873196461878943</v>
      </c>
      <c r="E69" s="2">
        <v>9.1362588716628085E-2</v>
      </c>
      <c r="F69" s="2">
        <v>-0.92999228984170967</v>
      </c>
      <c r="G69" s="2">
        <v>-1.4070366509796163E-2</v>
      </c>
      <c r="H69" s="2">
        <v>-0.11246329777598195</v>
      </c>
      <c r="I69" s="2">
        <v>0.11550058653210889</v>
      </c>
      <c r="J69" s="2">
        <v>-0.70913012752464766</v>
      </c>
      <c r="K69" s="2">
        <v>-0.48541056242686476</v>
      </c>
      <c r="L69" s="2">
        <v>-3.7308518927352992E-3</v>
      </c>
      <c r="M69" s="2">
        <v>0.14695210175458936</v>
      </c>
      <c r="N69" s="2">
        <v>7.9614552408889719E-2</v>
      </c>
      <c r="O69" s="2">
        <v>0.21242383206812035</v>
      </c>
      <c r="P69" s="2">
        <v>-0.24966213156036482</v>
      </c>
      <c r="Q69" s="2">
        <v>2.5899512432436111E-3</v>
      </c>
      <c r="R69" s="2">
        <v>-0.29414387670472497</v>
      </c>
      <c r="S69" s="2">
        <v>-0.28002847868032765</v>
      </c>
      <c r="T69" s="2">
        <v>0.16581799343789047</v>
      </c>
      <c r="U69" s="23">
        <v>-2.5631023413744716</v>
      </c>
      <c r="V69" s="23"/>
      <c r="W69" s="64"/>
    </row>
    <row r="70" spans="1:23" x14ac:dyDescent="0.25">
      <c r="A70" s="95"/>
      <c r="B70" s="100"/>
      <c r="C70" s="19" t="s">
        <v>30</v>
      </c>
      <c r="D70" s="2">
        <v>-0.21091211142791114</v>
      </c>
      <c r="E70" s="2">
        <v>-0.36227101841461468</v>
      </c>
      <c r="F70" s="2">
        <v>-2.4219864530969462</v>
      </c>
      <c r="G70" s="2">
        <v>-8.8183091395230812E-2</v>
      </c>
      <c r="H70" s="2">
        <v>-0.11466748650953519</v>
      </c>
      <c r="I70" s="2">
        <v>-6.7085432458335509E-2</v>
      </c>
      <c r="J70" s="2">
        <v>0.10196697396169965</v>
      </c>
      <c r="K70" s="2">
        <v>-0.46260875456754852</v>
      </c>
      <c r="L70" s="2">
        <v>-1.2001954478335701E-2</v>
      </c>
      <c r="M70" s="2">
        <v>-0.39517866011691843</v>
      </c>
      <c r="N70" s="2">
        <v>0.25489480757528826</v>
      </c>
      <c r="O70" s="2">
        <v>0.33320347226666802</v>
      </c>
      <c r="P70" s="2">
        <v>0.68350368845225806</v>
      </c>
      <c r="Q70" s="2">
        <v>2.2085506684325928E-3</v>
      </c>
      <c r="R70" s="2">
        <v>0.24553148934195163</v>
      </c>
      <c r="S70" s="2">
        <v>0.18285038422865982</v>
      </c>
      <c r="T70" s="2">
        <v>0.38003814043574741</v>
      </c>
      <c r="U70" s="23">
        <v>-1.9506974555346708</v>
      </c>
      <c r="V70" s="23"/>
      <c r="W70" s="64"/>
    </row>
    <row r="71" spans="1:23" x14ac:dyDescent="0.25">
      <c r="A71" s="95"/>
      <c r="B71" s="101"/>
      <c r="C71" s="52" t="s">
        <v>31</v>
      </c>
      <c r="D71" s="20">
        <v>0.10500344722507991</v>
      </c>
      <c r="E71" s="20">
        <v>-0.10616141109734085</v>
      </c>
      <c r="F71" s="20">
        <v>-1.2622833964856721</v>
      </c>
      <c r="G71" s="20">
        <v>2.5771392243462136E-2</v>
      </c>
      <c r="H71" s="20">
        <v>0.3625951050005406</v>
      </c>
      <c r="I71" s="20">
        <v>-8.0024001606329275E-4</v>
      </c>
      <c r="J71" s="20">
        <v>3.4044349290356339</v>
      </c>
      <c r="K71" s="20">
        <v>0.52100309467698758</v>
      </c>
      <c r="L71" s="20">
        <v>-1.2577894474904344E-2</v>
      </c>
      <c r="M71" s="20">
        <v>-6.2396255412031552E-2</v>
      </c>
      <c r="N71" s="20">
        <v>-0.23172664934895576</v>
      </c>
      <c r="O71" s="20">
        <v>0.99941657511187698</v>
      </c>
      <c r="P71" s="20">
        <v>-1.2346475541859348E-2</v>
      </c>
      <c r="Q71" s="20">
        <v>2.0545839936487145E-2</v>
      </c>
      <c r="R71" s="20">
        <v>7.5852053547271189E-2</v>
      </c>
      <c r="S71" s="20">
        <v>0.52336182389273211</v>
      </c>
      <c r="T71" s="20">
        <v>-0.26243555422426967</v>
      </c>
      <c r="U71" s="24">
        <v>4.0872563840689748</v>
      </c>
      <c r="V71" s="24"/>
      <c r="W71" s="64"/>
    </row>
    <row r="72" spans="1:23" x14ac:dyDescent="0.25">
      <c r="A72" s="95"/>
      <c r="B72" s="99">
        <v>2019</v>
      </c>
      <c r="C72" s="61" t="s">
        <v>28</v>
      </c>
      <c r="D72" s="21">
        <v>0.15144858058853714</v>
      </c>
      <c r="E72" s="21">
        <v>7.8145143926774796E-2</v>
      </c>
      <c r="F72" s="21">
        <v>-0.77510124068902742</v>
      </c>
      <c r="G72" s="21">
        <v>1.5556268827543695E-2</v>
      </c>
      <c r="H72" s="21">
        <v>-0.41266313638785584</v>
      </c>
      <c r="I72" s="21">
        <v>1.177159874776521E-2</v>
      </c>
      <c r="J72" s="21">
        <v>3.9114033376510977</v>
      </c>
      <c r="K72" s="21">
        <v>0.15313142032325022</v>
      </c>
      <c r="L72" s="21">
        <v>1.2198249374209184E-2</v>
      </c>
      <c r="M72" s="21">
        <v>-1.7575942481512025E-2</v>
      </c>
      <c r="N72" s="21">
        <v>1.5654997990106608E-2</v>
      </c>
      <c r="O72" s="21">
        <v>-9.0135569680478922E-2</v>
      </c>
      <c r="P72" s="21">
        <v>0.15579382656967167</v>
      </c>
      <c r="Q72" s="21">
        <v>4.3608358750724163E-2</v>
      </c>
      <c r="R72" s="21">
        <v>-0.29686953479561928</v>
      </c>
      <c r="S72" s="21">
        <v>-0.95408696598540532</v>
      </c>
      <c r="T72" s="21">
        <v>1.9657172423479367E-6</v>
      </c>
      <c r="U72" s="22">
        <v>2.0022813584470236</v>
      </c>
      <c r="V72" s="22"/>
      <c r="W72" s="64"/>
    </row>
    <row r="73" spans="1:23" x14ac:dyDescent="0.25">
      <c r="A73" s="95"/>
      <c r="B73" s="100"/>
      <c r="C73" s="19" t="s">
        <v>29</v>
      </c>
      <c r="D73" s="2">
        <v>0.28890285569319929</v>
      </c>
      <c r="E73" s="2">
        <v>-0.29769720835818553</v>
      </c>
      <c r="F73" s="2">
        <v>-0.77471842701142579</v>
      </c>
      <c r="G73" s="2">
        <v>-8.402248403902737E-3</v>
      </c>
      <c r="H73" s="2">
        <v>8.5903764628707371E-2</v>
      </c>
      <c r="I73" s="2">
        <v>9.1377017813862298E-3</v>
      </c>
      <c r="J73" s="2">
        <v>-1.1368196965274586</v>
      </c>
      <c r="K73" s="2">
        <v>0.40441830988863442</v>
      </c>
      <c r="L73" s="2">
        <v>-5.9183658393472324E-2</v>
      </c>
      <c r="M73" s="2">
        <v>-0.14121639266293798</v>
      </c>
      <c r="N73" s="2">
        <v>-5.5945748981810386E-2</v>
      </c>
      <c r="O73" s="2">
        <v>-0.27323130388069322</v>
      </c>
      <c r="P73" s="2">
        <v>0.10296907574340965</v>
      </c>
      <c r="Q73" s="2">
        <v>8.2458129072273609E-2</v>
      </c>
      <c r="R73" s="2">
        <v>0.57368049754327177</v>
      </c>
      <c r="S73" s="2">
        <v>-1.0822786888874716</v>
      </c>
      <c r="T73" s="2">
        <v>-5.4964457875565594E-2</v>
      </c>
      <c r="U73" s="23">
        <v>-2.3369874966320414</v>
      </c>
      <c r="V73" s="23"/>
      <c r="W73" s="64"/>
    </row>
    <row r="74" spans="1:23" x14ac:dyDescent="0.25">
      <c r="A74" s="95"/>
      <c r="B74" s="100"/>
      <c r="C74" s="19" t="s">
        <v>30</v>
      </c>
      <c r="D74" s="2">
        <v>0.45699143791128949</v>
      </c>
      <c r="E74" s="2">
        <v>-0.97762038063954737</v>
      </c>
      <c r="F74" s="2">
        <v>-2.5286736740733957</v>
      </c>
      <c r="G74" s="2">
        <v>0.4701522858909048</v>
      </c>
      <c r="H74" s="2">
        <v>-0.41305924582621839</v>
      </c>
      <c r="I74" s="2">
        <v>0.15425710878942653</v>
      </c>
      <c r="J74" s="2">
        <v>0.84963425217051425</v>
      </c>
      <c r="K74" s="2">
        <v>1.070204067817299</v>
      </c>
      <c r="L74" s="2">
        <v>5.7348079688762058E-2</v>
      </c>
      <c r="M74" s="2">
        <v>1.2057062113248794E-2</v>
      </c>
      <c r="N74" s="2">
        <v>-0.15278391360176777</v>
      </c>
      <c r="O74" s="2">
        <v>-1.4374604038453953</v>
      </c>
      <c r="P74" s="2">
        <v>1.5895783199438696</v>
      </c>
      <c r="Q74" s="2">
        <v>0.28527174419973006</v>
      </c>
      <c r="R74" s="2">
        <v>1.0333908511924306</v>
      </c>
      <c r="S74" s="2">
        <v>-2.7652036740886921</v>
      </c>
      <c r="T74" s="2">
        <v>-0.30973827840638873</v>
      </c>
      <c r="U74" s="23">
        <v>-2.6056543607639302</v>
      </c>
      <c r="V74" s="23"/>
      <c r="W74" s="64"/>
    </row>
    <row r="75" spans="1:23" x14ac:dyDescent="0.25">
      <c r="A75" s="95"/>
      <c r="B75" s="101"/>
      <c r="C75" s="52" t="s">
        <v>31</v>
      </c>
      <c r="D75" s="20">
        <v>-5.8466981532022198E-2</v>
      </c>
      <c r="E75" s="20">
        <v>-0.35027046309407728</v>
      </c>
      <c r="F75" s="20">
        <v>-0.86797038937866011</v>
      </c>
      <c r="G75" s="20">
        <v>-0.10005471494198191</v>
      </c>
      <c r="H75" s="20">
        <v>-1.4742234556392102E-2</v>
      </c>
      <c r="I75" s="20">
        <v>0.13837169905665453</v>
      </c>
      <c r="J75" s="20">
        <v>-1.697674215536753</v>
      </c>
      <c r="K75" s="20">
        <v>-5.1222642797012836E-2</v>
      </c>
      <c r="L75" s="20">
        <v>7.6776365013660267E-2</v>
      </c>
      <c r="M75" s="20">
        <v>8.468973765273069E-2</v>
      </c>
      <c r="N75" s="20">
        <v>-5.6087676488676831E-2</v>
      </c>
      <c r="O75" s="20">
        <v>0.37848540879270037</v>
      </c>
      <c r="P75" s="20">
        <v>3.791083028025756E-2</v>
      </c>
      <c r="Q75" s="20">
        <v>0.12837836189426491</v>
      </c>
      <c r="R75" s="20">
        <v>0.59790651300622533</v>
      </c>
      <c r="S75" s="20">
        <v>0.12650117229186467</v>
      </c>
      <c r="T75" s="20">
        <v>0.43207706615203717</v>
      </c>
      <c r="U75" s="24">
        <v>-1.195392164185181</v>
      </c>
      <c r="V75" s="24"/>
      <c r="W75" s="64"/>
    </row>
    <row r="76" spans="1:23" x14ac:dyDescent="0.25">
      <c r="A76" s="95"/>
      <c r="B76" s="99">
        <v>2020</v>
      </c>
      <c r="C76" s="61" t="s">
        <v>28</v>
      </c>
      <c r="D76" s="21">
        <v>1.0133688889993395</v>
      </c>
      <c r="E76" s="21">
        <v>-4.3339659331402838E-2</v>
      </c>
      <c r="F76" s="21">
        <v>-0.16607846115269931</v>
      </c>
      <c r="G76" s="21">
        <v>-3.6365477793277465E-2</v>
      </c>
      <c r="H76" s="21">
        <v>0.46477789598716446</v>
      </c>
      <c r="I76" s="21">
        <v>8.3855080262935283E-2</v>
      </c>
      <c r="J76" s="21">
        <v>-2.7492825634123563</v>
      </c>
      <c r="K76" s="21">
        <v>0.39028278681406986</v>
      </c>
      <c r="L76" s="21">
        <v>-1.6789517287677171E-2</v>
      </c>
      <c r="M76" s="21">
        <v>-0.1163363546510936</v>
      </c>
      <c r="N76" s="21">
        <v>-0.27258236796562135</v>
      </c>
      <c r="O76" s="21">
        <v>1.3845997173805142</v>
      </c>
      <c r="P76" s="21">
        <v>-1.4943414712994142E-3</v>
      </c>
      <c r="Q76" s="21">
        <v>0.12912816320308138</v>
      </c>
      <c r="R76" s="21">
        <v>1.3956560004254694</v>
      </c>
      <c r="S76" s="21">
        <v>1.6260439616173972</v>
      </c>
      <c r="T76" s="21">
        <v>-1.992029685204759</v>
      </c>
      <c r="U76" s="22">
        <v>1.0934140664197851</v>
      </c>
      <c r="V76" s="22"/>
      <c r="W76" s="64"/>
    </row>
    <row r="77" spans="1:23" x14ac:dyDescent="0.25">
      <c r="A77" s="95"/>
      <c r="B77" s="100"/>
      <c r="C77" s="19" t="s">
        <v>29</v>
      </c>
      <c r="D77" s="2">
        <v>8.7417147600796968E-2</v>
      </c>
      <c r="E77" s="2">
        <v>-0.22178398668633367</v>
      </c>
      <c r="F77" s="2">
        <v>-1.0346111468401995</v>
      </c>
      <c r="G77" s="2">
        <v>-8.5940493780244237E-2</v>
      </c>
      <c r="H77" s="2">
        <v>-0.24504300999678444</v>
      </c>
      <c r="I77" s="2">
        <v>6.7683722329423629E-2</v>
      </c>
      <c r="J77" s="2">
        <v>-2.0895847437149757</v>
      </c>
      <c r="K77" s="2">
        <v>-1.6199549962204083</v>
      </c>
      <c r="L77" s="2">
        <v>5.2385356312919754E-2</v>
      </c>
      <c r="M77" s="2">
        <v>-4.2217874773259876</v>
      </c>
      <c r="N77" s="2">
        <v>-0.22604867972501633</v>
      </c>
      <c r="O77" s="2">
        <v>0.36447492505171164</v>
      </c>
      <c r="P77" s="2">
        <v>-0.55140324757165116</v>
      </c>
      <c r="Q77" s="2">
        <v>-0.65146974983051087</v>
      </c>
      <c r="R77" s="2">
        <v>-0.89752265716042756</v>
      </c>
      <c r="S77" s="2">
        <v>1.2704960938163146</v>
      </c>
      <c r="T77" s="2">
        <v>-0.4887136279627361</v>
      </c>
      <c r="U77" s="23">
        <v>-10.491406571704111</v>
      </c>
      <c r="V77" s="23"/>
      <c r="W77" s="64"/>
    </row>
    <row r="78" spans="1:23" x14ac:dyDescent="0.25">
      <c r="A78" s="95"/>
      <c r="B78" s="100"/>
      <c r="C78" s="19" t="s">
        <v>30</v>
      </c>
      <c r="D78" s="2">
        <v>0.41603696071779994</v>
      </c>
      <c r="E78" s="2">
        <v>-0.12325829923850444</v>
      </c>
      <c r="F78" s="2">
        <v>-0.49153303748887034</v>
      </c>
      <c r="G78" s="2">
        <v>-0.11017642631344089</v>
      </c>
      <c r="H78" s="2">
        <v>0.27081134825312442</v>
      </c>
      <c r="I78" s="2">
        <v>2.7235870040959148E-2</v>
      </c>
      <c r="J78" s="2">
        <v>-3.6545387274793848</v>
      </c>
      <c r="K78" s="2">
        <v>0.32514401961215472</v>
      </c>
      <c r="L78" s="2">
        <v>-4.6839222667561875E-3</v>
      </c>
      <c r="M78" s="2">
        <v>-3.2988700233086554</v>
      </c>
      <c r="N78" s="2">
        <v>-0.2389692464169729</v>
      </c>
      <c r="O78" s="2">
        <v>-5.5495529391534799E-2</v>
      </c>
      <c r="P78" s="2">
        <v>-0.4367091296338706</v>
      </c>
      <c r="Q78" s="2">
        <v>-0.20996717915072485</v>
      </c>
      <c r="R78" s="2">
        <v>0.24930832972093414</v>
      </c>
      <c r="S78" s="2">
        <v>1.2159286387120039</v>
      </c>
      <c r="T78" s="2">
        <v>-0.7909309826421177</v>
      </c>
      <c r="U78" s="23">
        <v>-6.910667336273856</v>
      </c>
      <c r="V78" s="23"/>
      <c r="W78" s="64"/>
    </row>
    <row r="79" spans="1:23" x14ac:dyDescent="0.25">
      <c r="A79" s="95"/>
      <c r="B79" s="101"/>
      <c r="C79" s="52" t="s">
        <v>31</v>
      </c>
      <c r="D79" s="20">
        <v>0.88111309740140376</v>
      </c>
      <c r="E79" s="20">
        <v>9.2272289209602579E-2</v>
      </c>
      <c r="F79" s="20">
        <v>-1.0941120964066928</v>
      </c>
      <c r="G79" s="20">
        <v>2.0188597134511856E-2</v>
      </c>
      <c r="H79" s="20">
        <v>0.42235455470124816</v>
      </c>
      <c r="I79" s="20">
        <v>-2.9779044768739472E-2</v>
      </c>
      <c r="J79" s="20">
        <v>-4.188977511128118</v>
      </c>
      <c r="K79" s="20">
        <v>2.4253859322004341</v>
      </c>
      <c r="L79" s="20">
        <v>-3.3550759476833412E-2</v>
      </c>
      <c r="M79" s="20">
        <v>-0.11218126254779169</v>
      </c>
      <c r="N79" s="20">
        <v>-5.8096638013487065E-2</v>
      </c>
      <c r="O79" s="20">
        <v>-1.6542092394298284</v>
      </c>
      <c r="P79" s="20">
        <v>-0.78485321997199353</v>
      </c>
      <c r="Q79" s="20">
        <v>0.10524281341109422</v>
      </c>
      <c r="R79" s="20">
        <v>2.3508259389280084E-2</v>
      </c>
      <c r="S79" s="20">
        <v>0.31825017103188691</v>
      </c>
      <c r="T79" s="20">
        <v>-1.2438773645009824</v>
      </c>
      <c r="U79" s="24">
        <v>-4.9113214217650052</v>
      </c>
      <c r="V79" s="24"/>
      <c r="W79" s="64"/>
    </row>
    <row r="80" spans="1:23" x14ac:dyDescent="0.25">
      <c r="A80" s="95"/>
      <c r="B80" s="99">
        <v>2021</v>
      </c>
      <c r="C80" s="61" t="s">
        <v>28</v>
      </c>
      <c r="D80" s="21">
        <v>-1.6162281785248436</v>
      </c>
      <c r="E80" s="21">
        <v>0.55218969905574811</v>
      </c>
      <c r="F80" s="21">
        <v>-2.3113705268103195</v>
      </c>
      <c r="G80" s="21">
        <v>0.14545673224648278</v>
      </c>
      <c r="H80" s="21">
        <v>5.074240037029084E-2</v>
      </c>
      <c r="I80" s="21">
        <v>1.2011414344509572E-2</v>
      </c>
      <c r="J80" s="21">
        <v>-2.8937989227975627</v>
      </c>
      <c r="K80" s="21">
        <v>-0.31253478656664796</v>
      </c>
      <c r="L80" s="21">
        <v>9.168883935065146E-3</v>
      </c>
      <c r="M80" s="21">
        <v>-0.28409640654295043</v>
      </c>
      <c r="N80" s="21">
        <v>-7.2404787367815887E-2</v>
      </c>
      <c r="O80" s="21">
        <v>-1.5416545079941251</v>
      </c>
      <c r="P80" s="21">
        <v>0.39933698682188845</v>
      </c>
      <c r="Q80" s="21">
        <v>0.11645737992142829</v>
      </c>
      <c r="R80" s="21">
        <v>-0.30288450304250097</v>
      </c>
      <c r="S80" s="21">
        <v>-0.1733944969675017</v>
      </c>
      <c r="T80" s="21">
        <v>-9.5557404185638815E-3</v>
      </c>
      <c r="U80" s="22">
        <v>-8.2325593603374188</v>
      </c>
      <c r="V80" s="22"/>
      <c r="W80" s="64"/>
    </row>
    <row r="81" spans="1:23" x14ac:dyDescent="0.25">
      <c r="A81" s="95"/>
      <c r="B81" s="100"/>
      <c r="C81" s="19" t="s">
        <v>29</v>
      </c>
      <c r="D81" s="2">
        <v>2.4848782278115009</v>
      </c>
      <c r="E81" s="2">
        <v>0.86164048460992315</v>
      </c>
      <c r="F81" s="2">
        <v>-1.7124350032748814</v>
      </c>
      <c r="G81" s="2">
        <v>-5.5940748537808345E-2</v>
      </c>
      <c r="H81" s="2">
        <v>0.35218530283875255</v>
      </c>
      <c r="I81" s="2">
        <v>3.6589522026823834E-2</v>
      </c>
      <c r="J81" s="2">
        <v>-2.2977714378298284</v>
      </c>
      <c r="K81" s="2">
        <v>1.5343433703801141</v>
      </c>
      <c r="L81" s="2">
        <v>-0.46985830807422491</v>
      </c>
      <c r="M81" s="2">
        <v>0.91681079844617785</v>
      </c>
      <c r="N81" s="2">
        <v>0.16864483989467755</v>
      </c>
      <c r="O81" s="2">
        <v>-0.42416689299623295</v>
      </c>
      <c r="P81" s="2">
        <v>0.42255440182423848</v>
      </c>
      <c r="Q81" s="2">
        <v>0.12189165973799755</v>
      </c>
      <c r="R81" s="2">
        <v>2.2215046377541143</v>
      </c>
      <c r="S81" s="2">
        <v>2.2595371088374741E-2</v>
      </c>
      <c r="T81" s="2">
        <v>-1.7524717816102395</v>
      </c>
      <c r="U81" s="23">
        <v>2.43099444408948</v>
      </c>
      <c r="V81" s="23"/>
      <c r="W81" s="64"/>
    </row>
    <row r="82" spans="1:23" x14ac:dyDescent="0.25">
      <c r="A82" s="95"/>
      <c r="B82" s="100"/>
      <c r="C82" s="19" t="s">
        <v>30</v>
      </c>
      <c r="D82" s="2">
        <v>0.71392385159975136</v>
      </c>
      <c r="E82" s="2">
        <v>0.54601693017131447</v>
      </c>
      <c r="F82" s="2">
        <v>-0.92936613892739361</v>
      </c>
      <c r="G82" s="2">
        <v>-9.3564568399011686E-3</v>
      </c>
      <c r="H82" s="2">
        <v>0.58937198326010665</v>
      </c>
      <c r="I82" s="2">
        <v>2.0855732084911576E-2</v>
      </c>
      <c r="J82" s="2">
        <v>-0.79532830099041385</v>
      </c>
      <c r="K82" s="2">
        <v>2.6276825263978507</v>
      </c>
      <c r="L82" s="2">
        <v>-0.80744778444941911</v>
      </c>
      <c r="M82" s="2">
        <v>1.159837525172327</v>
      </c>
      <c r="N82" s="2">
        <v>0.11043965506082143</v>
      </c>
      <c r="O82" s="2">
        <v>0.2437090061230576</v>
      </c>
      <c r="P82" s="2">
        <v>0.15235764190378567</v>
      </c>
      <c r="Q82" s="2">
        <v>8.7100267667289191E-2</v>
      </c>
      <c r="R82" s="2">
        <v>-5.5950331820007929E-2</v>
      </c>
      <c r="S82" s="2">
        <v>-0.34770511697352591</v>
      </c>
      <c r="T82" s="2">
        <v>-0.7758174006255486</v>
      </c>
      <c r="U82" s="23">
        <v>2.5303235888150053</v>
      </c>
      <c r="V82" s="23"/>
      <c r="W82" s="64"/>
    </row>
    <row r="83" spans="1:23" x14ac:dyDescent="0.25">
      <c r="A83" s="95"/>
      <c r="B83" s="101"/>
      <c r="C83" s="52" t="s">
        <v>31</v>
      </c>
      <c r="D83" s="20">
        <v>1.1189398390410468</v>
      </c>
      <c r="E83" s="20">
        <v>0.40212950800059821</v>
      </c>
      <c r="F83" s="20">
        <v>-0.197087507650823</v>
      </c>
      <c r="G83" s="20">
        <v>0.10500969678203484</v>
      </c>
      <c r="H83" s="20">
        <v>0.22113364929944523</v>
      </c>
      <c r="I83" s="20">
        <v>2.2999357664626623E-2</v>
      </c>
      <c r="J83" s="20">
        <v>2.4980435400574694</v>
      </c>
      <c r="K83" s="20">
        <v>3.1737145292419853</v>
      </c>
      <c r="L83" s="20">
        <v>-0.60035365453410428</v>
      </c>
      <c r="M83" s="20">
        <v>1.9640917865340586</v>
      </c>
      <c r="N83" s="20">
        <v>-7.9845518094756485E-2</v>
      </c>
      <c r="O83" s="20">
        <v>0.32486180134885889</v>
      </c>
      <c r="P83" s="20">
        <v>2.2728328793762281E-2</v>
      </c>
      <c r="Q83" s="20">
        <v>0.10867221028902298</v>
      </c>
      <c r="R83" s="20">
        <v>0.43856793902509844</v>
      </c>
      <c r="S83" s="20">
        <v>-0.42535239376909362</v>
      </c>
      <c r="T83" s="20">
        <v>-0.84421950506242327</v>
      </c>
      <c r="U83" s="24">
        <v>8.2540336069668072</v>
      </c>
      <c r="V83" s="24"/>
      <c r="W83" s="64"/>
    </row>
    <row r="84" spans="1:23" x14ac:dyDescent="0.25">
      <c r="A84" s="95"/>
      <c r="B84" s="99">
        <v>2022</v>
      </c>
      <c r="C84" s="61" t="s">
        <v>28</v>
      </c>
      <c r="D84" s="21">
        <v>-0.54693331803573586</v>
      </c>
      <c r="E84" s="21">
        <v>8.5525530821253165E-2</v>
      </c>
      <c r="F84" s="21">
        <v>0.71910625510940751</v>
      </c>
      <c r="G84" s="21">
        <v>-0.18981503147835643</v>
      </c>
      <c r="H84" s="21">
        <v>0.60082198067830039</v>
      </c>
      <c r="I84" s="21">
        <v>3.7695817282971895E-2</v>
      </c>
      <c r="J84" s="21">
        <v>0.81868276106921734</v>
      </c>
      <c r="K84" s="21">
        <v>1.1441826339795071</v>
      </c>
      <c r="L84" s="21">
        <v>0.10577552189153312</v>
      </c>
      <c r="M84" s="21">
        <v>1.7374083155084479</v>
      </c>
      <c r="N84" s="21">
        <v>-8.7671216643378833E-2</v>
      </c>
      <c r="O84" s="21">
        <v>0.16909903247901589</v>
      </c>
      <c r="P84" s="21">
        <v>0.68584214729566284</v>
      </c>
      <c r="Q84" s="21">
        <v>0.12487402976635517</v>
      </c>
      <c r="R84" s="21">
        <v>-0.4980568603546095</v>
      </c>
      <c r="S84" s="21">
        <v>-0.523000140625968</v>
      </c>
      <c r="T84" s="21">
        <v>-0.85278666614240173</v>
      </c>
      <c r="U84" s="22">
        <v>3.5307507926012214</v>
      </c>
      <c r="V84" s="22"/>
      <c r="W84" s="64"/>
    </row>
    <row r="85" spans="1:23" x14ac:dyDescent="0.25">
      <c r="A85" s="95"/>
      <c r="B85" s="100"/>
      <c r="C85" s="19" t="s">
        <v>29</v>
      </c>
      <c r="D85" s="2">
        <v>7.6011390847036466</v>
      </c>
      <c r="E85" s="2">
        <v>0.18411840156917622</v>
      </c>
      <c r="F85" s="2">
        <v>1.0499217154301803</v>
      </c>
      <c r="G85" s="2">
        <v>0.29235160895335272</v>
      </c>
      <c r="H85" s="2">
        <v>0.36319613604219575</v>
      </c>
      <c r="I85" s="2">
        <v>5.6275570735938321E-2</v>
      </c>
      <c r="J85" s="2">
        <v>0.70467574584450987</v>
      </c>
      <c r="K85" s="2">
        <v>4.3169500938299956</v>
      </c>
      <c r="L85" s="2">
        <v>7.5897554485420252E-2</v>
      </c>
      <c r="M85" s="2">
        <v>0.95324268429552683</v>
      </c>
      <c r="N85" s="2">
        <v>-0.13850843573133925</v>
      </c>
      <c r="O85" s="2">
        <v>-5.7895837150848837E-3</v>
      </c>
      <c r="P85" s="2">
        <v>0.31141153075227368</v>
      </c>
      <c r="Q85" s="2">
        <v>0.14491835849057913</v>
      </c>
      <c r="R85" s="2">
        <v>0.3728851670019987</v>
      </c>
      <c r="S85" s="2">
        <v>-0.98461400215880202</v>
      </c>
      <c r="T85" s="2">
        <v>-1.4442725456078145</v>
      </c>
      <c r="U85" s="23">
        <v>13.853799084921754</v>
      </c>
      <c r="V85" s="23"/>
      <c r="W85" s="64"/>
    </row>
    <row r="86" spans="1:23" x14ac:dyDescent="0.25">
      <c r="A86" s="95"/>
      <c r="B86" s="100"/>
      <c r="C86" s="19" t="s">
        <v>30</v>
      </c>
      <c r="D86" s="2">
        <v>-1.8828597270068721</v>
      </c>
      <c r="E86" s="2">
        <v>-9.2682824426946045E-2</v>
      </c>
      <c r="F86" s="2">
        <v>0.81773245908506842</v>
      </c>
      <c r="G86" s="2">
        <v>6.7551651429842152E-2</v>
      </c>
      <c r="H86" s="2">
        <v>-2.1561991431309917E-2</v>
      </c>
      <c r="I86" s="2">
        <v>7.0770873957082106E-2</v>
      </c>
      <c r="J86" s="2">
        <v>-0.72149287567202181</v>
      </c>
      <c r="K86" s="2">
        <v>-1.8876796808900942</v>
      </c>
      <c r="L86" s="2">
        <v>8.3643983232632405E-2</v>
      </c>
      <c r="M86" s="2">
        <v>0.97813375023156701</v>
      </c>
      <c r="N86" s="2">
        <v>-7.5945552741703296E-2</v>
      </c>
      <c r="O86" s="2">
        <v>-0.30206473393458505</v>
      </c>
      <c r="P86" s="2">
        <v>0.99270883301690682</v>
      </c>
      <c r="Q86" s="2">
        <v>0.12051625656152552</v>
      </c>
      <c r="R86" s="2">
        <v>0.68016624989892005</v>
      </c>
      <c r="S86" s="2">
        <v>-0.19264190918334323</v>
      </c>
      <c r="T86" s="2">
        <v>-0.86043757458784864</v>
      </c>
      <c r="U86" s="23">
        <v>-2.2261428124611791</v>
      </c>
      <c r="V86" s="23"/>
      <c r="W86" s="64"/>
    </row>
    <row r="87" spans="1:23" x14ac:dyDescent="0.25">
      <c r="A87" s="95"/>
      <c r="B87" s="101"/>
      <c r="C87" s="52" t="s">
        <v>31</v>
      </c>
      <c r="D87" s="20">
        <v>-0.87573818354281863</v>
      </c>
      <c r="E87" s="20">
        <v>0.2016743572321745</v>
      </c>
      <c r="F87" s="20">
        <v>-0.20819006690023154</v>
      </c>
      <c r="G87" s="20">
        <v>3.8232311544528719E-2</v>
      </c>
      <c r="H87" s="20">
        <v>-9.2552623238052398E-2</v>
      </c>
      <c r="I87" s="20">
        <v>0.13021719429010442</v>
      </c>
      <c r="J87" s="20">
        <v>0.60501464108441816</v>
      </c>
      <c r="K87" s="20">
        <v>-1.5372256727110734</v>
      </c>
      <c r="L87" s="20">
        <v>0.1213435730192972</v>
      </c>
      <c r="M87" s="20">
        <v>1.2561198673321627</v>
      </c>
      <c r="N87" s="20">
        <v>-0.13777287150573059</v>
      </c>
      <c r="O87" s="20">
        <v>-0.31497702900290986</v>
      </c>
      <c r="P87" s="20">
        <v>0.18139592097166868</v>
      </c>
      <c r="Q87" s="20">
        <v>0.13390067603655137</v>
      </c>
      <c r="R87" s="20">
        <v>0.36109364681271927</v>
      </c>
      <c r="S87" s="20">
        <v>0.41409834013160973</v>
      </c>
      <c r="T87" s="20">
        <v>-0.37607257835259139</v>
      </c>
      <c r="U87" s="24">
        <v>-9.9438496798173071E-2</v>
      </c>
      <c r="V87" s="24"/>
      <c r="W87" s="64"/>
    </row>
    <row r="88" spans="1:23" x14ac:dyDescent="0.25">
      <c r="A88" s="95"/>
      <c r="B88" s="99">
        <v>2023</v>
      </c>
      <c r="C88" s="61" t="s">
        <v>28</v>
      </c>
      <c r="D88" s="21">
        <v>-0.42217656090449601</v>
      </c>
      <c r="E88" s="21">
        <v>8.1363431836407207E-2</v>
      </c>
      <c r="F88" s="21">
        <v>-0.71375429730506146</v>
      </c>
      <c r="G88" s="21">
        <v>0.1434850121843898</v>
      </c>
      <c r="H88" s="21">
        <v>0.10229783574847719</v>
      </c>
      <c r="I88" s="21">
        <v>0.12846695862082122</v>
      </c>
      <c r="J88" s="21">
        <v>-0.60687885352878301</v>
      </c>
      <c r="K88" s="21">
        <v>0.2441421678243435</v>
      </c>
      <c r="L88" s="21">
        <v>-7.4753689316726588E-2</v>
      </c>
      <c r="M88" s="21">
        <v>0.80354017850534931</v>
      </c>
      <c r="N88" s="21">
        <v>0.15096342293440027</v>
      </c>
      <c r="O88" s="21">
        <v>-0.49468907146580177</v>
      </c>
      <c r="P88" s="21">
        <v>0.64224946830520668</v>
      </c>
      <c r="Q88" s="21">
        <v>0.13926968024251571</v>
      </c>
      <c r="R88" s="21">
        <v>0.78952875055322347</v>
      </c>
      <c r="S88" s="21">
        <v>-0.48582419203544819</v>
      </c>
      <c r="T88" s="21">
        <v>-0.55754965471376605</v>
      </c>
      <c r="U88" s="22">
        <v>-0.13031941251494866</v>
      </c>
      <c r="V88" s="22"/>
      <c r="W88" s="64"/>
    </row>
    <row r="89" spans="1:23" x14ac:dyDescent="0.25">
      <c r="A89" s="95"/>
      <c r="B89" s="100"/>
      <c r="C89" s="19" t="s">
        <v>29</v>
      </c>
      <c r="D89" s="2">
        <v>0.86135535215217229</v>
      </c>
      <c r="E89" s="2">
        <v>6.7126309191450823E-2</v>
      </c>
      <c r="F89" s="2">
        <v>-0.24340697824210838</v>
      </c>
      <c r="G89" s="2">
        <v>-0.1179140434452248</v>
      </c>
      <c r="H89" s="2">
        <v>0.5393049956274929</v>
      </c>
      <c r="I89" s="2">
        <v>8.4700007213187711E-2</v>
      </c>
      <c r="J89" s="2">
        <v>2.4908328398415893</v>
      </c>
      <c r="K89" s="2">
        <v>0.39157033456447271</v>
      </c>
      <c r="L89" s="2">
        <v>-0.47145463386259412</v>
      </c>
      <c r="M89" s="2">
        <v>6.4841684386653997E-2</v>
      </c>
      <c r="N89" s="2">
        <v>-3.241099568731174E-2</v>
      </c>
      <c r="O89" s="2">
        <v>-0.2158510109871529</v>
      </c>
      <c r="P89" s="2">
        <v>0.62370617335086109</v>
      </c>
      <c r="Q89" s="2">
        <v>0.12034239383279614</v>
      </c>
      <c r="R89" s="2">
        <v>1.332602918513494</v>
      </c>
      <c r="S89" s="2">
        <v>-0.19069632726498342</v>
      </c>
      <c r="T89" s="2">
        <v>2.2254711037111257</v>
      </c>
      <c r="U89" s="23">
        <v>7.530120122895922</v>
      </c>
      <c r="V89" s="23"/>
      <c r="W89" s="64"/>
    </row>
    <row r="90" spans="1:23" x14ac:dyDescent="0.25">
      <c r="A90" s="95"/>
      <c r="B90" s="100"/>
      <c r="C90" s="19" t="s">
        <v>30</v>
      </c>
      <c r="D90" s="2">
        <v>0.18383474710304129</v>
      </c>
      <c r="E90" s="2">
        <v>0.11040139240914565</v>
      </c>
      <c r="F90" s="2">
        <v>-0.19238017753529119</v>
      </c>
      <c r="G90" s="2">
        <v>0.15216642471947989</v>
      </c>
      <c r="H90" s="2">
        <v>0.21193708202505857</v>
      </c>
      <c r="I90" s="2">
        <v>3.9398971085532343E-2</v>
      </c>
      <c r="J90" s="2">
        <v>1.7912549282953198</v>
      </c>
      <c r="K90" s="2">
        <v>0.3067437254687741</v>
      </c>
      <c r="L90" s="2">
        <v>2.3857811760893525E-2</v>
      </c>
      <c r="M90" s="2">
        <v>4.0172088381682548E-3</v>
      </c>
      <c r="N90" s="2">
        <v>-5.9707106759768876E-2</v>
      </c>
      <c r="O90" s="2">
        <v>-2.2831712654501429E-2</v>
      </c>
      <c r="P90" s="2">
        <v>0.23801096282691203</v>
      </c>
      <c r="Q90" s="2">
        <v>5.9931201240221103E-2</v>
      </c>
      <c r="R90" s="2">
        <v>4.3752539658174376E-2</v>
      </c>
      <c r="S90" s="2">
        <v>6.7808614954148388E-2</v>
      </c>
      <c r="T90" s="2">
        <v>-2.1435078000340408E-2</v>
      </c>
      <c r="U90" s="23">
        <v>2.9367615354349672</v>
      </c>
      <c r="V90" s="23"/>
      <c r="W90" s="64"/>
    </row>
    <row r="91" spans="1:23" x14ac:dyDescent="0.25">
      <c r="A91" s="95"/>
      <c r="B91" s="101"/>
      <c r="C91" s="52" t="s">
        <v>31</v>
      </c>
      <c r="D91" s="20">
        <v>0.53416935049477698</v>
      </c>
      <c r="E91" s="20">
        <v>-5.3376656291390732E-2</v>
      </c>
      <c r="F91" s="20">
        <v>0.106195215397274</v>
      </c>
      <c r="G91" s="20">
        <v>1.7834016378742042E-2</v>
      </c>
      <c r="H91" s="20">
        <v>0.28383905666855352</v>
      </c>
      <c r="I91" s="20">
        <v>3.0396055831939169E-2</v>
      </c>
      <c r="J91" s="20">
        <v>-3.3307896295498622</v>
      </c>
      <c r="K91" s="20">
        <v>0.36914472004635224</v>
      </c>
      <c r="L91" s="20">
        <v>0.10426282092741568</v>
      </c>
      <c r="M91" s="20">
        <v>-1.002415246869685</v>
      </c>
      <c r="N91" s="20">
        <v>6.0208692329180101E-2</v>
      </c>
      <c r="O91" s="20">
        <v>0.13551086502931586</v>
      </c>
      <c r="P91" s="20">
        <v>0.11758581174969587</v>
      </c>
      <c r="Q91" s="20">
        <v>8.5810101879099862E-2</v>
      </c>
      <c r="R91" s="20">
        <v>-0.48874322935299463</v>
      </c>
      <c r="S91" s="20">
        <v>-0.67346578635452437</v>
      </c>
      <c r="T91" s="20">
        <v>-1.149316343817306</v>
      </c>
      <c r="U91" s="24">
        <v>-4.8531501855034174</v>
      </c>
      <c r="V91" s="24"/>
      <c r="W91" s="64"/>
    </row>
    <row r="92" spans="1:23" x14ac:dyDescent="0.25">
      <c r="A92" s="95"/>
      <c r="B92" s="99">
        <v>2024</v>
      </c>
      <c r="C92" s="61" t="s">
        <v>28</v>
      </c>
      <c r="D92" s="21">
        <v>1.0879330014685376</v>
      </c>
      <c r="E92" s="21">
        <v>-0.16415553733181482</v>
      </c>
      <c r="F92" s="21">
        <v>0.55756270072965752</v>
      </c>
      <c r="G92" s="21">
        <v>1.3189213124176596E-2</v>
      </c>
      <c r="H92" s="21">
        <v>9.4599186040180361E-2</v>
      </c>
      <c r="I92" s="21">
        <v>7.3023330519378385E-2</v>
      </c>
      <c r="J92" s="21">
        <v>0.16015063912366284</v>
      </c>
      <c r="K92" s="21">
        <v>0.69198794338654501</v>
      </c>
      <c r="L92" s="21">
        <v>8.936294861854148E-2</v>
      </c>
      <c r="M92" s="21">
        <v>2.073548176293222</v>
      </c>
      <c r="N92" s="21">
        <v>-0.23567313761047745</v>
      </c>
      <c r="O92" s="21">
        <v>2.9033708063728628E-2</v>
      </c>
      <c r="P92" s="21">
        <v>0.54299260259966364</v>
      </c>
      <c r="Q92" s="21">
        <v>0.10593300615113171</v>
      </c>
      <c r="R92" s="21">
        <v>-0.17034009584797777</v>
      </c>
      <c r="S92" s="21">
        <v>0.11100456633789593</v>
      </c>
      <c r="T92" s="21">
        <v>-0.47095557521452741</v>
      </c>
      <c r="U92" s="22">
        <v>4.5891966764515235</v>
      </c>
      <c r="V92" s="22"/>
      <c r="W92" s="64"/>
    </row>
    <row r="93" spans="1:23" x14ac:dyDescent="0.25">
      <c r="A93" s="95"/>
      <c r="B93" s="100"/>
      <c r="C93" s="19" t="s">
        <v>29</v>
      </c>
      <c r="D93" s="2">
        <v>2.4884287417959809</v>
      </c>
      <c r="E93" s="2">
        <v>6.9077221734529334E-2</v>
      </c>
      <c r="F93" s="2">
        <v>0.35872905605736904</v>
      </c>
      <c r="G93" s="2">
        <v>0.36437691248711973</v>
      </c>
      <c r="H93" s="2">
        <v>0.41733001505898365</v>
      </c>
      <c r="I93" s="2">
        <v>0.12562072537451421</v>
      </c>
      <c r="J93" s="2">
        <v>0.50940837572783981</v>
      </c>
      <c r="K93" s="2">
        <v>1.0116672655198733</v>
      </c>
      <c r="L93" s="2">
        <v>0.34669535366926529</v>
      </c>
      <c r="M93" s="2">
        <v>0.5010282055256573</v>
      </c>
      <c r="N93" s="2">
        <v>0.30989878887963718</v>
      </c>
      <c r="O93" s="2">
        <v>1.3817712298480835E-2</v>
      </c>
      <c r="P93" s="2">
        <v>0.53756034433064248</v>
      </c>
      <c r="Q93" s="2">
        <v>0.1023712988668186</v>
      </c>
      <c r="R93" s="2">
        <v>1.108094352625226</v>
      </c>
      <c r="S93" s="2">
        <v>-8.612915622741478E-2</v>
      </c>
      <c r="T93" s="2">
        <v>-1.1212086072866709</v>
      </c>
      <c r="U93" s="23">
        <v>7.0567666064378516</v>
      </c>
      <c r="V93" s="23"/>
      <c r="W93" s="64"/>
    </row>
    <row r="94" spans="1:23" x14ac:dyDescent="0.25">
      <c r="A94" s="95"/>
      <c r="B94" s="100"/>
      <c r="C94" s="19" t="s">
        <v>30</v>
      </c>
      <c r="D94" s="2">
        <v>0.32920622518382014</v>
      </c>
      <c r="E94" s="2">
        <v>0.2586432880181071</v>
      </c>
      <c r="F94" s="2">
        <v>0.43233040803515377</v>
      </c>
      <c r="G94" s="2">
        <v>0.32778459341062738</v>
      </c>
      <c r="H94" s="2">
        <v>0.36598039587676079</v>
      </c>
      <c r="I94" s="2">
        <v>1.1874742528109475E-2</v>
      </c>
      <c r="J94" s="2">
        <v>0.31534144551107318</v>
      </c>
      <c r="K94" s="2">
        <v>9.1275478613933772E-2</v>
      </c>
      <c r="L94" s="2">
        <v>2.727293158305092E-2</v>
      </c>
      <c r="M94" s="2">
        <v>0.62436218849061131</v>
      </c>
      <c r="N94" s="2">
        <v>0.31157646399166639</v>
      </c>
      <c r="O94" s="2">
        <v>8.1602781281602296E-2</v>
      </c>
      <c r="P94" s="2">
        <v>0.44606734742429643</v>
      </c>
      <c r="Q94" s="2">
        <v>7.5331672462223997E-2</v>
      </c>
      <c r="R94" s="2">
        <v>0.43546099565658863</v>
      </c>
      <c r="S94" s="2">
        <v>-0.19649407400565155</v>
      </c>
      <c r="T94" s="2">
        <v>0.67612712938467523</v>
      </c>
      <c r="U94" s="23">
        <v>4.6137440134466488</v>
      </c>
      <c r="V94" s="23"/>
      <c r="W94" s="64"/>
    </row>
    <row r="95" spans="1:23" x14ac:dyDescent="0.25">
      <c r="A95" s="95"/>
      <c r="B95" s="101"/>
      <c r="C95" s="52" t="s">
        <v>31</v>
      </c>
      <c r="D95" s="20">
        <v>-8.2128539165701855E-2</v>
      </c>
      <c r="E95" s="20">
        <v>7.9663393292751142E-2</v>
      </c>
      <c r="F95" s="20">
        <v>1.7881090211428963E-2</v>
      </c>
      <c r="G95" s="20">
        <v>0.3527681135743157</v>
      </c>
      <c r="H95" s="20">
        <v>0.17647508584763938</v>
      </c>
      <c r="I95" s="20">
        <v>2.870282657768429E-2</v>
      </c>
      <c r="J95" s="20">
        <v>1.5218795336731542E-2</v>
      </c>
      <c r="K95" s="20">
        <v>-0.48741531123440801</v>
      </c>
      <c r="L95" s="20">
        <v>0.12813621849602544</v>
      </c>
      <c r="M95" s="20">
        <v>0.66984048065606805</v>
      </c>
      <c r="N95" s="20">
        <v>0.42592360834498022</v>
      </c>
      <c r="O95" s="20">
        <v>-2.3140198821755845E-5</v>
      </c>
      <c r="P95" s="20">
        <v>0.33639177611264443</v>
      </c>
      <c r="Q95" s="20">
        <v>8.2175180729064337E-2</v>
      </c>
      <c r="R95" s="20">
        <v>0.59236114250562399</v>
      </c>
      <c r="S95" s="20">
        <v>-0.24510146714168646</v>
      </c>
      <c r="T95" s="20">
        <v>1.2018527517929152</v>
      </c>
      <c r="U95" s="24">
        <v>3.2927220057372542</v>
      </c>
      <c r="V95" s="24"/>
      <c r="W95" s="64"/>
    </row>
    <row r="96" spans="1:23" x14ac:dyDescent="0.25">
      <c r="A96" s="95"/>
      <c r="B96" s="99">
        <v>2025</v>
      </c>
      <c r="C96" s="61" t="s">
        <v>28</v>
      </c>
      <c r="D96" s="21">
        <v>0.48223692417545433</v>
      </c>
      <c r="E96" s="21">
        <v>3.8966128270012682E-2</v>
      </c>
      <c r="F96" s="21">
        <v>-0.32315118348521754</v>
      </c>
      <c r="G96" s="21">
        <v>0.25221759127450311</v>
      </c>
      <c r="H96" s="21">
        <v>0.27525928705460617</v>
      </c>
      <c r="I96" s="21">
        <v>2.0859929105878374E-3</v>
      </c>
      <c r="J96" s="21">
        <v>0.33981547617945423</v>
      </c>
      <c r="K96" s="21">
        <v>0.30565433436325107</v>
      </c>
      <c r="L96" s="21">
        <v>-3.8982265086563779E-2</v>
      </c>
      <c r="M96" s="21">
        <v>0.41613878952499561</v>
      </c>
      <c r="N96" s="21">
        <v>0.61665445348720449</v>
      </c>
      <c r="O96" s="21">
        <v>7.3251127303562091E-2</v>
      </c>
      <c r="P96" s="21">
        <v>0.98895049485112085</v>
      </c>
      <c r="Q96" s="21">
        <v>9.0758738014149784E-2</v>
      </c>
      <c r="R96" s="21">
        <v>0.11283184508652472</v>
      </c>
      <c r="S96" s="21">
        <v>-4.5988515987593105E-2</v>
      </c>
      <c r="T96" s="21">
        <v>0.76224314527356907</v>
      </c>
      <c r="U96" s="22">
        <v>4.3489423632096225</v>
      </c>
      <c r="V96" s="22"/>
      <c r="W96" s="64"/>
    </row>
    <row r="97" spans="1:23" x14ac:dyDescent="0.25">
      <c r="A97" s="95"/>
      <c r="B97" s="100"/>
      <c r="C97" s="19" t="s">
        <v>29</v>
      </c>
      <c r="D97" s="2">
        <v>0.5093371548862865</v>
      </c>
      <c r="E97" s="2">
        <v>-1.0383319544746486E-3</v>
      </c>
      <c r="F97" s="2">
        <v>-0.4650355789042469</v>
      </c>
      <c r="G97" s="2">
        <v>3.1456692756390917E-2</v>
      </c>
      <c r="H97" s="2">
        <v>0.21300402832247792</v>
      </c>
      <c r="I97" s="2">
        <v>1.8051610216208294E-2</v>
      </c>
      <c r="J97" s="2">
        <v>7.6169254644003856E-2</v>
      </c>
      <c r="K97" s="2">
        <v>9.870371524178452E-2</v>
      </c>
      <c r="L97" s="2">
        <v>0.1311812039035844</v>
      </c>
      <c r="M97" s="2">
        <v>0.1409683101199288</v>
      </c>
      <c r="N97" s="2">
        <v>0.748932088436566</v>
      </c>
      <c r="O97" s="2">
        <v>4.6331531353692994E-2</v>
      </c>
      <c r="P97" s="2">
        <v>-0.24670894675515809</v>
      </c>
      <c r="Q97" s="2">
        <v>5.3947083862618726E-2</v>
      </c>
      <c r="R97" s="2">
        <v>3.6928290227869101E-2</v>
      </c>
      <c r="S97" s="2">
        <v>-0.29944666546897492</v>
      </c>
      <c r="T97" s="2">
        <v>0.45397282038310799</v>
      </c>
      <c r="U97" s="25">
        <v>1.5467542612716654</v>
      </c>
      <c r="V97" s="25"/>
      <c r="W97" s="64"/>
    </row>
    <row r="98" spans="1:23" x14ac:dyDescent="0.25">
      <c r="A98" s="95"/>
      <c r="B98" s="100"/>
      <c r="C98" s="19" t="s">
        <v>30</v>
      </c>
      <c r="D98" s="2">
        <v>0.15785792312739516</v>
      </c>
      <c r="E98" s="2">
        <v>-7.1681557176181201E-2</v>
      </c>
      <c r="F98" s="2">
        <v>-0.33112504315353131</v>
      </c>
      <c r="G98" s="2">
        <v>1.0113285232073554E-2</v>
      </c>
      <c r="H98" s="2">
        <v>0.32111284956966313</v>
      </c>
      <c r="I98" s="2">
        <v>-1.4192493452749397E-4</v>
      </c>
      <c r="J98" s="2">
        <v>0.16076493126342489</v>
      </c>
      <c r="K98" s="2">
        <v>0.15291099466729924</v>
      </c>
      <c r="L98" s="2">
        <v>-2.8619230554756993E-3</v>
      </c>
      <c r="M98" s="2">
        <v>0.19961699749627432</v>
      </c>
      <c r="N98" s="2">
        <v>0.58466279481155647</v>
      </c>
      <c r="O98" s="2">
        <v>5.9082572620049296E-2</v>
      </c>
      <c r="P98" s="2">
        <v>0.28489459331402905</v>
      </c>
      <c r="Q98" s="2">
        <v>6.0186524014695771E-2</v>
      </c>
      <c r="R98" s="2">
        <v>0.10872098708692086</v>
      </c>
      <c r="S98" s="2">
        <v>-0.25494487377376385</v>
      </c>
      <c r="T98" s="2">
        <v>0.27560664813386176</v>
      </c>
      <c r="U98" s="23">
        <v>1.7147757792437637</v>
      </c>
      <c r="V98" s="23"/>
      <c r="W98" s="64"/>
    </row>
    <row r="99" spans="1:23" x14ac:dyDescent="0.25">
      <c r="A99" s="95"/>
      <c r="B99" s="101"/>
      <c r="C99" s="52" t="s">
        <v>31</v>
      </c>
      <c r="D99" s="20">
        <v>0.17679930206728769</v>
      </c>
      <c r="E99" s="20">
        <v>0.10150457907682529</v>
      </c>
      <c r="F99" s="20">
        <v>-9.1981594054501736E-2</v>
      </c>
      <c r="G99" s="20">
        <v>-6.7379353739281916E-2</v>
      </c>
      <c r="H99" s="20">
        <v>0.98115671144412631</v>
      </c>
      <c r="I99" s="20">
        <v>1.7439529036861481E-2</v>
      </c>
      <c r="J99" s="20">
        <v>0.2005165123681894</v>
      </c>
      <c r="K99" s="20">
        <v>0.5123307009161332</v>
      </c>
      <c r="L99" s="20">
        <v>0.2644397549415235</v>
      </c>
      <c r="M99" s="20">
        <v>0.45710714714623674</v>
      </c>
      <c r="N99" s="20">
        <v>0.71022770721787865</v>
      </c>
      <c r="O99" s="20">
        <v>8.4386161008066979E-2</v>
      </c>
      <c r="P99" s="20">
        <v>0.42268936630453485</v>
      </c>
      <c r="Q99" s="20">
        <v>0.11754606375755118</v>
      </c>
      <c r="R99" s="20">
        <v>9.4459381895826033E-2</v>
      </c>
      <c r="S99" s="20">
        <v>0.16233929427780938</v>
      </c>
      <c r="T99" s="20">
        <v>0.9883417039729262</v>
      </c>
      <c r="U99" s="24">
        <v>5.1319229676379932</v>
      </c>
      <c r="V99" s="24"/>
      <c r="W99" s="64"/>
    </row>
    <row r="100" spans="1:23" x14ac:dyDescent="0.25">
      <c r="A100" s="95"/>
      <c r="B100" s="99">
        <v>2026</v>
      </c>
      <c r="C100" s="61" t="s">
        <v>28</v>
      </c>
      <c r="D100" s="21">
        <v>0.24461482161206871</v>
      </c>
      <c r="E100" s="21">
        <v>0.19250691037675521</v>
      </c>
      <c r="F100" s="21">
        <v>-2.0488472942972177E-2</v>
      </c>
      <c r="G100" s="21">
        <v>4.2246178607253056E-2</v>
      </c>
      <c r="H100" s="21">
        <v>0.48385496742020428</v>
      </c>
      <c r="I100" s="21">
        <v>0.13367567049883039</v>
      </c>
      <c r="J100" s="21">
        <v>0.15495020954444091</v>
      </c>
      <c r="K100" s="21">
        <v>0.35970261207546594</v>
      </c>
      <c r="L100" s="21">
        <v>-5.8053920885165908E-2</v>
      </c>
      <c r="M100" s="21">
        <v>1.7987868932610349</v>
      </c>
      <c r="N100" s="21">
        <v>0.70627529869922479</v>
      </c>
      <c r="O100" s="21">
        <v>0.1022951205124779</v>
      </c>
      <c r="P100" s="21">
        <v>0.38309424006914594</v>
      </c>
      <c r="Q100" s="21">
        <v>0.15575676031189681</v>
      </c>
      <c r="R100" s="21">
        <v>7.52032731229164E-2</v>
      </c>
      <c r="S100" s="21">
        <v>-0.34150002689354175</v>
      </c>
      <c r="T100" s="21">
        <v>0.91163641098186121</v>
      </c>
      <c r="U100" s="22">
        <v>5.3245569463718976</v>
      </c>
      <c r="V100" s="22"/>
      <c r="W100" s="64"/>
    </row>
    <row r="101" spans="1:23" x14ac:dyDescent="0.25">
      <c r="A101" s="95"/>
      <c r="B101" s="100"/>
      <c r="C101" s="19" t="s">
        <v>29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5"/>
      <c r="V101" s="25"/>
      <c r="W101" s="64"/>
    </row>
    <row r="102" spans="1:23" x14ac:dyDescent="0.25">
      <c r="A102" s="95"/>
      <c r="B102" s="100"/>
      <c r="C102" s="19" t="s">
        <v>30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3"/>
      <c r="V102" s="23"/>
      <c r="W102" s="64"/>
    </row>
    <row r="103" spans="1:23" x14ac:dyDescent="0.25">
      <c r="A103" s="95"/>
      <c r="B103" s="101"/>
      <c r="C103" s="52" t="s">
        <v>31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4"/>
      <c r="V103" s="24"/>
      <c r="W103" s="64"/>
    </row>
    <row r="104" spans="1:23" x14ac:dyDescent="0.25">
      <c r="C104" s="17" t="s">
        <v>52</v>
      </c>
    </row>
    <row r="105" spans="1:23" x14ac:dyDescent="0.25"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47"/>
    </row>
    <row r="106" spans="1:23" ht="15.95" customHeight="1" x14ac:dyDescent="0.25">
      <c r="D106" s="5"/>
      <c r="E106" s="5"/>
      <c r="F106" s="5"/>
      <c r="G106" s="5"/>
      <c r="H106" s="6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65"/>
      <c r="T106" s="65"/>
    </row>
    <row r="108" spans="1:23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3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68"/>
      <c r="Q109" s="4"/>
      <c r="R109" s="4"/>
      <c r="S109" s="4"/>
      <c r="T109" s="68"/>
    </row>
  </sheetData>
  <mergeCells count="28">
    <mergeCell ref="B100:B103"/>
    <mergeCell ref="A1:A103"/>
    <mergeCell ref="C1:U1"/>
    <mergeCell ref="B2:C2"/>
    <mergeCell ref="B4:B7"/>
    <mergeCell ref="B8:B11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  <mergeCell ref="B48:B51"/>
    <mergeCell ref="B52:B55"/>
    <mergeCell ref="B56:B59"/>
    <mergeCell ref="B60:B63"/>
    <mergeCell ref="B64:B67"/>
    <mergeCell ref="B68:B71"/>
    <mergeCell ref="B72:B75"/>
    <mergeCell ref="B96:B99"/>
    <mergeCell ref="B76:B79"/>
    <mergeCell ref="B80:B83"/>
    <mergeCell ref="B84:B87"/>
    <mergeCell ref="B88:B91"/>
    <mergeCell ref="B92:B95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7"/>
  <sheetViews>
    <sheetView showGridLines="0" zoomScale="110" zoomScaleNormal="110" workbookViewId="0">
      <pane xSplit="3" ySplit="2" topLeftCell="D107" activePane="bottomRight" state="frozen"/>
      <selection activeCell="A2" sqref="A2:B98"/>
      <selection pane="topRight" activeCell="A2" sqref="A2:B98"/>
      <selection pane="bottomLeft" activeCell="A2" sqref="A2:B98"/>
      <selection pane="bottomRight" sqref="A1:A127"/>
    </sheetView>
  </sheetViews>
  <sheetFormatPr defaultColWidth="8.875" defaultRowHeight="15.75" x14ac:dyDescent="0.25"/>
  <cols>
    <col min="2" max="2" width="4.875" style="18" customWidth="1"/>
    <col min="3" max="3" width="5.625" style="18" customWidth="1"/>
    <col min="4" max="4" width="15.5" customWidth="1"/>
  </cols>
  <sheetData>
    <row r="1" spans="1:23" x14ac:dyDescent="0.25">
      <c r="A1" s="95"/>
      <c r="C1" s="96" t="s">
        <v>35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spans="1:23" ht="78.75" x14ac:dyDescent="0.25">
      <c r="A2" s="95"/>
      <c r="B2" s="97" t="s">
        <v>53</v>
      </c>
      <c r="C2" s="97"/>
      <c r="D2" s="10" t="s">
        <v>0</v>
      </c>
      <c r="E2" s="10" t="s">
        <v>23</v>
      </c>
      <c r="F2" s="10" t="s">
        <v>2</v>
      </c>
      <c r="G2" s="10" t="s">
        <v>3</v>
      </c>
      <c r="H2" s="10" t="s">
        <v>4</v>
      </c>
      <c r="I2" s="10" t="s">
        <v>24</v>
      </c>
      <c r="J2" s="10" t="s">
        <v>6</v>
      </c>
      <c r="K2" s="10" t="s">
        <v>25</v>
      </c>
      <c r="L2" s="10" t="s">
        <v>26</v>
      </c>
      <c r="M2" s="10" t="s">
        <v>9</v>
      </c>
      <c r="N2" s="10" t="s">
        <v>27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1"/>
      <c r="W2" s="11"/>
    </row>
    <row r="3" spans="1:23" s="9" customFormat="1" x14ac:dyDescent="0.25">
      <c r="A3" s="95"/>
      <c r="B3" s="54"/>
      <c r="C3" s="55" t="s">
        <v>51</v>
      </c>
      <c r="D3" s="37">
        <f>+SUM(D4:D7)</f>
        <v>2273994.1608319702</v>
      </c>
      <c r="E3" s="37">
        <f t="shared" ref="E3:U3" si="0">+SUM(E4:E7)</f>
        <v>185862.92708039682</v>
      </c>
      <c r="F3" s="37">
        <f t="shared" si="0"/>
        <v>3110769.6738805771</v>
      </c>
      <c r="G3" s="37">
        <f t="shared" si="0"/>
        <v>128865.67369586253</v>
      </c>
      <c r="H3" s="37">
        <f t="shared" si="0"/>
        <v>825316.55220942455</v>
      </c>
      <c r="I3" s="37">
        <f t="shared" si="0"/>
        <v>120661.12839354589</v>
      </c>
      <c r="J3" s="37">
        <f t="shared" si="0"/>
        <v>1366689.7952169331</v>
      </c>
      <c r="K3" s="37">
        <f t="shared" si="0"/>
        <v>1798594.5204138164</v>
      </c>
      <c r="L3" s="37">
        <f t="shared" si="0"/>
        <v>281750.27540101262</v>
      </c>
      <c r="M3" s="37">
        <f t="shared" si="0"/>
        <v>704981.29307561298</v>
      </c>
      <c r="N3" s="37">
        <f t="shared" si="0"/>
        <v>209858.10287927199</v>
      </c>
      <c r="O3" s="37">
        <f t="shared" si="0"/>
        <v>334874.33793824795</v>
      </c>
      <c r="P3" s="37">
        <f t="shared" si="0"/>
        <v>1793784.7378778441</v>
      </c>
      <c r="Q3" s="37">
        <f t="shared" si="0"/>
        <v>704676.64377942588</v>
      </c>
      <c r="R3" s="37">
        <f t="shared" si="0"/>
        <v>896090.54986928008</v>
      </c>
      <c r="S3" s="37">
        <f t="shared" si="0"/>
        <v>514018.30914962763</v>
      </c>
      <c r="T3" s="37">
        <f t="shared" si="0"/>
        <v>-187439.04750420159</v>
      </c>
      <c r="U3" s="38">
        <f t="shared" si="0"/>
        <v>15675084.328279616</v>
      </c>
      <c r="V3" s="8"/>
      <c r="W3" s="8"/>
    </row>
    <row r="4" spans="1:23" x14ac:dyDescent="0.25">
      <c r="A4" s="95"/>
      <c r="B4" s="100">
        <v>2002</v>
      </c>
      <c r="C4" s="16" t="s">
        <v>28</v>
      </c>
      <c r="D4" s="12">
        <v>237453.80825338158</v>
      </c>
      <c r="E4" s="12">
        <v>19740.821381610109</v>
      </c>
      <c r="F4" s="12">
        <v>317550.05644587678</v>
      </c>
      <c r="G4" s="12">
        <v>12771.317764192567</v>
      </c>
      <c r="H4" s="12">
        <v>78888.934572385609</v>
      </c>
      <c r="I4" s="12">
        <v>11424.110420439114</v>
      </c>
      <c r="J4" s="12">
        <v>140722.34730343448</v>
      </c>
      <c r="K4" s="12">
        <v>148430.61906439796</v>
      </c>
      <c r="L4" s="12">
        <v>14850.659720380181</v>
      </c>
      <c r="M4" s="12">
        <v>65360.206776789804</v>
      </c>
      <c r="N4" s="12">
        <v>20542.965264044095</v>
      </c>
      <c r="O4" s="12">
        <v>28349.375776312059</v>
      </c>
      <c r="P4" s="12">
        <v>159794.13790614763</v>
      </c>
      <c r="Q4" s="12">
        <v>63478.074153029527</v>
      </c>
      <c r="R4" s="12">
        <v>72333.169778153388</v>
      </c>
      <c r="S4" s="12">
        <v>45536.407642745282</v>
      </c>
      <c r="T4" s="12">
        <v>-16118.798088195093</v>
      </c>
      <c r="U4" s="39">
        <v>1540753.9365699652</v>
      </c>
    </row>
    <row r="5" spans="1:23" x14ac:dyDescent="0.25">
      <c r="A5" s="95"/>
      <c r="B5" s="100"/>
      <c r="C5" s="16" t="s">
        <v>29</v>
      </c>
      <c r="D5" s="12">
        <v>537141.18892834324</v>
      </c>
      <c r="E5" s="12">
        <v>36368.077814915305</v>
      </c>
      <c r="F5" s="12">
        <v>619608.36028718553</v>
      </c>
      <c r="G5" s="12">
        <v>24434.936627904444</v>
      </c>
      <c r="H5" s="12">
        <v>159427.47370044811</v>
      </c>
      <c r="I5" s="12">
        <v>23993.612308957818</v>
      </c>
      <c r="J5" s="12">
        <v>268056.6289830574</v>
      </c>
      <c r="K5" s="12">
        <v>323057.54911480215</v>
      </c>
      <c r="L5" s="12">
        <v>46743.721688761463</v>
      </c>
      <c r="M5" s="12">
        <v>133885.42149740699</v>
      </c>
      <c r="N5" s="12">
        <v>41493.47406490225</v>
      </c>
      <c r="O5" s="12">
        <v>59239.147551397822</v>
      </c>
      <c r="P5" s="12">
        <v>321625.85221077746</v>
      </c>
      <c r="Q5" s="12">
        <v>130364.08512306938</v>
      </c>
      <c r="R5" s="12">
        <v>164690.86330459145</v>
      </c>
      <c r="S5" s="12">
        <v>95426.968819180387</v>
      </c>
      <c r="T5" s="12">
        <v>-34337.099564399105</v>
      </c>
      <c r="U5" s="39">
        <v>3065661.3936021975</v>
      </c>
    </row>
    <row r="6" spans="1:23" x14ac:dyDescent="0.25">
      <c r="A6" s="95"/>
      <c r="B6" s="100"/>
      <c r="C6" s="16" t="s">
        <v>30</v>
      </c>
      <c r="D6" s="12">
        <v>698411.43139114324</v>
      </c>
      <c r="E6" s="12">
        <v>51881.279307013348</v>
      </c>
      <c r="F6" s="12">
        <v>931611.64373914758</v>
      </c>
      <c r="G6" s="12">
        <v>38905.625345441818</v>
      </c>
      <c r="H6" s="12">
        <v>243305.65324003936</v>
      </c>
      <c r="I6" s="12">
        <v>36760.533053533654</v>
      </c>
      <c r="J6" s="12">
        <v>410947.93892717955</v>
      </c>
      <c r="K6" s="12">
        <v>536117.35920632572</v>
      </c>
      <c r="L6" s="12">
        <v>87129.701049411669</v>
      </c>
      <c r="M6" s="12">
        <v>213267.3312050263</v>
      </c>
      <c r="N6" s="12">
        <v>62146.110724573533</v>
      </c>
      <c r="O6" s="12">
        <v>99853.841033055593</v>
      </c>
      <c r="P6" s="12">
        <v>506142.79489420669</v>
      </c>
      <c r="Q6" s="12">
        <v>209534.78174502173</v>
      </c>
      <c r="R6" s="12">
        <v>273626.65927681932</v>
      </c>
      <c r="S6" s="12">
        <v>150768.34044155153</v>
      </c>
      <c r="T6" s="12">
        <v>-55147.220021353423</v>
      </c>
      <c r="U6" s="39">
        <v>4644693.8176448941</v>
      </c>
    </row>
    <row r="7" spans="1:23" x14ac:dyDescent="0.25">
      <c r="A7" s="95"/>
      <c r="B7" s="101"/>
      <c r="C7" s="28" t="s">
        <v>31</v>
      </c>
      <c r="D7" s="40">
        <v>800987.73225910193</v>
      </c>
      <c r="E7" s="40">
        <v>77872.748576858066</v>
      </c>
      <c r="F7" s="40">
        <v>1241999.6134083674</v>
      </c>
      <c r="G7" s="40">
        <v>52753.793958323688</v>
      </c>
      <c r="H7" s="40">
        <v>343694.49069655139</v>
      </c>
      <c r="I7" s="40">
        <v>48482.872610615304</v>
      </c>
      <c r="J7" s="40">
        <v>546962.88000326173</v>
      </c>
      <c r="K7" s="40">
        <v>790988.99302829057</v>
      </c>
      <c r="L7" s="40">
        <v>133026.19294245931</v>
      </c>
      <c r="M7" s="40">
        <v>292468.3335963898</v>
      </c>
      <c r="N7" s="40">
        <v>85675.552825752107</v>
      </c>
      <c r="O7" s="40">
        <v>147431.97357748245</v>
      </c>
      <c r="P7" s="40">
        <v>806221.95286671235</v>
      </c>
      <c r="Q7" s="40">
        <v>301299.70275830518</v>
      </c>
      <c r="R7" s="40">
        <v>385439.85750971595</v>
      </c>
      <c r="S7" s="40">
        <v>222286.59224615042</v>
      </c>
      <c r="T7" s="40">
        <v>-81835.929830253968</v>
      </c>
      <c r="U7" s="41">
        <v>6423975.1804625597</v>
      </c>
    </row>
    <row r="8" spans="1:23" x14ac:dyDescent="0.25">
      <c r="A8" s="95"/>
      <c r="B8" s="54"/>
      <c r="C8" s="55" t="s">
        <v>51</v>
      </c>
      <c r="D8" s="37">
        <f>+SUM(D9:D12)</f>
        <v>2454049.4319722364</v>
      </c>
      <c r="E8" s="37">
        <f t="shared" ref="E8" si="1">+SUM(E9:E12)</f>
        <v>198802.19004282332</v>
      </c>
      <c r="F8" s="37">
        <f t="shared" ref="F8" si="2">+SUM(F9:F12)</f>
        <v>2987066.3648187532</v>
      </c>
      <c r="G8" s="37">
        <f t="shared" ref="G8" si="3">+SUM(G9:G12)</f>
        <v>150694.78823873075</v>
      </c>
      <c r="H8" s="37">
        <f t="shared" ref="H8" si="4">+SUM(H9:H12)</f>
        <v>870574.0196328091</v>
      </c>
      <c r="I8" s="37">
        <f t="shared" ref="I8" si="5">+SUM(I9:I12)</f>
        <v>138583.61539876508</v>
      </c>
      <c r="J8" s="37">
        <f t="shared" ref="J8" si="6">+SUM(J9:J12)</f>
        <v>1565865.2347864606</v>
      </c>
      <c r="K8" s="37">
        <f t="shared" ref="K8" si="7">+SUM(K9:K12)</f>
        <v>1951899.9389550763</v>
      </c>
      <c r="L8" s="37">
        <f t="shared" ref="L8" si="8">+SUM(L9:L12)</f>
        <v>312423.05988491507</v>
      </c>
      <c r="M8" s="37">
        <f t="shared" ref="M8" si="9">+SUM(M9:M12)</f>
        <v>708201.75538231479</v>
      </c>
      <c r="N8" s="37">
        <f t="shared" ref="N8" si="10">+SUM(N9:N12)</f>
        <v>219837.68461012223</v>
      </c>
      <c r="O8" s="37">
        <f t="shared" ref="O8" si="11">+SUM(O9:O12)</f>
        <v>350348.2424310284</v>
      </c>
      <c r="P8" s="37">
        <f t="shared" ref="P8" si="12">+SUM(P9:P12)</f>
        <v>1952208.7636990559</v>
      </c>
      <c r="Q8" s="37">
        <f t="shared" ref="Q8" si="13">+SUM(Q9:Q12)</f>
        <v>716738.62658349087</v>
      </c>
      <c r="R8" s="37">
        <f t="shared" ref="R8" si="14">+SUM(R9:R12)</f>
        <v>927626.06614074693</v>
      </c>
      <c r="S8" s="37">
        <f t="shared" ref="S8" si="15">+SUM(S9:S12)</f>
        <v>600436.77079676057</v>
      </c>
      <c r="T8" s="37">
        <f t="shared" ref="T8" si="16">+SUM(T9:T12)</f>
        <v>-189432.17489553901</v>
      </c>
      <c r="U8" s="38">
        <f t="shared" ref="U8" si="17">+SUM(U9:U12)</f>
        <v>16155148.448287275</v>
      </c>
      <c r="V8" s="11"/>
      <c r="W8" s="11"/>
    </row>
    <row r="9" spans="1:23" x14ac:dyDescent="0.25">
      <c r="A9" s="95"/>
      <c r="B9" s="100">
        <v>2003</v>
      </c>
      <c r="C9" s="16" t="s">
        <v>28</v>
      </c>
      <c r="D9" s="12">
        <v>252936.79126927321</v>
      </c>
      <c r="E9" s="12">
        <v>20851.582097956962</v>
      </c>
      <c r="F9" s="12">
        <v>304845.65101329354</v>
      </c>
      <c r="G9" s="12">
        <v>12647.069397947491</v>
      </c>
      <c r="H9" s="12">
        <v>81801.342348221835</v>
      </c>
      <c r="I9" s="12">
        <v>14183.696731980601</v>
      </c>
      <c r="J9" s="12">
        <v>155887.1533123421</v>
      </c>
      <c r="K9" s="12">
        <v>161932.5162730329</v>
      </c>
      <c r="L9" s="12">
        <v>15780.124795487429</v>
      </c>
      <c r="M9" s="12">
        <v>65217.623661295183</v>
      </c>
      <c r="N9" s="12">
        <v>21409.269032458236</v>
      </c>
      <c r="O9" s="12">
        <v>27534.652487242602</v>
      </c>
      <c r="P9" s="12">
        <v>175368.13111285141</v>
      </c>
      <c r="Q9" s="12">
        <v>60308.589444269681</v>
      </c>
      <c r="R9" s="12">
        <v>74684.033605354227</v>
      </c>
      <c r="S9" s="12">
        <v>55168.090435592327</v>
      </c>
      <c r="T9" s="12">
        <v>-19054.367563513184</v>
      </c>
      <c r="U9" s="39">
        <v>1553375.0336050759</v>
      </c>
    </row>
    <row r="10" spans="1:23" x14ac:dyDescent="0.25">
      <c r="A10" s="95"/>
      <c r="B10" s="100"/>
      <c r="C10" s="16" t="s">
        <v>29</v>
      </c>
      <c r="D10" s="12">
        <v>578089.02219435317</v>
      </c>
      <c r="E10" s="12">
        <v>38687.31437662986</v>
      </c>
      <c r="F10" s="12">
        <v>594442.14272217744</v>
      </c>
      <c r="G10" s="12">
        <v>27831.741160101858</v>
      </c>
      <c r="H10" s="12">
        <v>166894.75384083859</v>
      </c>
      <c r="I10" s="12">
        <v>28761.856190238221</v>
      </c>
      <c r="J10" s="12">
        <v>302004.33094953897</v>
      </c>
      <c r="K10" s="12">
        <v>359852.82018095895</v>
      </c>
      <c r="L10" s="12">
        <v>50660.610675274067</v>
      </c>
      <c r="M10" s="12">
        <v>133842.33785959476</v>
      </c>
      <c r="N10" s="12">
        <v>43453.990370025494</v>
      </c>
      <c r="O10" s="12">
        <v>60777.159818895059</v>
      </c>
      <c r="P10" s="12">
        <v>354340.78758441791</v>
      </c>
      <c r="Q10" s="12">
        <v>129208.75771349398</v>
      </c>
      <c r="R10" s="12">
        <v>172546.80370908335</v>
      </c>
      <c r="S10" s="12">
        <v>114429.45799786568</v>
      </c>
      <c r="T10" s="12">
        <v>-37790.300255909184</v>
      </c>
      <c r="U10" s="39">
        <v>3146191.4105610638</v>
      </c>
    </row>
    <row r="11" spans="1:23" x14ac:dyDescent="0.25">
      <c r="A11" s="95"/>
      <c r="B11" s="100"/>
      <c r="C11" s="16" t="s">
        <v>30</v>
      </c>
      <c r="D11" s="12">
        <v>754765.77788747475</v>
      </c>
      <c r="E11" s="12">
        <v>55488.93874891186</v>
      </c>
      <c r="F11" s="12">
        <v>893905.85246155201</v>
      </c>
      <c r="G11" s="12">
        <v>47013.61711411125</v>
      </c>
      <c r="H11" s="12">
        <v>256774.20359310028</v>
      </c>
      <c r="I11" s="12">
        <v>41319.857743100998</v>
      </c>
      <c r="J11" s="12">
        <v>471207.45337523904</v>
      </c>
      <c r="K11" s="12">
        <v>589254.52895761735</v>
      </c>
      <c r="L11" s="12">
        <v>96216.644975619522</v>
      </c>
      <c r="M11" s="12">
        <v>214012.9546035158</v>
      </c>
      <c r="N11" s="12">
        <v>65208.892754000044</v>
      </c>
      <c r="O11" s="12">
        <v>105709.6338962256</v>
      </c>
      <c r="P11" s="12">
        <v>555106.24449041253</v>
      </c>
      <c r="Q11" s="12">
        <v>216709.69062142901</v>
      </c>
      <c r="R11" s="12">
        <v>285324.34397199575</v>
      </c>
      <c r="S11" s="12">
        <v>177628.47599957098</v>
      </c>
      <c r="T11" s="12">
        <v>-56099.262147504705</v>
      </c>
      <c r="U11" s="39">
        <v>4807582.7405547388</v>
      </c>
    </row>
    <row r="12" spans="1:23" x14ac:dyDescent="0.25">
      <c r="A12" s="95"/>
      <c r="B12" s="101"/>
      <c r="C12" s="28" t="s">
        <v>31</v>
      </c>
      <c r="D12" s="40">
        <v>868257.84062113543</v>
      </c>
      <c r="E12" s="40">
        <v>83774.354819324653</v>
      </c>
      <c r="F12" s="40">
        <v>1193872.7186217303</v>
      </c>
      <c r="G12" s="40">
        <v>63202.360566570162</v>
      </c>
      <c r="H12" s="40">
        <v>365103.71985064843</v>
      </c>
      <c r="I12" s="40">
        <v>54318.204733445236</v>
      </c>
      <c r="J12" s="40">
        <v>636766.29714934062</v>
      </c>
      <c r="K12" s="40">
        <v>840860.07354346709</v>
      </c>
      <c r="L12" s="40">
        <v>149765.67943853405</v>
      </c>
      <c r="M12" s="40">
        <v>295128.83925790904</v>
      </c>
      <c r="N12" s="40">
        <v>89765.532453638472</v>
      </c>
      <c r="O12" s="40">
        <v>156326.79622866516</v>
      </c>
      <c r="P12" s="40">
        <v>867393.60051137418</v>
      </c>
      <c r="Q12" s="40">
        <v>310511.5888042982</v>
      </c>
      <c r="R12" s="40">
        <v>395070.88485431357</v>
      </c>
      <c r="S12" s="40">
        <v>253210.74636373157</v>
      </c>
      <c r="T12" s="40">
        <v>-76488.244928611952</v>
      </c>
      <c r="U12" s="41">
        <v>6647999.2635663971</v>
      </c>
    </row>
    <row r="13" spans="1:23" x14ac:dyDescent="0.25">
      <c r="A13" s="95"/>
      <c r="B13" s="54"/>
      <c r="C13" s="55" t="s">
        <v>51</v>
      </c>
      <c r="D13" s="37">
        <f>+SUM(D14:D17)</f>
        <v>2696499.9803172173</v>
      </c>
      <c r="E13" s="37">
        <f t="shared" ref="E13" si="18">+SUM(E14:E17)</f>
        <v>213254.72827487302</v>
      </c>
      <c r="F13" s="37">
        <f t="shared" ref="F13" si="19">+SUM(F14:F17)</f>
        <v>3390684.4344775663</v>
      </c>
      <c r="G13" s="37">
        <f t="shared" ref="G13" si="20">+SUM(G14:G17)</f>
        <v>165815.86498533396</v>
      </c>
      <c r="H13" s="37">
        <f t="shared" ref="H13" si="21">+SUM(H14:H17)</f>
        <v>1044885.6354280266</v>
      </c>
      <c r="I13" s="37">
        <f t="shared" ref="I13" si="22">+SUM(I14:I17)</f>
        <v>153211.61568161994</v>
      </c>
      <c r="J13" s="37">
        <f t="shared" ref="J13" si="23">+SUM(J14:J17)</f>
        <v>1949475.7511727042</v>
      </c>
      <c r="K13" s="37">
        <f t="shared" ref="K13" si="24">+SUM(K14:K17)</f>
        <v>2138409.8262063414</v>
      </c>
      <c r="L13" s="37">
        <f t="shared" ref="L13" si="25">+SUM(L14:L17)</f>
        <v>377039.90798451408</v>
      </c>
      <c r="M13" s="37">
        <f t="shared" ref="M13" si="26">+SUM(M14:M17)</f>
        <v>752546.19877645443</v>
      </c>
      <c r="N13" s="37">
        <f t="shared" ref="N13" si="27">+SUM(N14:N17)</f>
        <v>226135.29054458038</v>
      </c>
      <c r="O13" s="37">
        <f t="shared" ref="O13" si="28">+SUM(O14:O17)</f>
        <v>370410.32846555801</v>
      </c>
      <c r="P13" s="37">
        <f t="shared" ref="P13" si="29">+SUM(P14:P17)</f>
        <v>2185954.3075131518</v>
      </c>
      <c r="Q13" s="37">
        <f t="shared" ref="Q13" si="30">+SUM(Q14:Q17)</f>
        <v>790318.56864215084</v>
      </c>
      <c r="R13" s="37">
        <f t="shared" ref="R13" si="31">+SUM(R14:R17)</f>
        <v>1081199.8536952841</v>
      </c>
      <c r="S13" s="37">
        <f t="shared" ref="S13" si="32">+SUM(S14:S17)</f>
        <v>623609.46695500857</v>
      </c>
      <c r="T13" s="37">
        <f t="shared" ref="T13" si="33">+SUM(T14:T17)</f>
        <v>-334099.52944372065</v>
      </c>
      <c r="U13" s="38">
        <f t="shared" ref="U13" si="34">+SUM(U14:U17)</f>
        <v>17725486.069627754</v>
      </c>
      <c r="V13" s="11"/>
      <c r="W13" s="11"/>
    </row>
    <row r="14" spans="1:23" x14ac:dyDescent="0.25">
      <c r="A14" s="95"/>
      <c r="B14" s="100">
        <v>2004</v>
      </c>
      <c r="C14" s="16" t="s">
        <v>28</v>
      </c>
      <c r="D14" s="12">
        <v>279094.98168234056</v>
      </c>
      <c r="E14" s="12">
        <v>22631.402711879346</v>
      </c>
      <c r="F14" s="12">
        <v>343468.79264995886</v>
      </c>
      <c r="G14" s="12">
        <v>15656.92002050384</v>
      </c>
      <c r="H14" s="12">
        <v>96006.978909124096</v>
      </c>
      <c r="I14" s="12">
        <v>14237.876116580406</v>
      </c>
      <c r="J14" s="12">
        <v>194396.90818619725</v>
      </c>
      <c r="K14" s="12">
        <v>194487.04637001138</v>
      </c>
      <c r="L14" s="12">
        <v>19107.014271277454</v>
      </c>
      <c r="M14" s="12">
        <v>68113.036014785423</v>
      </c>
      <c r="N14" s="12">
        <v>21777.986896366074</v>
      </c>
      <c r="O14" s="12">
        <v>33911.204688292419</v>
      </c>
      <c r="P14" s="12">
        <v>205290.95219488069</v>
      </c>
      <c r="Q14" s="12">
        <v>78472.667377348494</v>
      </c>
      <c r="R14" s="12">
        <v>94092.535951023805</v>
      </c>
      <c r="S14" s="12">
        <v>57441.6139745377</v>
      </c>
      <c r="T14" s="12">
        <v>-81742.835550019649</v>
      </c>
      <c r="U14" s="39">
        <v>1561623.296778264</v>
      </c>
    </row>
    <row r="15" spans="1:23" x14ac:dyDescent="0.25">
      <c r="A15" s="95"/>
      <c r="B15" s="100"/>
      <c r="C15" s="16" t="s">
        <v>29</v>
      </c>
      <c r="D15" s="12">
        <v>635998.01806678961</v>
      </c>
      <c r="E15" s="12">
        <v>41833.78120468933</v>
      </c>
      <c r="F15" s="12">
        <v>673413.35814360285</v>
      </c>
      <c r="G15" s="12">
        <v>32088.73331134973</v>
      </c>
      <c r="H15" s="12">
        <v>200267.82502769012</v>
      </c>
      <c r="I15" s="12">
        <v>30312.165590295757</v>
      </c>
      <c r="J15" s="12">
        <v>377718.66470857337</v>
      </c>
      <c r="K15" s="12">
        <v>409197.00913457863</v>
      </c>
      <c r="L15" s="12">
        <v>62163.110521126895</v>
      </c>
      <c r="M15" s="12">
        <v>141028.67885476066</v>
      </c>
      <c r="N15" s="12">
        <v>44292.540210923464</v>
      </c>
      <c r="O15" s="12">
        <v>65495.795904370898</v>
      </c>
      <c r="P15" s="12">
        <v>397130.41538338771</v>
      </c>
      <c r="Q15" s="12">
        <v>157387.37131885102</v>
      </c>
      <c r="R15" s="12">
        <v>209123.52774825506</v>
      </c>
      <c r="S15" s="12">
        <v>122921.46217377408</v>
      </c>
      <c r="T15" s="12">
        <v>-82897.677809661109</v>
      </c>
      <c r="U15" s="39">
        <v>3434468.2686489625</v>
      </c>
    </row>
    <row r="16" spans="1:23" x14ac:dyDescent="0.25">
      <c r="A16" s="95"/>
      <c r="B16" s="100"/>
      <c r="C16" s="16" t="s">
        <v>30</v>
      </c>
      <c r="D16" s="12">
        <v>828978.44777052663</v>
      </c>
      <c r="E16" s="12">
        <v>59665.606362184597</v>
      </c>
      <c r="F16" s="12">
        <v>1015705.3780257661</v>
      </c>
      <c r="G16" s="12">
        <v>50138.374707769268</v>
      </c>
      <c r="H16" s="12">
        <v>311004.00363119727</v>
      </c>
      <c r="I16" s="12">
        <v>46681.422840101164</v>
      </c>
      <c r="J16" s="12">
        <v>588152.64424325479</v>
      </c>
      <c r="K16" s="12">
        <v>641597.23208881752</v>
      </c>
      <c r="L16" s="12">
        <v>117414.48595678022</v>
      </c>
      <c r="M16" s="12">
        <v>227467.4371682221</v>
      </c>
      <c r="N16" s="12">
        <v>67085.984136285522</v>
      </c>
      <c r="O16" s="12">
        <v>109422.04108609687</v>
      </c>
      <c r="P16" s="12">
        <v>629281.31421003223</v>
      </c>
      <c r="Q16" s="12">
        <v>236938.86757088252</v>
      </c>
      <c r="R16" s="12">
        <v>331831.18137979636</v>
      </c>
      <c r="S16" s="12">
        <v>179350.59351680902</v>
      </c>
      <c r="T16" s="12">
        <v>-84084.234889091967</v>
      </c>
      <c r="U16" s="39">
        <v>5322202.8065361623</v>
      </c>
    </row>
    <row r="17" spans="1:23" x14ac:dyDescent="0.25">
      <c r="A17" s="95"/>
      <c r="B17" s="101"/>
      <c r="C17" s="28" t="s">
        <v>31</v>
      </c>
      <c r="D17" s="40">
        <v>952428.53279756079</v>
      </c>
      <c r="E17" s="40">
        <v>89123.937996119756</v>
      </c>
      <c r="F17" s="40">
        <v>1358096.9056582386</v>
      </c>
      <c r="G17" s="40">
        <v>67931.836945711126</v>
      </c>
      <c r="H17" s="40">
        <v>437606.82786001515</v>
      </c>
      <c r="I17" s="40">
        <v>61980.151134642612</v>
      </c>
      <c r="J17" s="40">
        <v>789207.53403467883</v>
      </c>
      <c r="K17" s="40">
        <v>893128.53861293371</v>
      </c>
      <c r="L17" s="40">
        <v>178355.29723532952</v>
      </c>
      <c r="M17" s="40">
        <v>315937.04673868621</v>
      </c>
      <c r="N17" s="40">
        <v>92978.779301005314</v>
      </c>
      <c r="O17" s="40">
        <v>161581.28678679781</v>
      </c>
      <c r="P17" s="40">
        <v>954251.62572485104</v>
      </c>
      <c r="Q17" s="40">
        <v>317519.66237506887</v>
      </c>
      <c r="R17" s="40">
        <v>446152.60861620889</v>
      </c>
      <c r="S17" s="40">
        <v>263895.79728988779</v>
      </c>
      <c r="T17" s="40">
        <v>-85374.781194947893</v>
      </c>
      <c r="U17" s="41">
        <v>7407191.6976643652</v>
      </c>
    </row>
    <row r="18" spans="1:23" x14ac:dyDescent="0.25">
      <c r="A18" s="95"/>
      <c r="B18" s="54"/>
      <c r="C18" s="55" t="s">
        <v>51</v>
      </c>
      <c r="D18" s="37">
        <f>+SUM(D19:D22)</f>
        <v>2806048.2064434527</v>
      </c>
      <c r="E18" s="37">
        <f t="shared" ref="E18" si="35">+SUM(E19:E22)</f>
        <v>220090.98552490014</v>
      </c>
      <c r="F18" s="37">
        <f t="shared" ref="F18" si="36">+SUM(F19:F22)</f>
        <v>4268086.0162477605</v>
      </c>
      <c r="G18" s="37">
        <f t="shared" ref="G18" si="37">+SUM(G19:G22)</f>
        <v>142788.1286218444</v>
      </c>
      <c r="H18" s="37">
        <f t="shared" ref="H18" si="38">+SUM(H19:H22)</f>
        <v>1136477.4366790652</v>
      </c>
      <c r="I18" s="37">
        <f t="shared" ref="I18" si="39">+SUM(I19:I22)</f>
        <v>164351.51650870961</v>
      </c>
      <c r="J18" s="37">
        <f t="shared" ref="J18" si="40">+SUM(J19:J22)</f>
        <v>2226943.8553558951</v>
      </c>
      <c r="K18" s="37">
        <f t="shared" ref="K18" si="41">+SUM(K19:K22)</f>
        <v>2396716.0918739643</v>
      </c>
      <c r="L18" s="37">
        <f t="shared" ref="L18" si="42">+SUM(L19:L22)</f>
        <v>356312.22127469827</v>
      </c>
      <c r="M18" s="37">
        <f t="shared" ref="M18" si="43">+SUM(M19:M22)</f>
        <v>828457.9424799867</v>
      </c>
      <c r="N18" s="37">
        <f t="shared" ref="N18" si="44">+SUM(N19:N22)</f>
        <v>192470.64244972635</v>
      </c>
      <c r="O18" s="37">
        <f t="shared" ref="O18" si="45">+SUM(O19:O22)</f>
        <v>433291.54528226436</v>
      </c>
      <c r="P18" s="37">
        <f t="shared" ref="P18" si="46">+SUM(P19:P22)</f>
        <v>2483380.5355393589</v>
      </c>
      <c r="Q18" s="37">
        <f t="shared" ref="Q18" si="47">+SUM(Q19:Q22)</f>
        <v>826139.468715569</v>
      </c>
      <c r="R18" s="37">
        <f t="shared" ref="R18" si="48">+SUM(R19:R22)</f>
        <v>1162561.8159251357</v>
      </c>
      <c r="S18" s="37">
        <f t="shared" ref="S18" si="49">+SUM(S19:S22)</f>
        <v>698849.53343134455</v>
      </c>
      <c r="T18" s="37">
        <f t="shared" ref="T18" si="50">+SUM(T19:T22)</f>
        <v>-105589.68659831025</v>
      </c>
      <c r="U18" s="38">
        <f t="shared" ref="U18" si="51">+SUM(U19:U22)</f>
        <v>21413478.631173473</v>
      </c>
      <c r="V18" s="11"/>
      <c r="W18" s="11"/>
    </row>
    <row r="19" spans="1:23" x14ac:dyDescent="0.25">
      <c r="A19" s="95"/>
      <c r="B19" s="100">
        <v>2005</v>
      </c>
      <c r="C19" s="16" t="s">
        <v>28</v>
      </c>
      <c r="D19" s="12">
        <v>290989.9009162733</v>
      </c>
      <c r="E19" s="12">
        <v>22965.843137812572</v>
      </c>
      <c r="F19" s="12">
        <v>434975.97000372905</v>
      </c>
      <c r="G19" s="12">
        <v>13654.908145992031</v>
      </c>
      <c r="H19" s="12">
        <v>107033.33035372315</v>
      </c>
      <c r="I19" s="12">
        <v>16228.674968585565</v>
      </c>
      <c r="J19" s="12">
        <v>227584.98207176357</v>
      </c>
      <c r="K19" s="12">
        <v>224847.3933308539</v>
      </c>
      <c r="L19" s="12">
        <v>19371.719244956508</v>
      </c>
      <c r="M19" s="12">
        <v>74898.892238524379</v>
      </c>
      <c r="N19" s="12">
        <v>21166.126609907627</v>
      </c>
      <c r="O19" s="12">
        <v>33944.593157595482</v>
      </c>
      <c r="P19" s="12">
        <v>240217.73655037215</v>
      </c>
      <c r="Q19" s="12">
        <v>81307.997373595834</v>
      </c>
      <c r="R19" s="12">
        <v>104827.20641134259</v>
      </c>
      <c r="S19" s="12">
        <v>67792.692445025692</v>
      </c>
      <c r="T19" s="12">
        <v>-2288.4875568709444</v>
      </c>
      <c r="U19" s="39">
        <v>2172002.3080186294</v>
      </c>
    </row>
    <row r="20" spans="1:23" x14ac:dyDescent="0.25">
      <c r="A20" s="95"/>
      <c r="B20" s="100"/>
      <c r="C20" s="16" t="s">
        <v>29</v>
      </c>
      <c r="D20" s="12">
        <v>660009.08654063358</v>
      </c>
      <c r="E20" s="12">
        <v>42476.710494034531</v>
      </c>
      <c r="F20" s="12">
        <v>851961.02197936107</v>
      </c>
      <c r="G20" s="12">
        <v>28628.363939319108</v>
      </c>
      <c r="H20" s="12">
        <v>219682.42069059587</v>
      </c>
      <c r="I20" s="12">
        <v>32730.563733980809</v>
      </c>
      <c r="J20" s="12">
        <v>436243.19424529944</v>
      </c>
      <c r="K20" s="12">
        <v>466254.28143740993</v>
      </c>
      <c r="L20" s="12">
        <v>59411.707230432687</v>
      </c>
      <c r="M20" s="12">
        <v>155357.07488992333</v>
      </c>
      <c r="N20" s="12">
        <v>40006.349725997876</v>
      </c>
      <c r="O20" s="12">
        <v>75451.597869053279</v>
      </c>
      <c r="P20" s="12">
        <v>465133.05282227386</v>
      </c>
      <c r="Q20" s="12">
        <v>163765.01832848875</v>
      </c>
      <c r="R20" s="12">
        <v>226286.53172221809</v>
      </c>
      <c r="S20" s="12">
        <v>136667.97904391447</v>
      </c>
      <c r="T20" s="12">
        <v>-4720.6430049343217</v>
      </c>
      <c r="U20" s="39">
        <v>4322897.7383242864</v>
      </c>
    </row>
    <row r="21" spans="1:23" x14ac:dyDescent="0.25">
      <c r="A21" s="95"/>
      <c r="B21" s="100"/>
      <c r="C21" s="16" t="s">
        <v>30</v>
      </c>
      <c r="D21" s="12">
        <v>861512.73883025977</v>
      </c>
      <c r="E21" s="12">
        <v>61126.192839591342</v>
      </c>
      <c r="F21" s="12">
        <v>1280040.6757292824</v>
      </c>
      <c r="G21" s="12">
        <v>43832.624040290946</v>
      </c>
      <c r="H21" s="12">
        <v>337377.87153998826</v>
      </c>
      <c r="I21" s="12">
        <v>48749.918983274823</v>
      </c>
      <c r="J21" s="12">
        <v>670878.80620265019</v>
      </c>
      <c r="K21" s="12">
        <v>720169.61760077067</v>
      </c>
      <c r="L21" s="12">
        <v>109570.0512017196</v>
      </c>
      <c r="M21" s="12">
        <v>250633.22151424765</v>
      </c>
      <c r="N21" s="12">
        <v>56540.778866535315</v>
      </c>
      <c r="O21" s="12">
        <v>128784.95190248103</v>
      </c>
      <c r="P21" s="12">
        <v>703608.97367223888</v>
      </c>
      <c r="Q21" s="12">
        <v>247806.57391194714</v>
      </c>
      <c r="R21" s="12">
        <v>354594.47216882167</v>
      </c>
      <c r="S21" s="12">
        <v>202364.60902456118</v>
      </c>
      <c r="T21" s="12">
        <v>-7102.772766097567</v>
      </c>
      <c r="U21" s="39">
        <v>6462915.3808155851</v>
      </c>
    </row>
    <row r="22" spans="1:23" x14ac:dyDescent="0.25">
      <c r="A22" s="95"/>
      <c r="B22" s="101"/>
      <c r="C22" s="28" t="s">
        <v>31</v>
      </c>
      <c r="D22" s="40">
        <v>993536.48015628615</v>
      </c>
      <c r="E22" s="40">
        <v>93522.239053461715</v>
      </c>
      <c r="F22" s="40">
        <v>1701108.348535388</v>
      </c>
      <c r="G22" s="40">
        <v>56672.232496242301</v>
      </c>
      <c r="H22" s="40">
        <v>472383.81409475778</v>
      </c>
      <c r="I22" s="40">
        <v>66642.358822868409</v>
      </c>
      <c r="J22" s="40">
        <v>892236.87283618189</v>
      </c>
      <c r="K22" s="40">
        <v>985444.79950492992</v>
      </c>
      <c r="L22" s="40">
        <v>167958.74359758949</v>
      </c>
      <c r="M22" s="40">
        <v>347568.75383729138</v>
      </c>
      <c r="N22" s="40">
        <v>74757.387247285515</v>
      </c>
      <c r="O22" s="40">
        <v>195110.40235313459</v>
      </c>
      <c r="P22" s="40">
        <v>1074420.7724944742</v>
      </c>
      <c r="Q22" s="40">
        <v>333259.87910153728</v>
      </c>
      <c r="R22" s="40">
        <v>476853.60562275338</v>
      </c>
      <c r="S22" s="40">
        <v>292024.25291784317</v>
      </c>
      <c r="T22" s="40">
        <v>-91477.78327040741</v>
      </c>
      <c r="U22" s="41">
        <v>8455663.2040149719</v>
      </c>
    </row>
    <row r="23" spans="1:23" x14ac:dyDescent="0.25">
      <c r="A23" s="95"/>
      <c r="B23" s="54"/>
      <c r="C23" s="55" t="s">
        <v>51</v>
      </c>
      <c r="D23" s="37">
        <f>+SUM(D24:D27)</f>
        <v>3179361.0069513726</v>
      </c>
      <c r="E23" s="37">
        <f t="shared" ref="E23" si="52">+SUM(E24:E27)</f>
        <v>268338.06522621226</v>
      </c>
      <c r="F23" s="37">
        <f t="shared" ref="F23" si="53">+SUM(F24:F27)</f>
        <v>4803736.4594527129</v>
      </c>
      <c r="G23" s="37">
        <f t="shared" ref="G23" si="54">+SUM(G24:G27)</f>
        <v>178753.77525433328</v>
      </c>
      <c r="H23" s="37">
        <f t="shared" ref="H23" si="55">+SUM(H24:H27)</f>
        <v>1230928.5251073414</v>
      </c>
      <c r="I23" s="37">
        <f t="shared" ref="I23" si="56">+SUM(I24:I27)</f>
        <v>196136.00512328642</v>
      </c>
      <c r="J23" s="37">
        <f t="shared" ref="J23" si="57">+SUM(J24:J27)</f>
        <v>2460243.1177071212</v>
      </c>
      <c r="K23" s="37">
        <f t="shared" ref="K23" si="58">+SUM(K24:K27)</f>
        <v>2512452.8076622444</v>
      </c>
      <c r="L23" s="37">
        <f t="shared" ref="L23" si="59">+SUM(L24:L27)</f>
        <v>441902.39146089001</v>
      </c>
      <c r="M23" s="37">
        <f t="shared" ref="M23" si="60">+SUM(M24:M27)</f>
        <v>889844.17335015303</v>
      </c>
      <c r="N23" s="37">
        <f t="shared" ref="N23" si="61">+SUM(N24:N27)</f>
        <v>197993.26363764598</v>
      </c>
      <c r="O23" s="37">
        <f t="shared" ref="O23" si="62">+SUM(O24:O27)</f>
        <v>482228.53350962652</v>
      </c>
      <c r="P23" s="37">
        <f t="shared" ref="P23" si="63">+SUM(P24:P27)</f>
        <v>2751152.9466805458</v>
      </c>
      <c r="Q23" s="37">
        <f t="shared" ref="Q23" si="64">+SUM(Q24:Q27)</f>
        <v>866885.70223264117</v>
      </c>
      <c r="R23" s="37">
        <f t="shared" ref="R23" si="65">+SUM(R24:R27)</f>
        <v>1356202.1122730195</v>
      </c>
      <c r="S23" s="37">
        <f t="shared" ref="S23" si="66">+SUM(S24:S27)</f>
        <v>708683.04235690529</v>
      </c>
      <c r="T23" s="37">
        <f t="shared" ref="T23" si="67">+SUM(T24:T27)</f>
        <v>-224322.59908066381</v>
      </c>
      <c r="U23" s="38">
        <f t="shared" ref="U23" si="68">+SUM(U24:U27)</f>
        <v>23382429.508011308</v>
      </c>
      <c r="V23" s="11"/>
      <c r="W23" s="11"/>
    </row>
    <row r="24" spans="1:23" x14ac:dyDescent="0.25">
      <c r="A24" s="95"/>
      <c r="B24" s="100">
        <v>2006</v>
      </c>
      <c r="C24" s="16" t="s">
        <v>28</v>
      </c>
      <c r="D24" s="12">
        <v>325826.78456572047</v>
      </c>
      <c r="E24" s="12">
        <v>27386.507825585541</v>
      </c>
      <c r="F24" s="12">
        <v>488918.00434613298</v>
      </c>
      <c r="G24" s="12">
        <v>17477.840308552368</v>
      </c>
      <c r="H24" s="12">
        <v>116223.43353199745</v>
      </c>
      <c r="I24" s="12">
        <v>19118.433155107821</v>
      </c>
      <c r="J24" s="12">
        <v>249185.81424132219</v>
      </c>
      <c r="K24" s="12">
        <v>241832.38511397081</v>
      </c>
      <c r="L24" s="12">
        <v>21361.029287510213</v>
      </c>
      <c r="M24" s="12">
        <v>81214.973960980744</v>
      </c>
      <c r="N24" s="12">
        <v>18126.736585769537</v>
      </c>
      <c r="O24" s="12">
        <v>37136.016067923905</v>
      </c>
      <c r="P24" s="12">
        <v>247422.28713738389</v>
      </c>
      <c r="Q24" s="12">
        <v>84600.131942506967</v>
      </c>
      <c r="R24" s="12">
        <v>125129.91436586501</v>
      </c>
      <c r="S24" s="12">
        <v>62022.120965587404</v>
      </c>
      <c r="T24" s="12">
        <v>-19622.932852647398</v>
      </c>
      <c r="U24" s="39">
        <v>2329559.3258768329</v>
      </c>
    </row>
    <row r="25" spans="1:23" x14ac:dyDescent="0.25">
      <c r="A25" s="95"/>
      <c r="B25" s="100"/>
      <c r="C25" s="16" t="s">
        <v>29</v>
      </c>
      <c r="D25" s="12">
        <v>748259.01863917499</v>
      </c>
      <c r="E25" s="12">
        <v>51649.837862658358</v>
      </c>
      <c r="F25" s="12">
        <v>954097.30936627137</v>
      </c>
      <c r="G25" s="12">
        <v>34449.047328562054</v>
      </c>
      <c r="H25" s="12">
        <v>238440.52775436986</v>
      </c>
      <c r="I25" s="12">
        <v>38522.407679184995</v>
      </c>
      <c r="J25" s="12">
        <v>478743.19740877242</v>
      </c>
      <c r="K25" s="12">
        <v>491546.7744878435</v>
      </c>
      <c r="L25" s="12">
        <v>70846.69227202826</v>
      </c>
      <c r="M25" s="12">
        <v>167661.62368812884</v>
      </c>
      <c r="N25" s="12">
        <v>38176.759685977391</v>
      </c>
      <c r="O25" s="12">
        <v>77726.509506315662</v>
      </c>
      <c r="P25" s="12">
        <v>525302.9704925369</v>
      </c>
      <c r="Q25" s="12">
        <v>170475.02819242454</v>
      </c>
      <c r="R25" s="12">
        <v>269638.56943693885</v>
      </c>
      <c r="S25" s="12">
        <v>129211.77378068352</v>
      </c>
      <c r="T25" s="12">
        <v>-40269.50698078674</v>
      </c>
      <c r="U25" s="39">
        <v>4638205.9488406442</v>
      </c>
    </row>
    <row r="26" spans="1:23" x14ac:dyDescent="0.25">
      <c r="A26" s="95"/>
      <c r="B26" s="100"/>
      <c r="C26" s="16" t="s">
        <v>30</v>
      </c>
      <c r="D26" s="12">
        <v>978705.15815267304</v>
      </c>
      <c r="E26" s="12">
        <v>74933.525513253466</v>
      </c>
      <c r="F26" s="12">
        <v>1438990.1574759344</v>
      </c>
      <c r="G26" s="12">
        <v>53962.659431127257</v>
      </c>
      <c r="H26" s="12">
        <v>365521.47956334939</v>
      </c>
      <c r="I26" s="12">
        <v>57954.482226068882</v>
      </c>
      <c r="J26" s="12">
        <v>740227.31579540856</v>
      </c>
      <c r="K26" s="12">
        <v>751752.51879993198</v>
      </c>
      <c r="L26" s="12">
        <v>136706.53342591782</v>
      </c>
      <c r="M26" s="12">
        <v>269200.44468073617</v>
      </c>
      <c r="N26" s="12">
        <v>58921.991138943107</v>
      </c>
      <c r="O26" s="12">
        <v>138766.24589075963</v>
      </c>
      <c r="P26" s="12">
        <v>774027.84632700705</v>
      </c>
      <c r="Q26" s="12">
        <v>257395.02626741846</v>
      </c>
      <c r="R26" s="12">
        <v>416193.59882545943</v>
      </c>
      <c r="S26" s="12">
        <v>206790.31177718667</v>
      </c>
      <c r="T26" s="12">
        <v>-62493.205352419856</v>
      </c>
      <c r="U26" s="39">
        <v>6957696.7924764669</v>
      </c>
    </row>
    <row r="27" spans="1:23" x14ac:dyDescent="0.25">
      <c r="A27" s="95"/>
      <c r="B27" s="101"/>
      <c r="C27" s="28" t="s">
        <v>31</v>
      </c>
      <c r="D27" s="40">
        <v>1126570.0455938042</v>
      </c>
      <c r="E27" s="40">
        <v>114368.19402471493</v>
      </c>
      <c r="F27" s="40">
        <v>1921730.9882643742</v>
      </c>
      <c r="G27" s="40">
        <v>72864.228186091597</v>
      </c>
      <c r="H27" s="40">
        <v>510743.08425762452</v>
      </c>
      <c r="I27" s="40">
        <v>80540.682062924723</v>
      </c>
      <c r="J27" s="40">
        <v>992086.79026161775</v>
      </c>
      <c r="K27" s="40">
        <v>1027321.1292604981</v>
      </c>
      <c r="L27" s="40">
        <v>212988.13647543371</v>
      </c>
      <c r="M27" s="40">
        <v>371767.13102030731</v>
      </c>
      <c r="N27" s="40">
        <v>82767.776226955946</v>
      </c>
      <c r="O27" s="40">
        <v>228599.76204462734</v>
      </c>
      <c r="P27" s="40">
        <v>1204399.8427236183</v>
      </c>
      <c r="Q27" s="40">
        <v>354415.5158302912</v>
      </c>
      <c r="R27" s="40">
        <v>545240.02964475623</v>
      </c>
      <c r="S27" s="40">
        <v>310658.83583344769</v>
      </c>
      <c r="T27" s="40">
        <v>-101936.95389480983</v>
      </c>
      <c r="U27" s="41">
        <v>9456967.4408173636</v>
      </c>
    </row>
    <row r="28" spans="1:23" x14ac:dyDescent="0.25">
      <c r="A28" s="95"/>
      <c r="B28" s="54"/>
      <c r="C28" s="55" t="s">
        <v>51</v>
      </c>
      <c r="D28" s="37">
        <f>+SUM(D29:D32)</f>
        <v>3368993.2312352732</v>
      </c>
      <c r="E28" s="37">
        <f t="shared" ref="E28" si="69">+SUM(E29:E32)</f>
        <v>292067.32609033608</v>
      </c>
      <c r="F28" s="37">
        <f t="shared" ref="F28" si="70">+SUM(F29:F32)</f>
        <v>5848640.1063921386</v>
      </c>
      <c r="G28" s="37">
        <f t="shared" ref="G28" si="71">+SUM(G29:G32)</f>
        <v>201171.41253289857</v>
      </c>
      <c r="H28" s="37">
        <f t="shared" ref="H28" si="72">+SUM(H29:H32)</f>
        <v>1280534.0990094964</v>
      </c>
      <c r="I28" s="37">
        <f t="shared" ref="I28" si="73">+SUM(I29:I32)</f>
        <v>200529.51724701829</v>
      </c>
      <c r="J28" s="37">
        <f t="shared" ref="J28" si="74">+SUM(J29:J32)</f>
        <v>2890014.5264530247</v>
      </c>
      <c r="K28" s="37">
        <f t="shared" ref="K28" si="75">+SUM(K29:K32)</f>
        <v>2803891.0485060057</v>
      </c>
      <c r="L28" s="37">
        <f t="shared" ref="L28" si="76">+SUM(L29:L32)</f>
        <v>496502.05988020677</v>
      </c>
      <c r="M28" s="37">
        <f t="shared" ref="M28" si="77">+SUM(M29:M32)</f>
        <v>951990.26747926045</v>
      </c>
      <c r="N28" s="37">
        <f t="shared" ref="N28" si="78">+SUM(N29:N32)</f>
        <v>218036.41069085663</v>
      </c>
      <c r="O28" s="37">
        <f t="shared" ref="O28" si="79">+SUM(O29:O32)</f>
        <v>551703.69284437015</v>
      </c>
      <c r="P28" s="37">
        <f t="shared" ref="P28" si="80">+SUM(P29:P32)</f>
        <v>3096258.4988397351</v>
      </c>
      <c r="Q28" s="37">
        <f t="shared" ref="Q28" si="81">+SUM(Q29:Q32)</f>
        <v>921042.69647082663</v>
      </c>
      <c r="R28" s="37">
        <f t="shared" ref="R28" si="82">+SUM(R29:R32)</f>
        <v>1207426.3113168024</v>
      </c>
      <c r="S28" s="37">
        <f t="shared" ref="S28" si="83">+SUM(S29:S32)</f>
        <v>884586.94107189635</v>
      </c>
      <c r="T28" s="37">
        <f t="shared" ref="T28" si="84">+SUM(T29:T32)</f>
        <v>-224592.61344354344</v>
      </c>
      <c r="U28" s="38">
        <f t="shared" ref="U28" si="85">+SUM(U29:U32)</f>
        <v>26588303.842838701</v>
      </c>
      <c r="V28" s="11"/>
      <c r="W28" s="11"/>
    </row>
    <row r="29" spans="1:23" x14ac:dyDescent="0.25">
      <c r="A29" s="95"/>
      <c r="B29" s="100">
        <v>2007</v>
      </c>
      <c r="C29" s="16" t="s">
        <v>28</v>
      </c>
      <c r="D29" s="12">
        <v>351118.39784402633</v>
      </c>
      <c r="E29" s="12">
        <v>31168.400015930994</v>
      </c>
      <c r="F29" s="12">
        <v>595896.67308956583</v>
      </c>
      <c r="G29" s="12">
        <v>19612.76896628533</v>
      </c>
      <c r="H29" s="12">
        <v>122408.60254196642</v>
      </c>
      <c r="I29" s="12">
        <v>12680.442139416484</v>
      </c>
      <c r="J29" s="12">
        <v>291297.7852136835</v>
      </c>
      <c r="K29" s="12">
        <v>262462.17824309395</v>
      </c>
      <c r="L29" s="12">
        <v>25860.830352490168</v>
      </c>
      <c r="M29" s="12">
        <v>85380.098005920809</v>
      </c>
      <c r="N29" s="12">
        <v>20945.19589152154</v>
      </c>
      <c r="O29" s="12">
        <v>47125.502565540017</v>
      </c>
      <c r="P29" s="12">
        <v>290037.43933522771</v>
      </c>
      <c r="Q29" s="12">
        <v>90627.054059312562</v>
      </c>
      <c r="R29" s="12">
        <v>117101.95914952469</v>
      </c>
      <c r="S29" s="12">
        <v>89191.672912411494</v>
      </c>
      <c r="T29" s="12">
        <v>-27987.468360277497</v>
      </c>
      <c r="U29" s="39">
        <v>2658034.909494055</v>
      </c>
    </row>
    <row r="30" spans="1:23" x14ac:dyDescent="0.25">
      <c r="A30" s="95"/>
      <c r="B30" s="100"/>
      <c r="C30" s="16" t="s">
        <v>29</v>
      </c>
      <c r="D30" s="12">
        <v>795046.85937219602</v>
      </c>
      <c r="E30" s="12">
        <v>57406.715236336255</v>
      </c>
      <c r="F30" s="12">
        <v>1163906.4324203022</v>
      </c>
      <c r="G30" s="12">
        <v>36261.921014982385</v>
      </c>
      <c r="H30" s="12">
        <v>248866.64098307287</v>
      </c>
      <c r="I30" s="12">
        <v>37743.891150954471</v>
      </c>
      <c r="J30" s="12">
        <v>562767.02133534593</v>
      </c>
      <c r="K30" s="12">
        <v>541501.05544003798</v>
      </c>
      <c r="L30" s="12">
        <v>82040.305556738575</v>
      </c>
      <c r="M30" s="12">
        <v>176994.31895747676</v>
      </c>
      <c r="N30" s="12">
        <v>42339.052032351159</v>
      </c>
      <c r="O30" s="12">
        <v>98742.537615270296</v>
      </c>
      <c r="P30" s="12">
        <v>583264.14802453062</v>
      </c>
      <c r="Q30" s="12">
        <v>182429.41750675353</v>
      </c>
      <c r="R30" s="12">
        <v>242341.85579415728</v>
      </c>
      <c r="S30" s="12">
        <v>175890.83088083554</v>
      </c>
      <c r="T30" s="12">
        <v>-42503.746829003045</v>
      </c>
      <c r="U30" s="39">
        <v>5284337.8356437963</v>
      </c>
    </row>
    <row r="31" spans="1:23" x14ac:dyDescent="0.25">
      <c r="A31" s="95"/>
      <c r="B31" s="100"/>
      <c r="C31" s="16" t="s">
        <v>30</v>
      </c>
      <c r="D31" s="12">
        <v>1034535.143318238</v>
      </c>
      <c r="E31" s="12">
        <v>81688.07343939897</v>
      </c>
      <c r="F31" s="12">
        <v>1751005.6295794775</v>
      </c>
      <c r="G31" s="12">
        <v>58510.435886056723</v>
      </c>
      <c r="H31" s="12">
        <v>379428.87353676918</v>
      </c>
      <c r="I31" s="12">
        <v>62551.886216883358</v>
      </c>
      <c r="J31" s="12">
        <v>871523.39545979095</v>
      </c>
      <c r="K31" s="12">
        <v>839584.96028063749</v>
      </c>
      <c r="L31" s="12">
        <v>153625.40716802399</v>
      </c>
      <c r="M31" s="12">
        <v>287054.23665861221</v>
      </c>
      <c r="N31" s="12">
        <v>64102.30942099668</v>
      </c>
      <c r="O31" s="12">
        <v>164496.04265244206</v>
      </c>
      <c r="P31" s="12">
        <v>901082.85566498572</v>
      </c>
      <c r="Q31" s="12">
        <v>276010.9119001521</v>
      </c>
      <c r="R31" s="12">
        <v>366948.32149717573</v>
      </c>
      <c r="S31" s="12">
        <v>266106.72762800852</v>
      </c>
      <c r="T31" s="12">
        <v>-44029.875438647243</v>
      </c>
      <c r="U31" s="39">
        <v>7959303.5968486611</v>
      </c>
    </row>
    <row r="32" spans="1:23" x14ac:dyDescent="0.25">
      <c r="A32" s="95"/>
      <c r="B32" s="101"/>
      <c r="C32" s="28" t="s">
        <v>31</v>
      </c>
      <c r="D32" s="40">
        <v>1188292.8307008129</v>
      </c>
      <c r="E32" s="40">
        <v>121804.13739866982</v>
      </c>
      <c r="F32" s="40">
        <v>2337831.3713027933</v>
      </c>
      <c r="G32" s="40">
        <v>86786.286665574124</v>
      </c>
      <c r="H32" s="40">
        <v>529829.98194768792</v>
      </c>
      <c r="I32" s="40">
        <v>87553.297739763992</v>
      </c>
      <c r="J32" s="40">
        <v>1164426.3244442046</v>
      </c>
      <c r="K32" s="40">
        <v>1160342.8545422363</v>
      </c>
      <c r="L32" s="40">
        <v>234975.51680295402</v>
      </c>
      <c r="M32" s="40">
        <v>402561.6138572506</v>
      </c>
      <c r="N32" s="40">
        <v>90649.853345987271</v>
      </c>
      <c r="O32" s="40">
        <v>241339.61001111777</v>
      </c>
      <c r="P32" s="40">
        <v>1321874.055814991</v>
      </c>
      <c r="Q32" s="40">
        <v>371975.3130046085</v>
      </c>
      <c r="R32" s="40">
        <v>481034.17487594474</v>
      </c>
      <c r="S32" s="40">
        <v>353397.70965064084</v>
      </c>
      <c r="T32" s="40">
        <v>-110071.52281561567</v>
      </c>
      <c r="U32" s="41">
        <v>10686627.500852188</v>
      </c>
    </row>
    <row r="33" spans="1:23" x14ac:dyDescent="0.25">
      <c r="A33" s="95"/>
      <c r="B33" s="54"/>
      <c r="C33" s="55" t="s">
        <v>51</v>
      </c>
      <c r="D33" s="37">
        <f>+SUM(D34:D37)</f>
        <v>3570094.3412901834</v>
      </c>
      <c r="E33" s="37">
        <f t="shared" ref="E33" si="86">+SUM(E34:E37)</f>
        <v>296623.04405837978</v>
      </c>
      <c r="F33" s="37">
        <f t="shared" ref="F33" si="87">+SUM(F34:F37)</f>
        <v>6458179.5226584878</v>
      </c>
      <c r="G33" s="37">
        <f t="shared" ref="G33" si="88">+SUM(G34:G37)</f>
        <v>223324.95717771922</v>
      </c>
      <c r="H33" s="37">
        <f t="shared" ref="H33" si="89">+SUM(H34:H37)</f>
        <v>1330518.9478083635</v>
      </c>
      <c r="I33" s="37">
        <f t="shared" ref="I33" si="90">+SUM(I34:I37)</f>
        <v>237131.69427102848</v>
      </c>
      <c r="J33" s="37">
        <f t="shared" ref="J33" si="91">+SUM(J34:J37)</f>
        <v>3192866.8309743917</v>
      </c>
      <c r="K33" s="37">
        <f t="shared" ref="K33" si="92">+SUM(K34:K37)</f>
        <v>3295692.5818204945</v>
      </c>
      <c r="L33" s="37">
        <f t="shared" ref="L33" si="93">+SUM(L34:L37)</f>
        <v>540433.83063670562</v>
      </c>
      <c r="M33" s="37">
        <f t="shared" ref="M33" si="94">+SUM(M34:M37)</f>
        <v>1137945.780041788</v>
      </c>
      <c r="N33" s="37">
        <f t="shared" ref="N33" si="95">+SUM(N34:N37)</f>
        <v>296037.6979474721</v>
      </c>
      <c r="O33" s="37">
        <f t="shared" ref="O33" si="96">+SUM(O34:O37)</f>
        <v>559176.54329950467</v>
      </c>
      <c r="P33" s="37">
        <f t="shared" ref="P33" si="97">+SUM(P34:P37)</f>
        <v>3092078.9217957319</v>
      </c>
      <c r="Q33" s="37">
        <f t="shared" ref="Q33" si="98">+SUM(Q34:Q37)</f>
        <v>1006503.9268868392</v>
      </c>
      <c r="R33" s="37">
        <f t="shared" ref="R33" si="99">+SUM(R34:R37)</f>
        <v>1250132.7882582915</v>
      </c>
      <c r="S33" s="37">
        <f t="shared" ref="S33" si="100">+SUM(S34:S37)</f>
        <v>982191.66765720188</v>
      </c>
      <c r="T33" s="37">
        <f t="shared" ref="T33" si="101">+SUM(T34:T37)</f>
        <v>-297880.41913786542</v>
      </c>
      <c r="U33" s="38">
        <f t="shared" ref="U33" si="102">+SUM(U34:U37)</f>
        <v>29031848.022681501</v>
      </c>
      <c r="V33" s="11"/>
      <c r="W33" s="11"/>
    </row>
    <row r="34" spans="1:23" x14ac:dyDescent="0.25">
      <c r="A34" s="95"/>
      <c r="B34" s="100">
        <v>2008</v>
      </c>
      <c r="C34" s="16" t="s">
        <v>28</v>
      </c>
      <c r="D34" s="12">
        <v>370563.19971060107</v>
      </c>
      <c r="E34" s="12">
        <v>31443.450231284587</v>
      </c>
      <c r="F34" s="12">
        <v>658774.4015639642</v>
      </c>
      <c r="G34" s="12">
        <v>22384.442072568669</v>
      </c>
      <c r="H34" s="12">
        <v>127391.29889816276</v>
      </c>
      <c r="I34" s="12">
        <v>25157.044088278541</v>
      </c>
      <c r="J34" s="12">
        <v>329530.68144696264</v>
      </c>
      <c r="K34" s="12">
        <v>308997.72910986462</v>
      </c>
      <c r="L34" s="12">
        <v>27785.609762785905</v>
      </c>
      <c r="M34" s="12">
        <v>101326.93710666796</v>
      </c>
      <c r="N34" s="12">
        <v>26673.169780978973</v>
      </c>
      <c r="O34" s="12">
        <v>43600.991418870486</v>
      </c>
      <c r="P34" s="12">
        <v>254282.2832458074</v>
      </c>
      <c r="Q34" s="12">
        <v>96897.581386267542</v>
      </c>
      <c r="R34" s="12">
        <v>114401.69946414948</v>
      </c>
      <c r="S34" s="12">
        <v>81032.798356748506</v>
      </c>
      <c r="T34" s="12">
        <v>-21452.41518893875</v>
      </c>
      <c r="U34" s="39">
        <v>2916170.0712643089</v>
      </c>
    </row>
    <row r="35" spans="1:23" x14ac:dyDescent="0.25">
      <c r="A35" s="95"/>
      <c r="B35" s="100"/>
      <c r="C35" s="16" t="s">
        <v>29</v>
      </c>
      <c r="D35" s="12">
        <v>842491.84923319682</v>
      </c>
      <c r="E35" s="12">
        <v>57948.493075900806</v>
      </c>
      <c r="F35" s="12">
        <v>1288777.0832527599</v>
      </c>
      <c r="G35" s="12">
        <v>45985.459193697869</v>
      </c>
      <c r="H35" s="12">
        <v>258587.98830765102</v>
      </c>
      <c r="I35" s="12">
        <v>45588.071758181039</v>
      </c>
      <c r="J35" s="12">
        <v>628987.10750427959</v>
      </c>
      <c r="K35" s="12">
        <v>638758.94287436001</v>
      </c>
      <c r="L35" s="12">
        <v>88651.640988163126</v>
      </c>
      <c r="M35" s="12">
        <v>212483.13066256052</v>
      </c>
      <c r="N35" s="12">
        <v>56430.228009300568</v>
      </c>
      <c r="O35" s="12">
        <v>90884.237069895709</v>
      </c>
      <c r="P35" s="12">
        <v>539088.9129974026</v>
      </c>
      <c r="Q35" s="12">
        <v>197269.3135332746</v>
      </c>
      <c r="R35" s="12">
        <v>246134.31187288178</v>
      </c>
      <c r="S35" s="12">
        <v>187447.96691531551</v>
      </c>
      <c r="T35" s="12">
        <v>-66082.563142692408</v>
      </c>
      <c r="U35" s="39">
        <v>5705860.6269497499</v>
      </c>
    </row>
    <row r="36" spans="1:23" x14ac:dyDescent="0.25">
      <c r="A36" s="95"/>
      <c r="B36" s="100"/>
      <c r="C36" s="16" t="s">
        <v>30</v>
      </c>
      <c r="D36" s="12">
        <v>1097206.4240651233</v>
      </c>
      <c r="E36" s="12">
        <v>82746.003637016984</v>
      </c>
      <c r="F36" s="12">
        <v>1935002.1175276972</v>
      </c>
      <c r="G36" s="12">
        <v>69801.941258844148</v>
      </c>
      <c r="H36" s="12">
        <v>393853.9622334732</v>
      </c>
      <c r="I36" s="12">
        <v>70510.688113667478</v>
      </c>
      <c r="J36" s="12">
        <v>962064.04944408161</v>
      </c>
      <c r="K36" s="12">
        <v>989077.45536132227</v>
      </c>
      <c r="L36" s="12">
        <v>166981.16826477525</v>
      </c>
      <c r="M36" s="12">
        <v>345093.85506181943</v>
      </c>
      <c r="N36" s="12">
        <v>87760.501455171063</v>
      </c>
      <c r="O36" s="12">
        <v>158309.83620798419</v>
      </c>
      <c r="P36" s="12">
        <v>888130.65856161306</v>
      </c>
      <c r="Q36" s="12">
        <v>301721.79852075299</v>
      </c>
      <c r="R36" s="12">
        <v>382441.33627848089</v>
      </c>
      <c r="S36" s="12">
        <v>301335.49184111069</v>
      </c>
      <c r="T36" s="12">
        <v>-101902.9765282897</v>
      </c>
      <c r="U36" s="39">
        <v>8570462.2091156356</v>
      </c>
    </row>
    <row r="37" spans="1:23" x14ac:dyDescent="0.25">
      <c r="A37" s="95"/>
      <c r="B37" s="101"/>
      <c r="C37" s="28" t="s">
        <v>31</v>
      </c>
      <c r="D37" s="40">
        <v>1259832.8682812622</v>
      </c>
      <c r="E37" s="40">
        <v>124485.09711417741</v>
      </c>
      <c r="F37" s="40">
        <v>2575625.920314067</v>
      </c>
      <c r="G37" s="40">
        <v>85153.114652608507</v>
      </c>
      <c r="H37" s="40">
        <v>550685.69836907648</v>
      </c>
      <c r="I37" s="40">
        <v>95875.890310901421</v>
      </c>
      <c r="J37" s="40">
        <v>1272284.9925790676</v>
      </c>
      <c r="K37" s="40">
        <v>1358858.4544749476</v>
      </c>
      <c r="L37" s="40">
        <v>257015.41162098135</v>
      </c>
      <c r="M37" s="40">
        <v>479041.85721074004</v>
      </c>
      <c r="N37" s="40">
        <v>125173.79870202151</v>
      </c>
      <c r="O37" s="40">
        <v>266381.4786027543</v>
      </c>
      <c r="P37" s="40">
        <v>1410577.0669909087</v>
      </c>
      <c r="Q37" s="40">
        <v>410615.23344654415</v>
      </c>
      <c r="R37" s="40">
        <v>507155.4406427794</v>
      </c>
      <c r="S37" s="40">
        <v>412375.41054402711</v>
      </c>
      <c r="T37" s="40">
        <v>-108442.46427794456</v>
      </c>
      <c r="U37" s="41">
        <v>11839355.115351807</v>
      </c>
    </row>
    <row r="38" spans="1:23" x14ac:dyDescent="0.25">
      <c r="A38" s="95"/>
      <c r="B38" s="54"/>
      <c r="C38" s="55" t="s">
        <v>51</v>
      </c>
      <c r="D38" s="37">
        <f>+SUM(D39:D42)</f>
        <v>3742771.0224801139</v>
      </c>
      <c r="E38" s="37">
        <f t="shared" ref="E38" si="103">+SUM(E39:E42)</f>
        <v>318717.84741793748</v>
      </c>
      <c r="F38" s="37">
        <f t="shared" ref="F38" si="104">+SUM(F39:F42)</f>
        <v>6035423.0525337383</v>
      </c>
      <c r="G38" s="37">
        <f t="shared" ref="G38" si="105">+SUM(G39:G42)</f>
        <v>216377.31255184428</v>
      </c>
      <c r="H38" s="37">
        <f t="shared" ref="H38" si="106">+SUM(H39:H42)</f>
        <v>1451082.8265127752</v>
      </c>
      <c r="I38" s="37">
        <f t="shared" ref="I38" si="107">+SUM(I39:I42)</f>
        <v>248043.58975575445</v>
      </c>
      <c r="J38" s="37">
        <f t="shared" ref="J38" si="108">+SUM(J39:J42)</f>
        <v>3358966.7091713035</v>
      </c>
      <c r="K38" s="37">
        <f t="shared" ref="K38" si="109">+SUM(K39:K42)</f>
        <v>3573913.3121431684</v>
      </c>
      <c r="L38" s="37">
        <f t="shared" ref="L38" si="110">+SUM(L39:L42)</f>
        <v>610924.33822460356</v>
      </c>
      <c r="M38" s="37">
        <f t="shared" ref="M38" si="111">+SUM(M39:M42)</f>
        <v>1194465.3754287742</v>
      </c>
      <c r="N38" s="37">
        <f t="shared" ref="N38" si="112">+SUM(N39:N42)</f>
        <v>368392.86544879852</v>
      </c>
      <c r="O38" s="37">
        <f t="shared" ref="O38" si="113">+SUM(O39:O42)</f>
        <v>677949.4822888152</v>
      </c>
      <c r="P38" s="37">
        <f t="shared" ref="P38" si="114">+SUM(P39:P42)</f>
        <v>3729331.5322441487</v>
      </c>
      <c r="Q38" s="37">
        <f t="shared" ref="Q38" si="115">+SUM(Q39:Q42)</f>
        <v>1070153.4346930254</v>
      </c>
      <c r="R38" s="37">
        <f t="shared" ref="R38" si="116">+SUM(R39:R42)</f>
        <v>1309486.9836207838</v>
      </c>
      <c r="S38" s="37">
        <f t="shared" ref="S38" si="117">+SUM(S39:S42)</f>
        <v>1044665.489887133</v>
      </c>
      <c r="T38" s="37">
        <f t="shared" ref="T38" si="118">+SUM(T39:T42)</f>
        <v>-178725.3101261004</v>
      </c>
      <c r="U38" s="38">
        <f t="shared" ref="U38" si="119">+SUM(U39:U42)</f>
        <v>29900199.301401991</v>
      </c>
      <c r="V38" s="11"/>
      <c r="W38" s="11"/>
    </row>
    <row r="39" spans="1:23" x14ac:dyDescent="0.25">
      <c r="A39" s="95"/>
      <c r="B39" s="100">
        <v>2009</v>
      </c>
      <c r="C39" s="16" t="s">
        <v>28</v>
      </c>
      <c r="D39" s="12">
        <v>387768.18696392386</v>
      </c>
      <c r="E39" s="12">
        <v>33719.498430303713</v>
      </c>
      <c r="F39" s="12">
        <v>610575.02970482071</v>
      </c>
      <c r="G39" s="12">
        <v>17293.646727064428</v>
      </c>
      <c r="H39" s="12">
        <v>136636.99254877426</v>
      </c>
      <c r="I39" s="12">
        <v>22546.327025273833</v>
      </c>
      <c r="J39" s="12">
        <v>344245.37717757793</v>
      </c>
      <c r="K39" s="12">
        <v>340764.50841220206</v>
      </c>
      <c r="L39" s="12">
        <v>31133.400078312647</v>
      </c>
      <c r="M39" s="12">
        <v>109813.55032622823</v>
      </c>
      <c r="N39" s="12">
        <v>35193.445165152021</v>
      </c>
      <c r="O39" s="12">
        <v>63299.243915818479</v>
      </c>
      <c r="P39" s="12">
        <v>335241.74809709634</v>
      </c>
      <c r="Q39" s="12">
        <v>97128.395142881898</v>
      </c>
      <c r="R39" s="12">
        <v>120610.11607909536</v>
      </c>
      <c r="S39" s="12">
        <v>114232.48139599305</v>
      </c>
      <c r="T39" s="12">
        <v>-8102.1083787990137</v>
      </c>
      <c r="U39" s="39">
        <v>2958010.1055545835</v>
      </c>
    </row>
    <row r="40" spans="1:23" x14ac:dyDescent="0.25">
      <c r="A40" s="95"/>
      <c r="B40" s="100"/>
      <c r="C40" s="16" t="s">
        <v>29</v>
      </c>
      <c r="D40" s="12">
        <v>880876.82799399435</v>
      </c>
      <c r="E40" s="12">
        <v>62484.490905052779</v>
      </c>
      <c r="F40" s="12">
        <v>1200232.228554962</v>
      </c>
      <c r="G40" s="12">
        <v>43267.071382312111</v>
      </c>
      <c r="H40" s="12">
        <v>280210.15294951876</v>
      </c>
      <c r="I40" s="12">
        <v>49117.757069218555</v>
      </c>
      <c r="J40" s="12">
        <v>657404.68097796664</v>
      </c>
      <c r="K40" s="12">
        <v>697207.36845104524</v>
      </c>
      <c r="L40" s="12">
        <v>99962.334414765151</v>
      </c>
      <c r="M40" s="12">
        <v>225294.81367530738</v>
      </c>
      <c r="N40" s="12">
        <v>72427.816136123976</v>
      </c>
      <c r="O40" s="12">
        <v>124274.09567747993</v>
      </c>
      <c r="P40" s="12">
        <v>692741.19280926895</v>
      </c>
      <c r="Q40" s="12">
        <v>207636.02927264961</v>
      </c>
      <c r="R40" s="12">
        <v>257733.51264628838</v>
      </c>
      <c r="S40" s="12">
        <v>205582.58997832093</v>
      </c>
      <c r="T40" s="12">
        <v>-23679.723398709095</v>
      </c>
      <c r="U40" s="39">
        <v>5932160.673036023</v>
      </c>
    </row>
    <row r="41" spans="1:23" x14ac:dyDescent="0.25">
      <c r="A41" s="95"/>
      <c r="B41" s="100"/>
      <c r="C41" s="16" t="s">
        <v>30</v>
      </c>
      <c r="D41" s="12">
        <v>1149600.5853694878</v>
      </c>
      <c r="E41" s="12">
        <v>89226.717940755829</v>
      </c>
      <c r="F41" s="12">
        <v>1809101.2093960787</v>
      </c>
      <c r="G41" s="12">
        <v>66992.054956799955</v>
      </c>
      <c r="H41" s="12">
        <v>431188.28771455516</v>
      </c>
      <c r="I41" s="12">
        <v>74856.43913118515</v>
      </c>
      <c r="J41" s="12">
        <v>1010257.5841924027</v>
      </c>
      <c r="K41" s="12">
        <v>1071073.6729631305</v>
      </c>
      <c r="L41" s="12">
        <v>188892.50612193396</v>
      </c>
      <c r="M41" s="12">
        <v>360666.46687118924</v>
      </c>
      <c r="N41" s="12">
        <v>109624.5679462315</v>
      </c>
      <c r="O41" s="12">
        <v>210098.05440659006</v>
      </c>
      <c r="P41" s="12">
        <v>1059935.0855260659</v>
      </c>
      <c r="Q41" s="12">
        <v>323646.27467398689</v>
      </c>
      <c r="R41" s="12">
        <v>399770.15476423409</v>
      </c>
      <c r="S41" s="12">
        <v>312475.00796879188</v>
      </c>
      <c r="T41" s="12">
        <v>-38501.014070647732</v>
      </c>
      <c r="U41" s="39">
        <v>8934408.5275171958</v>
      </c>
    </row>
    <row r="42" spans="1:23" x14ac:dyDescent="0.25">
      <c r="A42" s="95"/>
      <c r="B42" s="101"/>
      <c r="C42" s="28" t="s">
        <v>31</v>
      </c>
      <c r="D42" s="40">
        <v>1324525.4221527078</v>
      </c>
      <c r="E42" s="40">
        <v>133287.14014182519</v>
      </c>
      <c r="F42" s="40">
        <v>2415514.584877877</v>
      </c>
      <c r="G42" s="40">
        <v>88824.539485667774</v>
      </c>
      <c r="H42" s="40">
        <v>603047.393299927</v>
      </c>
      <c r="I42" s="40">
        <v>101523.06653007689</v>
      </c>
      <c r="J42" s="40">
        <v>1347059.0668233563</v>
      </c>
      <c r="K42" s="40">
        <v>1464867.7623167906</v>
      </c>
      <c r="L42" s="40">
        <v>290936.09760959173</v>
      </c>
      <c r="M42" s="40">
        <v>498690.5445560494</v>
      </c>
      <c r="N42" s="40">
        <v>151147.03620129102</v>
      </c>
      <c r="O42" s="40">
        <v>280278.08828892675</v>
      </c>
      <c r="P42" s="40">
        <v>1641413.5058117171</v>
      </c>
      <c r="Q42" s="40">
        <v>441742.73560350708</v>
      </c>
      <c r="R42" s="40">
        <v>531373.20013116603</v>
      </c>
      <c r="S42" s="40">
        <v>412375.41054402705</v>
      </c>
      <c r="T42" s="40">
        <v>-108442.46427794456</v>
      </c>
      <c r="U42" s="41">
        <v>12075619.995294187</v>
      </c>
    </row>
    <row r="43" spans="1:23" x14ac:dyDescent="0.25">
      <c r="A43" s="95"/>
      <c r="B43" s="54"/>
      <c r="C43" s="55" t="s">
        <v>51</v>
      </c>
      <c r="D43" s="37">
        <f>+SUM(D44:D47)</f>
        <v>4179147.2954076771</v>
      </c>
      <c r="E43" s="37">
        <f t="shared" ref="E43" si="120">+SUM(E44:E47)</f>
        <v>320895.2209125933</v>
      </c>
      <c r="F43" s="37">
        <f t="shared" ref="F43" si="121">+SUM(F44:F47)</f>
        <v>6012009.8021097761</v>
      </c>
      <c r="G43" s="37">
        <f t="shared" ref="G43" si="122">+SUM(G44:G47)</f>
        <v>208318.07424415179</v>
      </c>
      <c r="H43" s="37">
        <f t="shared" ref="H43" si="123">+SUM(H44:H47)</f>
        <v>1581153.8720939094</v>
      </c>
      <c r="I43" s="37">
        <f t="shared" ref="I43" si="124">+SUM(I44:I47)</f>
        <v>275522.39746602031</v>
      </c>
      <c r="J43" s="37">
        <f t="shared" ref="J43" si="125">+SUM(J44:J47)</f>
        <v>3788962.9724105545</v>
      </c>
      <c r="K43" s="37">
        <f t="shared" ref="K43" si="126">+SUM(K44:K47)</f>
        <v>3857642.3644987065</v>
      </c>
      <c r="L43" s="37">
        <f t="shared" ref="L43" si="127">+SUM(L44:L47)</f>
        <v>681631.16621346003</v>
      </c>
      <c r="M43" s="37">
        <f t="shared" ref="M43" si="128">+SUM(M44:M47)</f>
        <v>1300512.4971981258</v>
      </c>
      <c r="N43" s="37">
        <f t="shared" ref="N43" si="129">+SUM(N44:N47)</f>
        <v>378466.02624806057</v>
      </c>
      <c r="O43" s="37">
        <f t="shared" ref="O43" si="130">+SUM(O44:O47)</f>
        <v>646620.64360172208</v>
      </c>
      <c r="P43" s="37">
        <f t="shared" ref="P43" si="131">+SUM(P44:P47)</f>
        <v>3969257.7777695293</v>
      </c>
      <c r="Q43" s="37">
        <f t="shared" ref="Q43" si="132">+SUM(Q44:Q47)</f>
        <v>1158220.5224587745</v>
      </c>
      <c r="R43" s="37">
        <f t="shared" ref="R43" si="133">+SUM(R44:R47)</f>
        <v>1442195.2446424169</v>
      </c>
      <c r="S43" s="37">
        <f t="shared" ref="S43" si="134">+SUM(S44:S47)</f>
        <v>1012508.5760665665</v>
      </c>
      <c r="T43" s="37">
        <f t="shared" ref="T43" si="135">+SUM(T44:T47)</f>
        <v>-150885.80721672863</v>
      </c>
      <c r="U43" s="38">
        <f t="shared" ref="U43" si="136">+SUM(U44:U47)</f>
        <v>32116339.830094345</v>
      </c>
      <c r="V43" s="11"/>
      <c r="W43" s="11"/>
    </row>
    <row r="44" spans="1:23" x14ac:dyDescent="0.25">
      <c r="A44" s="95"/>
      <c r="B44" s="100">
        <v>2010</v>
      </c>
      <c r="C44" s="16" t="s">
        <v>28</v>
      </c>
      <c r="D44" s="12">
        <v>429208.42031864624</v>
      </c>
      <c r="E44" s="12">
        <v>34043.054446663838</v>
      </c>
      <c r="F44" s="12">
        <v>618953.63534562138</v>
      </c>
      <c r="G44" s="12">
        <v>21757.964229721387</v>
      </c>
      <c r="H44" s="12">
        <v>147830.86616591163</v>
      </c>
      <c r="I44" s="12">
        <v>28264.060751242268</v>
      </c>
      <c r="J44" s="12">
        <v>386656.8942684129</v>
      </c>
      <c r="K44" s="12">
        <v>364306.39765192359</v>
      </c>
      <c r="L44" s="12">
        <v>35033.869621498357</v>
      </c>
      <c r="M44" s="12">
        <v>117199.40050167451</v>
      </c>
      <c r="N44" s="12">
        <v>35575.118789183252</v>
      </c>
      <c r="O44" s="12">
        <v>53916.544117750484</v>
      </c>
      <c r="P44" s="12">
        <v>363656.63281938643</v>
      </c>
      <c r="Q44" s="12">
        <v>112240.75473052944</v>
      </c>
      <c r="R44" s="12">
        <v>129949.07069225528</v>
      </c>
      <c r="S44" s="12">
        <v>82672.158419790969</v>
      </c>
      <c r="T44" s="12">
        <v>-1638.0509982017563</v>
      </c>
      <c r="U44" s="39">
        <v>3193635.8121534544</v>
      </c>
    </row>
    <row r="45" spans="1:23" x14ac:dyDescent="0.25">
      <c r="A45" s="95"/>
      <c r="B45" s="100"/>
      <c r="C45" s="16" t="s">
        <v>29</v>
      </c>
      <c r="D45" s="12">
        <v>983652.91011298459</v>
      </c>
      <c r="E45" s="12">
        <v>62576.882685517936</v>
      </c>
      <c r="F45" s="12">
        <v>1219372.996080834</v>
      </c>
      <c r="G45" s="12">
        <v>41546.730327811405</v>
      </c>
      <c r="H45" s="12">
        <v>304764.13722860574</v>
      </c>
      <c r="I45" s="12">
        <v>54229.147068661172</v>
      </c>
      <c r="J45" s="12">
        <v>743063.09380420472</v>
      </c>
      <c r="K45" s="12">
        <v>748208.53882023145</v>
      </c>
      <c r="L45" s="12">
        <v>111980.88067080081</v>
      </c>
      <c r="M45" s="12">
        <v>243449.64830789814</v>
      </c>
      <c r="N45" s="12">
        <v>71725.727503883798</v>
      </c>
      <c r="O45" s="12">
        <v>116126.90326586462</v>
      </c>
      <c r="P45" s="12">
        <v>760475.35723797069</v>
      </c>
      <c r="Q45" s="12">
        <v>229149.40001861521</v>
      </c>
      <c r="R45" s="12">
        <v>281369.6090214678</v>
      </c>
      <c r="S45" s="12">
        <v>181774.09418566973</v>
      </c>
      <c r="T45" s="12">
        <v>-7160.1209390602917</v>
      </c>
      <c r="U45" s="39">
        <v>6476357.7207780089</v>
      </c>
    </row>
    <row r="46" spans="1:23" x14ac:dyDescent="0.25">
      <c r="A46" s="95"/>
      <c r="B46" s="100"/>
      <c r="C46" s="16" t="s">
        <v>30</v>
      </c>
      <c r="D46" s="12">
        <v>1285965.2606513961</v>
      </c>
      <c r="E46" s="12">
        <v>89359.890706268328</v>
      </c>
      <c r="F46" s="12">
        <v>1814084.1152509334</v>
      </c>
      <c r="G46" s="12">
        <v>62540.625240550784</v>
      </c>
      <c r="H46" s="12">
        <v>470527.08116414619</v>
      </c>
      <c r="I46" s="12">
        <v>81525.135593432598</v>
      </c>
      <c r="J46" s="12">
        <v>1142941.9890846743</v>
      </c>
      <c r="K46" s="12">
        <v>1155297.509364015</v>
      </c>
      <c r="L46" s="12">
        <v>210842.27396073705</v>
      </c>
      <c r="M46" s="12">
        <v>393393.64016235882</v>
      </c>
      <c r="N46" s="12">
        <v>109975.04176274347</v>
      </c>
      <c r="O46" s="12">
        <v>189735.63007501676</v>
      </c>
      <c r="P46" s="12">
        <v>1170078.0968499305</v>
      </c>
      <c r="Q46" s="12">
        <v>348541.35889417207</v>
      </c>
      <c r="R46" s="12">
        <v>440951.3970004514</v>
      </c>
      <c r="S46" s="12">
        <v>308757.51023854845</v>
      </c>
      <c r="T46" s="12">
        <v>-10432.912189621877</v>
      </c>
      <c r="U46" s="39">
        <v>9731483.3447101358</v>
      </c>
    </row>
    <row r="47" spans="1:23" x14ac:dyDescent="0.25">
      <c r="A47" s="95"/>
      <c r="B47" s="101"/>
      <c r="C47" s="28" t="s">
        <v>31</v>
      </c>
      <c r="D47" s="40">
        <v>1480320.7043246501</v>
      </c>
      <c r="E47" s="40">
        <v>134915.39307414321</v>
      </c>
      <c r="F47" s="40">
        <v>2359599.0554323872</v>
      </c>
      <c r="G47" s="40">
        <v>82472.754446068226</v>
      </c>
      <c r="H47" s="40">
        <v>658031.787535246</v>
      </c>
      <c r="I47" s="40">
        <v>111504.05405268431</v>
      </c>
      <c r="J47" s="40">
        <v>1516300.9952532626</v>
      </c>
      <c r="K47" s="40">
        <v>1589829.9186625362</v>
      </c>
      <c r="L47" s="40">
        <v>323774.14196042373</v>
      </c>
      <c r="M47" s="40">
        <v>546469.80822619423</v>
      </c>
      <c r="N47" s="40">
        <v>161190.13819225004</v>
      </c>
      <c r="O47" s="40">
        <v>286841.56614309031</v>
      </c>
      <c r="P47" s="40">
        <v>1675047.6908622419</v>
      </c>
      <c r="Q47" s="40">
        <v>468289.00881545775</v>
      </c>
      <c r="R47" s="40">
        <v>589925.16792824236</v>
      </c>
      <c r="S47" s="40">
        <v>439304.81322255742</v>
      </c>
      <c r="T47" s="40">
        <v>-131654.72308984472</v>
      </c>
      <c r="U47" s="41">
        <v>12714862.952452745</v>
      </c>
    </row>
    <row r="48" spans="1:23" x14ac:dyDescent="0.25">
      <c r="A48" s="95"/>
      <c r="B48" s="54"/>
      <c r="C48" s="55" t="s">
        <v>51</v>
      </c>
      <c r="D48" s="37">
        <f>+SUM(D49:D52)</f>
        <v>4483788.3655530754</v>
      </c>
      <c r="E48" s="37">
        <f t="shared" ref="E48" si="137">+SUM(E49:E52)</f>
        <v>364842.54486981605</v>
      </c>
      <c r="F48" s="37">
        <f t="shared" ref="F48" si="138">+SUM(F49:F52)</f>
        <v>5504439.8045958281</v>
      </c>
      <c r="G48" s="37">
        <f t="shared" ref="G48" si="139">+SUM(G49:G52)</f>
        <v>211622.62295735322</v>
      </c>
      <c r="H48" s="37">
        <f t="shared" ref="H48" si="140">+SUM(H49:H52)</f>
        <v>1739679.9861693019</v>
      </c>
      <c r="I48" s="37">
        <f t="shared" ref="I48" si="141">+SUM(I49:I52)</f>
        <v>295978.26518638874</v>
      </c>
      <c r="J48" s="37">
        <f t="shared" ref="J48" si="142">+SUM(J49:J52)</f>
        <v>4070305.8140526759</v>
      </c>
      <c r="K48" s="37">
        <f t="shared" ref="K48" si="143">+SUM(K49:K52)</f>
        <v>4223925.4472248293</v>
      </c>
      <c r="L48" s="37">
        <f t="shared" ref="L48" si="144">+SUM(L49:L52)</f>
        <v>732175.89084907877</v>
      </c>
      <c r="M48" s="37">
        <f t="shared" ref="M48" si="145">+SUM(M49:M52)</f>
        <v>1439168.728626831</v>
      </c>
      <c r="N48" s="37">
        <f t="shared" ref="N48" si="146">+SUM(N49:N52)</f>
        <v>680311.56582654756</v>
      </c>
      <c r="O48" s="37">
        <f t="shared" ref="O48" si="147">+SUM(O49:O52)</f>
        <v>678281.00130097475</v>
      </c>
      <c r="P48" s="37">
        <f t="shared" ref="P48" si="148">+SUM(P49:P52)</f>
        <v>3896985.4025226906</v>
      </c>
      <c r="Q48" s="37">
        <f t="shared" ref="Q48" si="149">+SUM(Q49:Q52)</f>
        <v>1210319.2727581633</v>
      </c>
      <c r="R48" s="37">
        <f t="shared" ref="R48" si="150">+SUM(R49:R52)</f>
        <v>1589992.6514921673</v>
      </c>
      <c r="S48" s="37">
        <f t="shared" ref="S48" si="151">+SUM(S49:S52)</f>
        <v>1040134.3367605172</v>
      </c>
      <c r="T48" s="37">
        <f t="shared" ref="T48" si="152">+SUM(T49:T52)</f>
        <v>-164805.41784638987</v>
      </c>
      <c r="U48" s="38">
        <f t="shared" ref="U48" si="153">+SUM(U49:U52)</f>
        <v>32713402.449281301</v>
      </c>
      <c r="V48" s="11"/>
      <c r="W48" s="11"/>
    </row>
    <row r="49" spans="1:23" x14ac:dyDescent="0.25">
      <c r="A49" s="95"/>
      <c r="B49" s="100">
        <v>2011</v>
      </c>
      <c r="C49" s="16" t="s">
        <v>28</v>
      </c>
      <c r="D49" s="12">
        <v>465960.7422005405</v>
      </c>
      <c r="E49" s="12">
        <v>37566.720257197005</v>
      </c>
      <c r="F49" s="12">
        <v>560235.20620946842</v>
      </c>
      <c r="G49" s="12">
        <v>19937.825019992804</v>
      </c>
      <c r="H49" s="12">
        <v>163319.77018378736</v>
      </c>
      <c r="I49" s="12">
        <v>31074.206862196173</v>
      </c>
      <c r="J49" s="12">
        <v>412962.02085880912</v>
      </c>
      <c r="K49" s="12">
        <v>402661.35770310287</v>
      </c>
      <c r="L49" s="12">
        <v>38648.996459713911</v>
      </c>
      <c r="M49" s="12">
        <v>128758.77467982355</v>
      </c>
      <c r="N49" s="12">
        <v>58178.218321154403</v>
      </c>
      <c r="O49" s="12">
        <v>63515.775238221533</v>
      </c>
      <c r="P49" s="12">
        <v>368741.18591341935</v>
      </c>
      <c r="Q49" s="12">
        <v>117040.63088844887</v>
      </c>
      <c r="R49" s="12">
        <v>145712.1448475772</v>
      </c>
      <c r="S49" s="12">
        <v>97256.780151734143</v>
      </c>
      <c r="T49" s="12">
        <v>-2040.623250157312</v>
      </c>
      <c r="U49" s="39">
        <v>3254073.498760737</v>
      </c>
    </row>
    <row r="50" spans="1:23" x14ac:dyDescent="0.25">
      <c r="A50" s="95"/>
      <c r="B50" s="100"/>
      <c r="C50" s="16" t="s">
        <v>29</v>
      </c>
      <c r="D50" s="12">
        <v>1057771.5312392912</v>
      </c>
      <c r="E50" s="12">
        <v>70392.051778999594</v>
      </c>
      <c r="F50" s="12">
        <v>1067252.2178717465</v>
      </c>
      <c r="G50" s="12">
        <v>44042.809862688664</v>
      </c>
      <c r="H50" s="12">
        <v>336185.11351526866</v>
      </c>
      <c r="I50" s="12">
        <v>60654.762147954068</v>
      </c>
      <c r="J50" s="12">
        <v>790942.86783427384</v>
      </c>
      <c r="K50" s="12">
        <v>825044.89836307964</v>
      </c>
      <c r="L50" s="12">
        <v>122689.18084627384</v>
      </c>
      <c r="M50" s="12">
        <v>267615.89288820198</v>
      </c>
      <c r="N50" s="12">
        <v>128002.28469042365</v>
      </c>
      <c r="O50" s="12">
        <v>117860.88125390996</v>
      </c>
      <c r="P50" s="12">
        <v>720947.54291402013</v>
      </c>
      <c r="Q50" s="12">
        <v>237092.06494267349</v>
      </c>
      <c r="R50" s="12">
        <v>312859.79474976612</v>
      </c>
      <c r="S50" s="12">
        <v>207350.92193643365</v>
      </c>
      <c r="T50" s="12">
        <v>-3996.6995741756991</v>
      </c>
      <c r="U50" s="39">
        <v>6460799.8067725468</v>
      </c>
    </row>
    <row r="51" spans="1:23" x14ac:dyDescent="0.25">
      <c r="A51" s="95"/>
      <c r="B51" s="100"/>
      <c r="C51" s="16" t="s">
        <v>30</v>
      </c>
      <c r="D51" s="12">
        <v>1377538.3941794513</v>
      </c>
      <c r="E51" s="12">
        <v>101771.54541627702</v>
      </c>
      <c r="F51" s="12">
        <v>1637561.7559179524</v>
      </c>
      <c r="G51" s="12">
        <v>62395.620634688312</v>
      </c>
      <c r="H51" s="12">
        <v>517837.73517838656</v>
      </c>
      <c r="I51" s="12">
        <v>88449.095571193189</v>
      </c>
      <c r="J51" s="12">
        <v>1222744.4618938887</v>
      </c>
      <c r="K51" s="12">
        <v>1266802.2056375388</v>
      </c>
      <c r="L51" s="12">
        <v>227954.9133664993</v>
      </c>
      <c r="M51" s="12">
        <v>434389.83588352805</v>
      </c>
      <c r="N51" s="12">
        <v>203387.35396581137</v>
      </c>
      <c r="O51" s="12">
        <v>203796.82104645926</v>
      </c>
      <c r="P51" s="12">
        <v>1126565.2730158628</v>
      </c>
      <c r="Q51" s="12">
        <v>362120.5723156723</v>
      </c>
      <c r="R51" s="12">
        <v>486180.15497280227</v>
      </c>
      <c r="S51" s="12">
        <v>314504.13786396291</v>
      </c>
      <c r="T51" s="12">
        <v>-7814.9021955040989</v>
      </c>
      <c r="U51" s="39">
        <v>9826710.5966600515</v>
      </c>
    </row>
    <row r="52" spans="1:23" x14ac:dyDescent="0.25">
      <c r="A52" s="95"/>
      <c r="B52" s="101"/>
      <c r="C52" s="28" t="s">
        <v>31</v>
      </c>
      <c r="D52" s="40">
        <v>1582517.6979337926</v>
      </c>
      <c r="E52" s="40">
        <v>155112.22741734242</v>
      </c>
      <c r="F52" s="40">
        <v>2239390.624596661</v>
      </c>
      <c r="G52" s="40">
        <v>85246.367439983442</v>
      </c>
      <c r="H52" s="40">
        <v>722337.36729185923</v>
      </c>
      <c r="I52" s="40">
        <v>115800.20060504528</v>
      </c>
      <c r="J52" s="40">
        <v>1643656.4634657043</v>
      </c>
      <c r="K52" s="40">
        <v>1729416.9855211074</v>
      </c>
      <c r="L52" s="40">
        <v>342882.80017659179</v>
      </c>
      <c r="M52" s="40">
        <v>608404.22517527745</v>
      </c>
      <c r="N52" s="40">
        <v>290743.70884915808</v>
      </c>
      <c r="O52" s="40">
        <v>293107.52376238396</v>
      </c>
      <c r="P52" s="40">
        <v>1680731.4006793879</v>
      </c>
      <c r="Q52" s="40">
        <v>494066.0046113687</v>
      </c>
      <c r="R52" s="40">
        <v>645240.55692202167</v>
      </c>
      <c r="S52" s="40">
        <v>421022.49680838652</v>
      </c>
      <c r="T52" s="40">
        <v>-150953.19282655275</v>
      </c>
      <c r="U52" s="41">
        <v>13171818.547087964</v>
      </c>
    </row>
    <row r="53" spans="1:23" x14ac:dyDescent="0.25">
      <c r="A53" s="95"/>
      <c r="B53" s="54"/>
      <c r="C53" s="55" t="s">
        <v>51</v>
      </c>
      <c r="D53" s="37">
        <f>+SUM(D54:D57)</f>
        <v>4750176.9090384748</v>
      </c>
      <c r="E53" s="37">
        <f t="shared" ref="E53" si="154">+SUM(E54:E57)</f>
        <v>405716.4896106933</v>
      </c>
      <c r="F53" s="37">
        <f t="shared" ref="F53" si="155">+SUM(F54:F57)</f>
        <v>6057588.9554274436</v>
      </c>
      <c r="G53" s="37">
        <f t="shared" ref="G53" si="156">+SUM(G54:G57)</f>
        <v>207158.93101046936</v>
      </c>
      <c r="H53" s="37">
        <f t="shared" ref="H53" si="157">+SUM(H54:H57)</f>
        <v>1874591.8240047568</v>
      </c>
      <c r="I53" s="37">
        <f t="shared" ref="I53" si="158">+SUM(I54:I57)</f>
        <v>324687.72157391964</v>
      </c>
      <c r="J53" s="37">
        <f t="shared" ref="J53" si="159">+SUM(J54:J57)</f>
        <v>5010319.1592303356</v>
      </c>
      <c r="K53" s="37">
        <f t="shared" ref="K53" si="160">+SUM(K54:K57)</f>
        <v>4549706.1057363218</v>
      </c>
      <c r="L53" s="37">
        <f t="shared" ref="L53" si="161">+SUM(L54:L57)</f>
        <v>678281.90413935366</v>
      </c>
      <c r="M53" s="37">
        <f t="shared" ref="M53" si="162">+SUM(M54:M57)</f>
        <v>1634130.9500117791</v>
      </c>
      <c r="N53" s="37">
        <f t="shared" ref="N53" si="163">+SUM(N54:N57)</f>
        <v>752965.34051182121</v>
      </c>
      <c r="O53" s="37">
        <f t="shared" ref="O53" si="164">+SUM(O54:O57)</f>
        <v>688951.42203581601</v>
      </c>
      <c r="P53" s="37">
        <f t="shared" ref="P53" si="165">+SUM(P54:P57)</f>
        <v>3963020.7070139009</v>
      </c>
      <c r="Q53" s="37">
        <f t="shared" ref="Q53" si="166">+SUM(Q54:Q57)</f>
        <v>1465901.8134307931</v>
      </c>
      <c r="R53" s="37">
        <f t="shared" ref="R53" si="167">+SUM(R54:R57)</f>
        <v>1713286.9765882199</v>
      </c>
      <c r="S53" s="37">
        <f t="shared" ref="S53" si="168">+SUM(S54:S57)</f>
        <v>1008687.8485579046</v>
      </c>
      <c r="T53" s="37">
        <f t="shared" ref="T53" si="169">+SUM(T54:T57)</f>
        <v>-184125.73681233294</v>
      </c>
      <c r="U53" s="38">
        <f t="shared" ref="U53" si="170">+SUM(U54:U57)</f>
        <v>35651131.471844673</v>
      </c>
      <c r="V53" s="11"/>
      <c r="W53" s="11"/>
    </row>
    <row r="54" spans="1:23" x14ac:dyDescent="0.25">
      <c r="A54" s="95"/>
      <c r="B54" s="100">
        <v>2012</v>
      </c>
      <c r="C54" s="16" t="s">
        <v>28</v>
      </c>
      <c r="D54" s="12">
        <v>492751.2432323164</v>
      </c>
      <c r="E54" s="12">
        <v>42801.738357643146</v>
      </c>
      <c r="F54" s="12">
        <v>616865.7447746651</v>
      </c>
      <c r="G54" s="12">
        <v>20731.380676091088</v>
      </c>
      <c r="H54" s="12">
        <v>175004.65028984222</v>
      </c>
      <c r="I54" s="12">
        <v>33457.179840673707</v>
      </c>
      <c r="J54" s="12">
        <v>496015.17925209564</v>
      </c>
      <c r="K54" s="12">
        <v>439530.4642415017</v>
      </c>
      <c r="L54" s="12">
        <v>36731.878978230481</v>
      </c>
      <c r="M54" s="12">
        <v>151037.6935359246</v>
      </c>
      <c r="N54" s="12">
        <v>74926.319529383079</v>
      </c>
      <c r="O54" s="12">
        <v>56056.661152524313</v>
      </c>
      <c r="P54" s="12">
        <v>363695.48983166635</v>
      </c>
      <c r="Q54" s="12">
        <v>140704.91743958698</v>
      </c>
      <c r="R54" s="12">
        <v>159515.51898074293</v>
      </c>
      <c r="S54" s="12">
        <v>92721.728385521361</v>
      </c>
      <c r="T54" s="12">
        <v>-3743.1403332030509</v>
      </c>
      <c r="U54" s="39">
        <v>3507842.7637564982</v>
      </c>
    </row>
    <row r="55" spans="1:23" x14ac:dyDescent="0.25">
      <c r="A55" s="95"/>
      <c r="B55" s="100"/>
      <c r="C55" s="16" t="s">
        <v>29</v>
      </c>
      <c r="D55" s="12">
        <v>1120205.6333107613</v>
      </c>
      <c r="E55" s="12">
        <v>79292.396130728419</v>
      </c>
      <c r="F55" s="12">
        <v>1208478.0888903304</v>
      </c>
      <c r="G55" s="12">
        <v>40984.679682656686</v>
      </c>
      <c r="H55" s="12">
        <v>361367.76467776072</v>
      </c>
      <c r="I55" s="12">
        <v>66280.215993729784</v>
      </c>
      <c r="J55" s="12">
        <v>966536.22305395827</v>
      </c>
      <c r="K55" s="12">
        <v>894866.26557924226</v>
      </c>
      <c r="L55" s="12">
        <v>113020.31082546084</v>
      </c>
      <c r="M55" s="12">
        <v>312593.04452324985</v>
      </c>
      <c r="N55" s="12">
        <v>149220.29359638432</v>
      </c>
      <c r="O55" s="12">
        <v>120702.78845160949</v>
      </c>
      <c r="P55" s="12">
        <v>707079.2924725879</v>
      </c>
      <c r="Q55" s="12">
        <v>288402.03245162661</v>
      </c>
      <c r="R55" s="12">
        <v>340187.0305196913</v>
      </c>
      <c r="S55" s="12">
        <v>202323.76188986277</v>
      </c>
      <c r="T55" s="12">
        <v>-7251.6359630126099</v>
      </c>
      <c r="U55" s="39">
        <v>7142519.6666180715</v>
      </c>
    </row>
    <row r="56" spans="1:23" x14ac:dyDescent="0.25">
      <c r="A56" s="95"/>
      <c r="B56" s="100"/>
      <c r="C56" s="16" t="s">
        <v>30</v>
      </c>
      <c r="D56" s="12">
        <v>1459761.8711788643</v>
      </c>
      <c r="E56" s="12">
        <v>113405.40623784899</v>
      </c>
      <c r="F56" s="12">
        <v>1802530.0605232259</v>
      </c>
      <c r="G56" s="12">
        <v>61994.836030969716</v>
      </c>
      <c r="H56" s="12">
        <v>558041.09462195297</v>
      </c>
      <c r="I56" s="12">
        <v>97274.079756410152</v>
      </c>
      <c r="J56" s="12">
        <v>1510995.5193411573</v>
      </c>
      <c r="K56" s="12">
        <v>1364746.5710904826</v>
      </c>
      <c r="L56" s="12">
        <v>208801.74434149975</v>
      </c>
      <c r="M56" s="12">
        <v>497497.92953815247</v>
      </c>
      <c r="N56" s="12">
        <v>221981.3718274397</v>
      </c>
      <c r="O56" s="12">
        <v>217868.10744239646</v>
      </c>
      <c r="P56" s="12">
        <v>1152157.3706218137</v>
      </c>
      <c r="Q56" s="12">
        <v>440874.18677452463</v>
      </c>
      <c r="R56" s="12">
        <v>524061.10373221652</v>
      </c>
      <c r="S56" s="12">
        <v>301315.23139479698</v>
      </c>
      <c r="T56" s="12">
        <v>-10533.233680259476</v>
      </c>
      <c r="U56" s="39">
        <v>10708934.58323697</v>
      </c>
    </row>
    <row r="57" spans="1:23" x14ac:dyDescent="0.25">
      <c r="A57" s="95"/>
      <c r="B57" s="101"/>
      <c r="C57" s="28" t="s">
        <v>31</v>
      </c>
      <c r="D57" s="40">
        <v>1677458.1613165329</v>
      </c>
      <c r="E57" s="40">
        <v>170216.94888447272</v>
      </c>
      <c r="F57" s="40">
        <v>2429715.0612392225</v>
      </c>
      <c r="G57" s="40">
        <v>83448.03462075186</v>
      </c>
      <c r="H57" s="40">
        <v>780178.31441520085</v>
      </c>
      <c r="I57" s="40">
        <v>127676.24598310598</v>
      </c>
      <c r="J57" s="40">
        <v>2036772.2375831245</v>
      </c>
      <c r="K57" s="40">
        <v>1850562.8048250957</v>
      </c>
      <c r="L57" s="40">
        <v>319727.96999416262</v>
      </c>
      <c r="M57" s="40">
        <v>673002.28241445217</v>
      </c>
      <c r="N57" s="40">
        <v>306837.35555861413</v>
      </c>
      <c r="O57" s="40">
        <v>294323.86498928571</v>
      </c>
      <c r="P57" s="40">
        <v>1740088.554087833</v>
      </c>
      <c r="Q57" s="40">
        <v>595920.67676505493</v>
      </c>
      <c r="R57" s="40">
        <v>689523.32335556904</v>
      </c>
      <c r="S57" s="40">
        <v>412327.12688772345</v>
      </c>
      <c r="T57" s="40">
        <v>-162597.72683585779</v>
      </c>
      <c r="U57" s="41">
        <v>14291834.458233129</v>
      </c>
    </row>
    <row r="58" spans="1:23" x14ac:dyDescent="0.25">
      <c r="A58" s="95"/>
      <c r="B58" s="54"/>
      <c r="C58" s="55" t="s">
        <v>51</v>
      </c>
      <c r="D58" s="37">
        <f>+SUM(D59:D62)</f>
        <v>5010497.1471200231</v>
      </c>
      <c r="E58" s="37">
        <f t="shared" ref="E58" si="171">+SUM(E59:E62)</f>
        <v>418331.90786013601</v>
      </c>
      <c r="F58" s="37">
        <f t="shared" ref="F58" si="172">+SUM(F59:F62)</f>
        <v>6051670.2446391713</v>
      </c>
      <c r="G58" s="37">
        <f t="shared" ref="G58" si="173">+SUM(G59:G62)</f>
        <v>213176.9256003747</v>
      </c>
      <c r="H58" s="37">
        <f t="shared" ref="H58" si="174">+SUM(H59:H62)</f>
        <v>2038318.6497159277</v>
      </c>
      <c r="I58" s="37">
        <f t="shared" ref="I58" si="175">+SUM(I59:I62)</f>
        <v>402106.90926616732</v>
      </c>
      <c r="J58" s="37">
        <f t="shared" ref="J58" si="176">+SUM(J59:J62)</f>
        <v>5910606.5214776089</v>
      </c>
      <c r="K58" s="37">
        <f t="shared" ref="K58" si="177">+SUM(K59:K62)</f>
        <v>4783585.6236172412</v>
      </c>
      <c r="L58" s="37">
        <f t="shared" ref="L58" si="178">+SUM(L59:L62)</f>
        <v>793183.46616094059</v>
      </c>
      <c r="M58" s="37">
        <f t="shared" ref="M58" si="179">+SUM(M59:M62)</f>
        <v>1827161.7832094454</v>
      </c>
      <c r="N58" s="37">
        <f t="shared" ref="N58" si="180">+SUM(N59:N62)</f>
        <v>873028.04316307523</v>
      </c>
      <c r="O58" s="37">
        <f t="shared" ref="O58" si="181">+SUM(O59:O62)</f>
        <v>645729.08296228875</v>
      </c>
      <c r="P58" s="37">
        <f t="shared" ref="P58" si="182">+SUM(P59:P62)</f>
        <v>4323007.8871654626</v>
      </c>
      <c r="Q58" s="37">
        <f t="shared" ref="Q58" si="183">+SUM(Q59:Q62)</f>
        <v>1542663.9479391272</v>
      </c>
      <c r="R58" s="37">
        <f t="shared" ref="R58" si="184">+SUM(R59:R62)</f>
        <v>1770502.6431351062</v>
      </c>
      <c r="S58" s="37">
        <f t="shared" ref="S58" si="185">+SUM(S59:S62)</f>
        <v>1164644.2975561931</v>
      </c>
      <c r="T58" s="37">
        <f t="shared" ref="T58" si="186">+SUM(T59:T62)</f>
        <v>-346023.05739371572</v>
      </c>
      <c r="U58" s="38">
        <f t="shared" ref="U58" si="187">+SUM(U59:U62)</f>
        <v>37897284.805037871</v>
      </c>
      <c r="V58" s="11"/>
      <c r="W58" s="11"/>
    </row>
    <row r="59" spans="1:23" x14ac:dyDescent="0.25">
      <c r="A59" s="95"/>
      <c r="B59" s="100">
        <v>2013</v>
      </c>
      <c r="C59" s="16" t="s">
        <v>28</v>
      </c>
      <c r="D59" s="12">
        <v>525189.94787175872</v>
      </c>
      <c r="E59" s="12">
        <v>44741.697148733911</v>
      </c>
      <c r="F59" s="12">
        <v>603402.60023134213</v>
      </c>
      <c r="G59" s="12">
        <v>20529.96869438632</v>
      </c>
      <c r="H59" s="12">
        <v>192221.51972591228</v>
      </c>
      <c r="I59" s="12">
        <v>40197.040284912473</v>
      </c>
      <c r="J59" s="12">
        <v>603158.62377319369</v>
      </c>
      <c r="K59" s="12">
        <v>459825.9469922703</v>
      </c>
      <c r="L59" s="12">
        <v>39759.29304008466</v>
      </c>
      <c r="M59" s="12">
        <v>181996.50529293096</v>
      </c>
      <c r="N59" s="12">
        <v>81641.449521383824</v>
      </c>
      <c r="O59" s="12">
        <v>48968.018624350516</v>
      </c>
      <c r="P59" s="12">
        <v>419927.30432752031</v>
      </c>
      <c r="Q59" s="12">
        <v>155405.32278107243</v>
      </c>
      <c r="R59" s="12">
        <v>162926.89246703533</v>
      </c>
      <c r="S59" s="12">
        <v>110841.83892328788</v>
      </c>
      <c r="T59" s="12">
        <v>-2795.5904433252654</v>
      </c>
      <c r="U59" s="39">
        <v>3939099.5551469605</v>
      </c>
    </row>
    <row r="60" spans="1:23" x14ac:dyDescent="0.25">
      <c r="A60" s="95"/>
      <c r="B60" s="100"/>
      <c r="C60" s="16" t="s">
        <v>29</v>
      </c>
      <c r="D60" s="12">
        <v>1188099.032604465</v>
      </c>
      <c r="E60" s="12">
        <v>82309.611846593441</v>
      </c>
      <c r="F60" s="12">
        <v>1212903.3929567947</v>
      </c>
      <c r="G60" s="12">
        <v>41634.279322980023</v>
      </c>
      <c r="H60" s="12">
        <v>396309.44035740173</v>
      </c>
      <c r="I60" s="12">
        <v>83144.228401385102</v>
      </c>
      <c r="J60" s="12">
        <v>1158988.6527302926</v>
      </c>
      <c r="K60" s="12">
        <v>936334.17927396065</v>
      </c>
      <c r="L60" s="12">
        <v>129424.32348565356</v>
      </c>
      <c r="M60" s="12">
        <v>373187.42057038046</v>
      </c>
      <c r="N60" s="12">
        <v>169721.51363321685</v>
      </c>
      <c r="O60" s="12">
        <v>112063.82322598505</v>
      </c>
      <c r="P60" s="12">
        <v>804213.10258855205</v>
      </c>
      <c r="Q60" s="12">
        <v>310167.04757551721</v>
      </c>
      <c r="R60" s="12">
        <v>347824.2068920171</v>
      </c>
      <c r="S60" s="12">
        <v>224636.58776694263</v>
      </c>
      <c r="T60" s="12">
        <v>-11933.956563509402</v>
      </c>
      <c r="U60" s="39">
        <v>7856181.2400284894</v>
      </c>
    </row>
    <row r="61" spans="1:23" x14ac:dyDescent="0.25">
      <c r="A61" s="95"/>
      <c r="B61" s="100"/>
      <c r="C61" s="16" t="s">
        <v>30</v>
      </c>
      <c r="D61" s="12">
        <v>1539284.6760789212</v>
      </c>
      <c r="E61" s="12">
        <v>117012.07687969576</v>
      </c>
      <c r="F61" s="12">
        <v>1825884.834547386</v>
      </c>
      <c r="G61" s="12">
        <v>64171.703188054191</v>
      </c>
      <c r="H61" s="12">
        <v>608309.92445893842</v>
      </c>
      <c r="I61" s="12">
        <v>118795.0932693659</v>
      </c>
      <c r="J61" s="12">
        <v>1782779.2514971674</v>
      </c>
      <c r="K61" s="12">
        <v>1433033.7148303902</v>
      </c>
      <c r="L61" s="12">
        <v>245762.67319421488</v>
      </c>
      <c r="M61" s="12">
        <v>560259.97252018878</v>
      </c>
      <c r="N61" s="12">
        <v>259473.16958626476</v>
      </c>
      <c r="O61" s="12">
        <v>200243.5694367137</v>
      </c>
      <c r="P61" s="12">
        <v>1249575.3744218114</v>
      </c>
      <c r="Q61" s="12">
        <v>463293.67917034472</v>
      </c>
      <c r="R61" s="12">
        <v>540028.53234782361</v>
      </c>
      <c r="S61" s="12">
        <v>341351.19439894141</v>
      </c>
      <c r="T61" s="12">
        <v>-144639.85053643826</v>
      </c>
      <c r="U61" s="39">
        <v>11112290.514584597</v>
      </c>
    </row>
    <row r="62" spans="1:23" x14ac:dyDescent="0.25">
      <c r="A62" s="95"/>
      <c r="B62" s="101"/>
      <c r="C62" s="28" t="s">
        <v>31</v>
      </c>
      <c r="D62" s="40">
        <v>1757923.4905648786</v>
      </c>
      <c r="E62" s="40">
        <v>174268.52198511292</v>
      </c>
      <c r="F62" s="40">
        <v>2409479.4169036481</v>
      </c>
      <c r="G62" s="40">
        <v>86840.974394954173</v>
      </c>
      <c r="H62" s="40">
        <v>841477.76517367526</v>
      </c>
      <c r="I62" s="40">
        <v>159970.54731050384</v>
      </c>
      <c r="J62" s="40">
        <v>2365679.9934769552</v>
      </c>
      <c r="K62" s="40">
        <v>1954391.7825206197</v>
      </c>
      <c r="L62" s="40">
        <v>378237.1764409875</v>
      </c>
      <c r="M62" s="40">
        <v>711717.88482594525</v>
      </c>
      <c r="N62" s="40">
        <v>362191.91042220977</v>
      </c>
      <c r="O62" s="40">
        <v>284453.6716752394</v>
      </c>
      <c r="P62" s="40">
        <v>1849292.1058275788</v>
      </c>
      <c r="Q62" s="40">
        <v>613797.89841219294</v>
      </c>
      <c r="R62" s="40">
        <v>719723.01142823033</v>
      </c>
      <c r="S62" s="40">
        <v>487814.67646702129</v>
      </c>
      <c r="T62" s="40">
        <v>-186653.65985044275</v>
      </c>
      <c r="U62" s="41">
        <v>14989713.495277826</v>
      </c>
    </row>
    <row r="63" spans="1:23" x14ac:dyDescent="0.25">
      <c r="A63" s="95"/>
      <c r="B63" s="54"/>
      <c r="C63" s="55" t="s">
        <v>51</v>
      </c>
      <c r="D63" s="37">
        <f>+SUM(D64:D67)</f>
        <v>5299928.7518431135</v>
      </c>
      <c r="E63" s="37">
        <f t="shared" ref="E63" si="188">+SUM(E64:E67)</f>
        <v>551404.77703792928</v>
      </c>
      <c r="F63" s="37">
        <f t="shared" ref="F63" si="189">+SUM(F64:F67)</f>
        <v>5735029.3126233174</v>
      </c>
      <c r="G63" s="37">
        <f t="shared" ref="G63" si="190">+SUM(G64:G67)</f>
        <v>214110.78584063496</v>
      </c>
      <c r="H63" s="37">
        <f t="shared" ref="H63" si="191">+SUM(H64:H67)</f>
        <v>1839813.3452067487</v>
      </c>
      <c r="I63" s="37">
        <f t="shared" ref="I63" si="192">+SUM(I64:I67)</f>
        <v>415236.35444612277</v>
      </c>
      <c r="J63" s="37">
        <f t="shared" ref="J63" si="193">+SUM(J64:J67)</f>
        <v>5782335.8863542471</v>
      </c>
      <c r="K63" s="37">
        <f t="shared" ref="K63" si="194">+SUM(K64:K67)</f>
        <v>5815084.9535381645</v>
      </c>
      <c r="L63" s="37">
        <f t="shared" ref="L63" si="195">+SUM(L64:L67)</f>
        <v>941419.55385378748</v>
      </c>
      <c r="M63" s="37">
        <f t="shared" ref="M63" si="196">+SUM(M64:M67)</f>
        <v>2059677.4816051864</v>
      </c>
      <c r="N63" s="37">
        <f t="shared" ref="N63" si="197">+SUM(N64:N67)</f>
        <v>963157.921121391</v>
      </c>
      <c r="O63" s="37">
        <f t="shared" ref="O63" si="198">+SUM(O64:O67)</f>
        <v>561255.27859343332</v>
      </c>
      <c r="P63" s="37">
        <f t="shared" ref="P63" si="199">+SUM(P64:P67)</f>
        <v>4713763.2084422866</v>
      </c>
      <c r="Q63" s="37">
        <f t="shared" ref="Q63" si="200">+SUM(Q64:Q67)</f>
        <v>1491739.4829143235</v>
      </c>
      <c r="R63" s="37">
        <f t="shared" ref="R63" si="201">+SUM(R64:R67)</f>
        <v>2071401.8121868412</v>
      </c>
      <c r="S63" s="37">
        <f t="shared" ref="S63" si="202">+SUM(S64:S67)</f>
        <v>1363210.0973755536</v>
      </c>
      <c r="T63" s="37">
        <f t="shared" ref="T63" si="203">+SUM(T64:T67)</f>
        <v>-571379.35858762357</v>
      </c>
      <c r="U63" s="38">
        <f t="shared" ref="U63" si="204">+SUM(U64:U67)</f>
        <v>37952459.310810715</v>
      </c>
      <c r="V63" s="11"/>
      <c r="W63" s="11"/>
    </row>
    <row r="64" spans="1:23" x14ac:dyDescent="0.25">
      <c r="A64" s="95"/>
      <c r="B64" s="100">
        <v>2014</v>
      </c>
      <c r="C64" s="16" t="s">
        <v>28</v>
      </c>
      <c r="D64" s="12">
        <v>555168.4479682995</v>
      </c>
      <c r="E64" s="12">
        <v>61722.331702053212</v>
      </c>
      <c r="F64" s="12">
        <v>544581.52268431371</v>
      </c>
      <c r="G64" s="12">
        <v>19509.064838289305</v>
      </c>
      <c r="H64" s="12">
        <v>167611.03245485356</v>
      </c>
      <c r="I64" s="12">
        <v>45199.761620753474</v>
      </c>
      <c r="J64" s="12">
        <v>610975.09676638793</v>
      </c>
      <c r="K64" s="12">
        <v>539312.90362260607</v>
      </c>
      <c r="L64" s="12">
        <v>62412.403353992726</v>
      </c>
      <c r="M64" s="12">
        <v>205530.40335727541</v>
      </c>
      <c r="N64" s="12">
        <v>93885.83887122602</v>
      </c>
      <c r="O64" s="12">
        <v>47994.57385021435</v>
      </c>
      <c r="P64" s="12">
        <v>460221.77199739206</v>
      </c>
      <c r="Q64" s="12">
        <v>151881.28238235691</v>
      </c>
      <c r="R64" s="12">
        <v>202861.8546927268</v>
      </c>
      <c r="S64" s="12">
        <v>126460.39040944776</v>
      </c>
      <c r="T64" s="12">
        <v>-67005.567532313144</v>
      </c>
      <c r="U64" s="39">
        <v>3608677.450141293</v>
      </c>
    </row>
    <row r="65" spans="1:23" x14ac:dyDescent="0.25">
      <c r="A65" s="95"/>
      <c r="B65" s="100"/>
      <c r="C65" s="16" t="s">
        <v>29</v>
      </c>
      <c r="D65" s="12">
        <v>1259429.9487616108</v>
      </c>
      <c r="E65" s="12">
        <v>108182.08098576602</v>
      </c>
      <c r="F65" s="12">
        <v>1112878.2134984541</v>
      </c>
      <c r="G65" s="12">
        <v>41541.694169791212</v>
      </c>
      <c r="H65" s="12">
        <v>344395.7211804135</v>
      </c>
      <c r="I65" s="12">
        <v>83279.835693863162</v>
      </c>
      <c r="J65" s="12">
        <v>1044972.4040867889</v>
      </c>
      <c r="K65" s="12">
        <v>1109029.3062279793</v>
      </c>
      <c r="L65" s="12">
        <v>206749.66705335589</v>
      </c>
      <c r="M65" s="12">
        <v>423986.43751534366</v>
      </c>
      <c r="N65" s="12">
        <v>187690.58536045015</v>
      </c>
      <c r="O65" s="12">
        <v>103038.61424818082</v>
      </c>
      <c r="P65" s="12">
        <v>880823.89019839652</v>
      </c>
      <c r="Q65" s="12">
        <v>300605.15603315365</v>
      </c>
      <c r="R65" s="12">
        <v>414123.41345714405</v>
      </c>
      <c r="S65" s="12">
        <v>281291.70088304189</v>
      </c>
      <c r="T65" s="12">
        <v>-137244.97825959325</v>
      </c>
      <c r="U65" s="39">
        <v>7332706.6267294111</v>
      </c>
    </row>
    <row r="66" spans="1:23" x14ac:dyDescent="0.25">
      <c r="A66" s="95"/>
      <c r="B66" s="100"/>
      <c r="C66" s="16" t="s">
        <v>30</v>
      </c>
      <c r="D66" s="12">
        <v>1631188.4045450257</v>
      </c>
      <c r="E66" s="12">
        <v>153802.98261588544</v>
      </c>
      <c r="F66" s="12">
        <v>1727742.6772976853</v>
      </c>
      <c r="G66" s="12">
        <v>65636.349499410135</v>
      </c>
      <c r="H66" s="12">
        <v>536647.18767186254</v>
      </c>
      <c r="I66" s="12">
        <v>121030.54560539153</v>
      </c>
      <c r="J66" s="12">
        <v>1727781.0358545156</v>
      </c>
      <c r="K66" s="12">
        <v>1735165.9098471005</v>
      </c>
      <c r="L66" s="12">
        <v>290501.70088000339</v>
      </c>
      <c r="M66" s="12">
        <v>630668.65078376688</v>
      </c>
      <c r="N66" s="12">
        <v>287589.13673243503</v>
      </c>
      <c r="O66" s="12">
        <v>157607.88182660367</v>
      </c>
      <c r="P66" s="12">
        <v>1367434.3234193516</v>
      </c>
      <c r="Q66" s="12">
        <v>447060.99160255503</v>
      </c>
      <c r="R66" s="12">
        <v>626543.55678359163</v>
      </c>
      <c r="S66" s="12">
        <v>431065.05617371161</v>
      </c>
      <c r="T66" s="12">
        <v>-172717.46207072519</v>
      </c>
      <c r="U66" s="39">
        <v>11323482.115413029</v>
      </c>
    </row>
    <row r="67" spans="1:23" x14ac:dyDescent="0.25">
      <c r="A67" s="95"/>
      <c r="B67" s="101"/>
      <c r="C67" s="28" t="s">
        <v>31</v>
      </c>
      <c r="D67" s="40">
        <v>1854141.9505681773</v>
      </c>
      <c r="E67" s="40">
        <v>227697.38173422468</v>
      </c>
      <c r="F67" s="40">
        <v>2349826.8991428642</v>
      </c>
      <c r="G67" s="40">
        <v>87423.677333144296</v>
      </c>
      <c r="H67" s="40">
        <v>791159.40389961912</v>
      </c>
      <c r="I67" s="40">
        <v>165726.21152611464</v>
      </c>
      <c r="J67" s="40">
        <v>2398607.3496465543</v>
      </c>
      <c r="K67" s="40">
        <v>2431576.8338404791</v>
      </c>
      <c r="L67" s="40">
        <v>381755.7825664354</v>
      </c>
      <c r="M67" s="40">
        <v>799491.98994880053</v>
      </c>
      <c r="N67" s="40">
        <v>393992.36015727982</v>
      </c>
      <c r="O67" s="40">
        <v>252614.20866843453</v>
      </c>
      <c r="P67" s="40">
        <v>2005283.2228271463</v>
      </c>
      <c r="Q67" s="40">
        <v>592192.05289625772</v>
      </c>
      <c r="R67" s="40">
        <v>827872.98725337861</v>
      </c>
      <c r="S67" s="40">
        <v>524392.94990935212</v>
      </c>
      <c r="T67" s="40">
        <v>-194411.35072499199</v>
      </c>
      <c r="U67" s="41">
        <v>15687593.11852698</v>
      </c>
    </row>
    <row r="68" spans="1:23" x14ac:dyDescent="0.25">
      <c r="A68" s="95"/>
      <c r="B68" s="54"/>
      <c r="C68" s="55" t="s">
        <v>51</v>
      </c>
      <c r="D68" s="37">
        <v>5402553.4608568633</v>
      </c>
      <c r="E68" s="37">
        <v>635093.4851390596</v>
      </c>
      <c r="F68" s="37">
        <v>6475992.7694377769</v>
      </c>
      <c r="G68" s="37">
        <v>225578.74008168833</v>
      </c>
      <c r="H68" s="37">
        <v>2037815.8389717583</v>
      </c>
      <c r="I68" s="37">
        <v>456996.23654444615</v>
      </c>
      <c r="J68" s="37">
        <v>5009681.3663802966</v>
      </c>
      <c r="K68" s="37">
        <v>5796384.0605122913</v>
      </c>
      <c r="L68" s="37">
        <v>978634.76737854071</v>
      </c>
      <c r="M68" s="37">
        <v>2220088.6661999961</v>
      </c>
      <c r="N68" s="37">
        <v>953853.20474584983</v>
      </c>
      <c r="O68" s="37">
        <v>727157.01807812671</v>
      </c>
      <c r="P68" s="37">
        <v>4672529.0462849336</v>
      </c>
      <c r="Q68" s="37">
        <v>1488301.0299923839</v>
      </c>
      <c r="R68" s="37">
        <v>1931542.5346709117</v>
      </c>
      <c r="S68" s="37">
        <v>1093628.1509971158</v>
      </c>
      <c r="T68" s="37">
        <v>-588379.95277350757</v>
      </c>
      <c r="U68" s="38">
        <v>39514069.820116051</v>
      </c>
      <c r="V68" s="11"/>
      <c r="W68" s="11"/>
    </row>
    <row r="69" spans="1:23" x14ac:dyDescent="0.25">
      <c r="A69" s="95"/>
      <c r="B69" s="100">
        <v>2015</v>
      </c>
      <c r="C69" s="16" t="s">
        <v>28</v>
      </c>
      <c r="D69" s="12">
        <v>561872.28496799467</v>
      </c>
      <c r="E69" s="12">
        <v>74663.8761150106</v>
      </c>
      <c r="F69" s="12">
        <v>632239.20821737067</v>
      </c>
      <c r="G69" s="12">
        <v>20558.200798292641</v>
      </c>
      <c r="H69" s="12">
        <v>209495.89138510104</v>
      </c>
      <c r="I69" s="12">
        <v>47878.883905460068</v>
      </c>
      <c r="J69" s="12">
        <v>464280.75316545001</v>
      </c>
      <c r="K69" s="12">
        <v>574372.25987975928</v>
      </c>
      <c r="L69" s="12">
        <v>67345.796416488825</v>
      </c>
      <c r="M69" s="12">
        <v>217940.45912990961</v>
      </c>
      <c r="N69" s="12">
        <v>90630.446313281762</v>
      </c>
      <c r="O69" s="12">
        <v>70296.029637116721</v>
      </c>
      <c r="P69" s="12">
        <v>474336.61159356748</v>
      </c>
      <c r="Q69" s="12">
        <v>149195.845856125</v>
      </c>
      <c r="R69" s="12">
        <v>208828.74135996829</v>
      </c>
      <c r="S69" s="12">
        <v>116210.95966157464</v>
      </c>
      <c r="T69" s="12">
        <v>-107128.76829981229</v>
      </c>
      <c r="U69" s="39">
        <v>3871688.9144952558</v>
      </c>
    </row>
    <row r="70" spans="1:23" x14ac:dyDescent="0.25">
      <c r="A70" s="95"/>
      <c r="B70" s="100"/>
      <c r="C70" s="16" t="s">
        <v>29</v>
      </c>
      <c r="D70" s="12">
        <v>1281789.0949112647</v>
      </c>
      <c r="E70" s="12">
        <v>122045.85266804419</v>
      </c>
      <c r="F70" s="12">
        <v>1285475.2961820418</v>
      </c>
      <c r="G70" s="12">
        <v>43885.025915281993</v>
      </c>
      <c r="H70" s="12">
        <v>405008.74618322519</v>
      </c>
      <c r="I70" s="12">
        <v>92196.363697225272</v>
      </c>
      <c r="J70" s="12">
        <v>886106.96610373235</v>
      </c>
      <c r="K70" s="12">
        <v>1143759.6572629646</v>
      </c>
      <c r="L70" s="12">
        <v>222814.92808086355</v>
      </c>
      <c r="M70" s="12">
        <v>446034.85508053703</v>
      </c>
      <c r="N70" s="12">
        <v>185610.63999439502</v>
      </c>
      <c r="O70" s="12">
        <v>141585.44260784492</v>
      </c>
      <c r="P70" s="12">
        <v>909258.91789001902</v>
      </c>
      <c r="Q70" s="12">
        <v>297932.91605972382</v>
      </c>
      <c r="R70" s="12">
        <v>394773.00320286286</v>
      </c>
      <c r="S70" s="12">
        <v>206323.25842725186</v>
      </c>
      <c r="T70" s="12">
        <v>-124750.96006663096</v>
      </c>
      <c r="U70" s="39">
        <v>7938486.3158253822</v>
      </c>
    </row>
    <row r="71" spans="1:23" x14ac:dyDescent="0.25">
      <c r="A71" s="95"/>
      <c r="B71" s="100"/>
      <c r="C71" s="16" t="s">
        <v>30</v>
      </c>
      <c r="D71" s="12">
        <v>1659040.6016649655</v>
      </c>
      <c r="E71" s="12">
        <v>178359.38418275077</v>
      </c>
      <c r="F71" s="12">
        <v>1950285.3373326627</v>
      </c>
      <c r="G71" s="12">
        <v>67988.23411809461</v>
      </c>
      <c r="H71" s="12">
        <v>594926.2712047355</v>
      </c>
      <c r="I71" s="12">
        <v>134395.11330653186</v>
      </c>
      <c r="J71" s="12">
        <v>1539240.2592522905</v>
      </c>
      <c r="K71" s="12">
        <v>1727726.6554255451</v>
      </c>
      <c r="L71" s="12">
        <v>303942.70110101497</v>
      </c>
      <c r="M71" s="12">
        <v>692946.41529597063</v>
      </c>
      <c r="N71" s="12">
        <v>284602.70602262486</v>
      </c>
      <c r="O71" s="12">
        <v>219473.28077252815</v>
      </c>
      <c r="P71" s="12">
        <v>1355921.4312359949</v>
      </c>
      <c r="Q71" s="12">
        <v>446372.63594581949</v>
      </c>
      <c r="R71" s="12">
        <v>574110.28693412303</v>
      </c>
      <c r="S71" s="12">
        <v>300036.62510150642</v>
      </c>
      <c r="T71" s="12">
        <v>-132102.33228855437</v>
      </c>
      <c r="U71" s="39">
        <v>11896577.257208796</v>
      </c>
    </row>
    <row r="72" spans="1:23" x14ac:dyDescent="0.25">
      <c r="A72" s="95"/>
      <c r="B72" s="101"/>
      <c r="C72" s="28" t="s">
        <v>31</v>
      </c>
      <c r="D72" s="40">
        <v>1899851.4793126383</v>
      </c>
      <c r="E72" s="40">
        <v>260024.37217325397</v>
      </c>
      <c r="F72" s="40">
        <v>2607992.9277057014</v>
      </c>
      <c r="G72" s="40">
        <v>93147.279250019084</v>
      </c>
      <c r="H72" s="40">
        <v>828384.93019869644</v>
      </c>
      <c r="I72" s="40">
        <v>182525.87563522893</v>
      </c>
      <c r="J72" s="40">
        <v>2120053.3878588239</v>
      </c>
      <c r="K72" s="40">
        <v>2350525.4879440228</v>
      </c>
      <c r="L72" s="40">
        <v>384531.3417801733</v>
      </c>
      <c r="M72" s="40">
        <v>863166.93669357907</v>
      </c>
      <c r="N72" s="40">
        <v>393009.41241554823</v>
      </c>
      <c r="O72" s="40">
        <v>295802.26506063691</v>
      </c>
      <c r="P72" s="40">
        <v>1933012.0855653521</v>
      </c>
      <c r="Q72" s="40">
        <v>594799.63213071565</v>
      </c>
      <c r="R72" s="40">
        <v>753830.50317395758</v>
      </c>
      <c r="S72" s="40">
        <v>471057.30780678277</v>
      </c>
      <c r="T72" s="40">
        <v>-224397.89211851</v>
      </c>
      <c r="U72" s="41">
        <v>15807317.332586618</v>
      </c>
    </row>
    <row r="73" spans="1:23" x14ac:dyDescent="0.25">
      <c r="A73" s="95"/>
      <c r="B73" s="54"/>
      <c r="C73" s="55" t="s">
        <v>51</v>
      </c>
      <c r="D73" s="37">
        <v>5536863.5923266187</v>
      </c>
      <c r="E73" s="37">
        <v>620671.43711926322</v>
      </c>
      <c r="F73" s="37">
        <v>6457114.3307818817</v>
      </c>
      <c r="G73" s="37">
        <v>229452.37724517495</v>
      </c>
      <c r="H73" s="37">
        <v>2125439.8416319289</v>
      </c>
      <c r="I73" s="37">
        <v>498095.68347000889</v>
      </c>
      <c r="J73" s="37">
        <v>5316496.7241830658</v>
      </c>
      <c r="K73" s="37">
        <v>5656412.3408972928</v>
      </c>
      <c r="L73" s="37">
        <v>957945.84001539974</v>
      </c>
      <c r="M73" s="37">
        <v>2297038.7534197383</v>
      </c>
      <c r="N73" s="37">
        <v>930138.44693563611</v>
      </c>
      <c r="O73" s="37">
        <v>739552.48820594163</v>
      </c>
      <c r="P73" s="37">
        <v>3974798.8872244046</v>
      </c>
      <c r="Q73" s="37">
        <v>1530183.2472607661</v>
      </c>
      <c r="R73" s="37">
        <v>2069126.3499394204</v>
      </c>
      <c r="S73" s="37">
        <v>1132295.7015947434</v>
      </c>
      <c r="T73" s="37">
        <v>-130500.15892249995</v>
      </c>
      <c r="U73" s="38">
        <v>39941036.597042359</v>
      </c>
      <c r="V73" s="11"/>
      <c r="W73" s="11"/>
    </row>
    <row r="74" spans="1:23" x14ac:dyDescent="0.25">
      <c r="A74" s="95"/>
      <c r="B74" s="100">
        <v>2016</v>
      </c>
      <c r="C74" s="16" t="s">
        <v>28</v>
      </c>
      <c r="D74" s="12">
        <v>573242.75517267792</v>
      </c>
      <c r="E74" s="12">
        <v>56607.615346685867</v>
      </c>
      <c r="F74" s="12">
        <v>661157.74679763557</v>
      </c>
      <c r="G74" s="12">
        <v>22841.295903505863</v>
      </c>
      <c r="H74" s="12">
        <v>215037.45162088814</v>
      </c>
      <c r="I74" s="12">
        <v>51754.958103641387</v>
      </c>
      <c r="J74" s="12">
        <v>557258.65872644424</v>
      </c>
      <c r="K74" s="12">
        <v>593061.04786220088</v>
      </c>
      <c r="L74" s="12">
        <v>71461.814301703082</v>
      </c>
      <c r="M74" s="12">
        <v>224594.11059621026</v>
      </c>
      <c r="N74" s="12">
        <v>92856.765014655408</v>
      </c>
      <c r="O74" s="12">
        <v>72693.925852953485</v>
      </c>
      <c r="P74" s="12">
        <v>417225.04493510199</v>
      </c>
      <c r="Q74" s="12">
        <v>152793.5610693949</v>
      </c>
      <c r="R74" s="12">
        <v>213150.5511878063</v>
      </c>
      <c r="S74" s="12">
        <v>103634.97677033827</v>
      </c>
      <c r="T74" s="12">
        <v>-5367.7569831511109</v>
      </c>
      <c r="U74" s="39">
        <v>4074125.6957655684</v>
      </c>
    </row>
    <row r="75" spans="1:23" x14ac:dyDescent="0.25">
      <c r="A75" s="95"/>
      <c r="B75" s="100"/>
      <c r="C75" s="16" t="s">
        <v>29</v>
      </c>
      <c r="D75" s="12">
        <v>1318142.2733385691</v>
      </c>
      <c r="E75" s="12">
        <v>106322.540401783</v>
      </c>
      <c r="F75" s="12">
        <v>1306255.6665302077</v>
      </c>
      <c r="G75" s="12">
        <v>43988.300228540305</v>
      </c>
      <c r="H75" s="12">
        <v>416645.4907372591</v>
      </c>
      <c r="I75" s="12">
        <v>100415.05304829797</v>
      </c>
      <c r="J75" s="12">
        <v>1023427.7946285803</v>
      </c>
      <c r="K75" s="12">
        <v>1145315.4562259428</v>
      </c>
      <c r="L75" s="12">
        <v>207246.23146687215</v>
      </c>
      <c r="M75" s="12">
        <v>454954.0848798668</v>
      </c>
      <c r="N75" s="12">
        <v>185567.47993850446</v>
      </c>
      <c r="O75" s="12">
        <v>145195.9624376343</v>
      </c>
      <c r="P75" s="12">
        <v>766730.94493025797</v>
      </c>
      <c r="Q75" s="12">
        <v>305770.63361312472</v>
      </c>
      <c r="R75" s="12">
        <v>411183.24471071037</v>
      </c>
      <c r="S75" s="12">
        <v>216078.73803571827</v>
      </c>
      <c r="T75" s="12">
        <v>-24829.424339686695</v>
      </c>
      <c r="U75" s="39">
        <v>8128379.713186888</v>
      </c>
    </row>
    <row r="76" spans="1:23" x14ac:dyDescent="0.25">
      <c r="A76" s="95"/>
      <c r="B76" s="100"/>
      <c r="C76" s="16" t="s">
        <v>30</v>
      </c>
      <c r="D76" s="12">
        <v>1712075.8600275633</v>
      </c>
      <c r="E76" s="12">
        <v>178334.59665322723</v>
      </c>
      <c r="F76" s="12">
        <v>1948102.2399381381</v>
      </c>
      <c r="G76" s="12">
        <v>69449.420663087716</v>
      </c>
      <c r="H76" s="12">
        <v>623447.02402291493</v>
      </c>
      <c r="I76" s="12">
        <v>146593.85463669372</v>
      </c>
      <c r="J76" s="12">
        <v>1561786.0674023726</v>
      </c>
      <c r="K76" s="12">
        <v>1691350.4853786547</v>
      </c>
      <c r="L76" s="12">
        <v>291459.82392869383</v>
      </c>
      <c r="M76" s="12">
        <v>722962.87414048135</v>
      </c>
      <c r="N76" s="12">
        <v>278567.2044966176</v>
      </c>
      <c r="O76" s="12">
        <v>220224.33824776704</v>
      </c>
      <c r="P76" s="12">
        <v>1159820.1645492287</v>
      </c>
      <c r="Q76" s="12">
        <v>458975.43148360914</v>
      </c>
      <c r="R76" s="12">
        <v>612441.7166852603</v>
      </c>
      <c r="S76" s="12">
        <v>334089.55666005466</v>
      </c>
      <c r="T76" s="12">
        <v>-41443.887387867544</v>
      </c>
      <c r="U76" s="39">
        <v>11968057.06937849</v>
      </c>
    </row>
    <row r="77" spans="1:23" x14ac:dyDescent="0.25">
      <c r="A77" s="95"/>
      <c r="B77" s="101"/>
      <c r="C77" s="28" t="s">
        <v>31</v>
      </c>
      <c r="D77" s="40">
        <v>1933402.7037878088</v>
      </c>
      <c r="E77" s="40">
        <v>279406.68471756711</v>
      </c>
      <c r="F77" s="40">
        <v>2541598.6775159002</v>
      </c>
      <c r="G77" s="40">
        <v>93173.360450041087</v>
      </c>
      <c r="H77" s="40">
        <v>870309.87525086664</v>
      </c>
      <c r="I77" s="40">
        <v>199331.81768137583</v>
      </c>
      <c r="J77" s="40">
        <v>2174024.2034256682</v>
      </c>
      <c r="K77" s="40">
        <v>2226685.3514304943</v>
      </c>
      <c r="L77" s="40">
        <v>387777.97031813074</v>
      </c>
      <c r="M77" s="40">
        <v>894527.68380318</v>
      </c>
      <c r="N77" s="40">
        <v>373146.99748585862</v>
      </c>
      <c r="O77" s="40">
        <v>301438.26166758686</v>
      </c>
      <c r="P77" s="40">
        <v>1631022.732809816</v>
      </c>
      <c r="Q77" s="40">
        <v>612643.6210946372</v>
      </c>
      <c r="R77" s="40">
        <v>832350.83735564339</v>
      </c>
      <c r="S77" s="40">
        <v>478492.43012863217</v>
      </c>
      <c r="T77" s="40">
        <v>-58859.090211794588</v>
      </c>
      <c r="U77" s="41">
        <v>15770474.118711414</v>
      </c>
    </row>
    <row r="78" spans="1:23" x14ac:dyDescent="0.25">
      <c r="A78" s="95"/>
      <c r="B78" s="54"/>
      <c r="C78" s="55" t="s">
        <v>51</v>
      </c>
      <c r="D78" s="37">
        <v>5504719.9494856158</v>
      </c>
      <c r="E78" s="37">
        <v>657711.02290874091</v>
      </c>
      <c r="F78" s="37">
        <v>5820691.6832648963</v>
      </c>
      <c r="G78" s="37">
        <v>229148.88481116487</v>
      </c>
      <c r="H78" s="37">
        <v>2174867.379909663</v>
      </c>
      <c r="I78" s="37">
        <v>487925.2193062607</v>
      </c>
      <c r="J78" s="37">
        <v>5106902.0106745344</v>
      </c>
      <c r="K78" s="37">
        <v>5584113.4103068728</v>
      </c>
      <c r="L78" s="37">
        <v>959940.62661439728</v>
      </c>
      <c r="M78" s="37">
        <v>2341976.6404097704</v>
      </c>
      <c r="N78" s="37">
        <v>938188.1008975578</v>
      </c>
      <c r="O78" s="37">
        <v>664821.70256246836</v>
      </c>
      <c r="P78" s="37">
        <v>3878735.5565588577</v>
      </c>
      <c r="Q78" s="37">
        <v>1579621.3578072323</v>
      </c>
      <c r="R78" s="37">
        <v>2302106.0195242744</v>
      </c>
      <c r="S78" s="37">
        <v>1216720.6242741731</v>
      </c>
      <c r="T78" s="37">
        <v>-83939.463632413943</v>
      </c>
      <c r="U78" s="38">
        <v>39401631.686877444</v>
      </c>
      <c r="V78" s="11"/>
      <c r="W78" s="11"/>
    </row>
    <row r="79" spans="1:23" x14ac:dyDescent="0.25">
      <c r="A79" s="95"/>
      <c r="B79" s="100">
        <v>2017</v>
      </c>
      <c r="C79" s="16" t="s">
        <v>28</v>
      </c>
      <c r="D79" s="12">
        <v>557008.26435728977</v>
      </c>
      <c r="E79" s="12">
        <v>63330.394006968745</v>
      </c>
      <c r="F79" s="12">
        <v>580987.18452078616</v>
      </c>
      <c r="G79" s="12">
        <v>23150.738816908713</v>
      </c>
      <c r="H79" s="12">
        <v>226416.4146950951</v>
      </c>
      <c r="I79" s="12">
        <v>51265.697418238618</v>
      </c>
      <c r="J79" s="12">
        <v>456666.02446873963</v>
      </c>
      <c r="K79" s="12">
        <v>556716.2788126081</v>
      </c>
      <c r="L79" s="12">
        <v>67244.356574966252</v>
      </c>
      <c r="M79" s="12">
        <v>224515.66639729284</v>
      </c>
      <c r="N79" s="12">
        <v>93609.536644664739</v>
      </c>
      <c r="O79" s="12">
        <v>64396.269100804675</v>
      </c>
      <c r="P79" s="12">
        <v>381710.87866494543</v>
      </c>
      <c r="Q79" s="12">
        <v>158125.3293682842</v>
      </c>
      <c r="R79" s="12">
        <v>241181.75308924183</v>
      </c>
      <c r="S79" s="12">
        <v>116964.96735588434</v>
      </c>
      <c r="T79" s="12">
        <v>-2878.1972261817614</v>
      </c>
      <c r="U79" s="39">
        <v>3871842.9172191666</v>
      </c>
    </row>
    <row r="80" spans="1:23" x14ac:dyDescent="0.25">
      <c r="A80" s="95"/>
      <c r="B80" s="100"/>
      <c r="C80" s="16" t="s">
        <v>29</v>
      </c>
      <c r="D80" s="12">
        <v>1307345.9066957515</v>
      </c>
      <c r="E80" s="12">
        <v>123169.98188686396</v>
      </c>
      <c r="F80" s="12">
        <v>1160208.3675101376</v>
      </c>
      <c r="G80" s="12">
        <v>46638.615521981948</v>
      </c>
      <c r="H80" s="12">
        <v>427341.86539288622</v>
      </c>
      <c r="I80" s="12">
        <v>96788.986143332208</v>
      </c>
      <c r="J80" s="12">
        <v>871957.65882264473</v>
      </c>
      <c r="K80" s="12">
        <v>1119813.6656003487</v>
      </c>
      <c r="L80" s="12">
        <v>212525.74107880838</v>
      </c>
      <c r="M80" s="12">
        <v>457773.00981406681</v>
      </c>
      <c r="N80" s="12">
        <v>186373.32748336633</v>
      </c>
      <c r="O80" s="12">
        <v>130201.27109855253</v>
      </c>
      <c r="P80" s="12">
        <v>725785.31178234122</v>
      </c>
      <c r="Q80" s="12">
        <v>316346.53892216913</v>
      </c>
      <c r="R80" s="12">
        <v>463647.29307372915</v>
      </c>
      <c r="S80" s="12">
        <v>253187.04486711975</v>
      </c>
      <c r="T80" s="12">
        <v>-15627.606721555694</v>
      </c>
      <c r="U80" s="39">
        <v>7891028.2975521199</v>
      </c>
    </row>
    <row r="81" spans="1:23" x14ac:dyDescent="0.25">
      <c r="A81" s="95"/>
      <c r="B81" s="100"/>
      <c r="C81" s="16" t="s">
        <v>30</v>
      </c>
      <c r="D81" s="12">
        <v>1705714.5543713775</v>
      </c>
      <c r="E81" s="12">
        <v>194852.43074433456</v>
      </c>
      <c r="F81" s="12">
        <v>1756340.6451495024</v>
      </c>
      <c r="G81" s="12">
        <v>66912.589672598173</v>
      </c>
      <c r="H81" s="12">
        <v>636692.52793915616</v>
      </c>
      <c r="I81" s="12">
        <v>143901.59532779205</v>
      </c>
      <c r="J81" s="12">
        <v>1549778.9673264222</v>
      </c>
      <c r="K81" s="12">
        <v>1677909.7464167634</v>
      </c>
      <c r="L81" s="12">
        <v>295482.16407237598</v>
      </c>
      <c r="M81" s="12">
        <v>742003.25278935023</v>
      </c>
      <c r="N81" s="12">
        <v>281826.63489881926</v>
      </c>
      <c r="O81" s="12">
        <v>201000.93343676566</v>
      </c>
      <c r="P81" s="12">
        <v>1135746.5598977248</v>
      </c>
      <c r="Q81" s="12">
        <v>474093.54904861725</v>
      </c>
      <c r="R81" s="12">
        <v>685007.42352001963</v>
      </c>
      <c r="S81" s="12">
        <v>370258.1560907588</v>
      </c>
      <c r="T81" s="12">
        <v>-29534.695645838361</v>
      </c>
      <c r="U81" s="39">
        <v>11894258.535417307</v>
      </c>
    </row>
    <row r="82" spans="1:23" x14ac:dyDescent="0.25">
      <c r="A82" s="95"/>
      <c r="B82" s="101"/>
      <c r="C82" s="28" t="s">
        <v>31</v>
      </c>
      <c r="D82" s="40">
        <v>1934651.2240611971</v>
      </c>
      <c r="E82" s="40">
        <v>276358.21627057373</v>
      </c>
      <c r="F82" s="40">
        <v>2323155.4860844705</v>
      </c>
      <c r="G82" s="40">
        <v>92446.940799676027</v>
      </c>
      <c r="H82" s="40">
        <v>884416.57188252546</v>
      </c>
      <c r="I82" s="40">
        <v>195968.94041689779</v>
      </c>
      <c r="J82" s="40">
        <v>2228499.3600567281</v>
      </c>
      <c r="K82" s="40">
        <v>2229673.7194771529</v>
      </c>
      <c r="L82" s="40">
        <v>384688.36488824664</v>
      </c>
      <c r="M82" s="40">
        <v>917684.7114090604</v>
      </c>
      <c r="N82" s="40">
        <v>376378.60187070747</v>
      </c>
      <c r="O82" s="40">
        <v>269223.22892634547</v>
      </c>
      <c r="P82" s="40">
        <v>1635492.8062138462</v>
      </c>
      <c r="Q82" s="40">
        <v>631055.94046816172</v>
      </c>
      <c r="R82" s="40">
        <v>912269.5498412837</v>
      </c>
      <c r="S82" s="40">
        <v>476310.45596041024</v>
      </c>
      <c r="T82" s="40">
        <v>-35898.964038838116</v>
      </c>
      <c r="U82" s="41">
        <v>15744501.936688852</v>
      </c>
    </row>
    <row r="83" spans="1:23" x14ac:dyDescent="0.25">
      <c r="A83" s="95"/>
      <c r="B83" s="54"/>
      <c r="C83" s="55" t="s">
        <v>51</v>
      </c>
      <c r="D83" s="37">
        <v>5496494.6328874677</v>
      </c>
      <c r="E83" s="37">
        <v>648106.10280138312</v>
      </c>
      <c r="F83" s="37">
        <v>5328403.7943358393</v>
      </c>
      <c r="G83" s="37">
        <v>220174.13317285094</v>
      </c>
      <c r="H83" s="37">
        <v>2179917.8084879685</v>
      </c>
      <c r="I83" s="37">
        <v>510671.96686179307</v>
      </c>
      <c r="J83" s="37">
        <v>4668862.3723991737</v>
      </c>
      <c r="K83" s="37">
        <v>5536815.4789977409</v>
      </c>
      <c r="L83" s="37">
        <v>963168.79936004861</v>
      </c>
      <c r="M83" s="37">
        <v>2361854.1253240956</v>
      </c>
      <c r="N83" s="37">
        <v>950516.18254400499</v>
      </c>
      <c r="O83" s="37">
        <v>806705.89246925898</v>
      </c>
      <c r="P83" s="37">
        <v>3987528.7741981782</v>
      </c>
      <c r="Q83" s="37">
        <v>1585177.8071519448</v>
      </c>
      <c r="R83" s="37">
        <v>2306907.3775513368</v>
      </c>
      <c r="S83" s="37">
        <v>1250384.834030536</v>
      </c>
      <c r="T83" s="37">
        <v>-38103.636790421973</v>
      </c>
      <c r="U83" s="38">
        <v>38869613.366310224</v>
      </c>
      <c r="V83" s="11"/>
      <c r="W83" s="11"/>
    </row>
    <row r="84" spans="1:23" x14ac:dyDescent="0.25">
      <c r="A84" s="95"/>
      <c r="B84" s="100">
        <v>2018</v>
      </c>
      <c r="C84" s="16" t="s">
        <v>28</v>
      </c>
      <c r="D84" s="12">
        <v>567483.30665862362</v>
      </c>
      <c r="E84" s="12">
        <v>64347.388878923295</v>
      </c>
      <c r="F84" s="12">
        <v>541517.9431768416</v>
      </c>
      <c r="G84" s="12">
        <v>22435.2451846566</v>
      </c>
      <c r="H84" s="12">
        <v>229250.10766718001</v>
      </c>
      <c r="I84" s="12">
        <v>53886.201867465861</v>
      </c>
      <c r="J84" s="12">
        <v>331952.02670499624</v>
      </c>
      <c r="K84" s="12">
        <v>563067.39592862094</v>
      </c>
      <c r="L84" s="12">
        <v>68506.609795015625</v>
      </c>
      <c r="M84" s="12">
        <v>230934.46140336286</v>
      </c>
      <c r="N84" s="12">
        <v>92686.879818436195</v>
      </c>
      <c r="O84" s="12">
        <v>75983.375646769753</v>
      </c>
      <c r="P84" s="12">
        <v>407611.44158547337</v>
      </c>
      <c r="Q84" s="12">
        <v>159155.94405562748</v>
      </c>
      <c r="R84" s="12">
        <v>248229.34588749209</v>
      </c>
      <c r="S84" s="12">
        <v>126578.35642128799</v>
      </c>
      <c r="T84" s="12">
        <v>-0.58635468413635683</v>
      </c>
      <c r="U84" s="39">
        <v>3815803.3384074336</v>
      </c>
    </row>
    <row r="85" spans="1:23" x14ac:dyDescent="0.25">
      <c r="A85" s="95"/>
      <c r="B85" s="100"/>
      <c r="C85" s="16" t="s">
        <v>29</v>
      </c>
      <c r="D85" s="12">
        <v>1303741.9133831677</v>
      </c>
      <c r="E85" s="12">
        <v>128492.83382357063</v>
      </c>
      <c r="F85" s="12">
        <v>1076909.2180207474</v>
      </c>
      <c r="G85" s="12">
        <v>45259.995024665084</v>
      </c>
      <c r="H85" s="12">
        <v>424875.23914179328</v>
      </c>
      <c r="I85" s="12">
        <v>104852.95518225951</v>
      </c>
      <c r="J85" s="12">
        <v>713822.83736813348</v>
      </c>
      <c r="K85" s="12">
        <v>1103287.7109423366</v>
      </c>
      <c r="L85" s="12">
        <v>213612.1617704067</v>
      </c>
      <c r="M85" s="12">
        <v>471117.55806781171</v>
      </c>
      <c r="N85" s="12">
        <v>189202.85070985236</v>
      </c>
      <c r="O85" s="12">
        <v>151799.7692970591</v>
      </c>
      <c r="P85" s="12">
        <v>739919.46716034051</v>
      </c>
      <c r="Q85" s="12">
        <v>317499.21626135637</v>
      </c>
      <c r="R85" s="12">
        <v>456832.08374089107</v>
      </c>
      <c r="S85" s="12">
        <v>249602.88097135135</v>
      </c>
      <c r="T85" s="12">
        <v>-4935.1058766349051</v>
      </c>
      <c r="U85" s="39">
        <v>7731972.8841528911</v>
      </c>
    </row>
    <row r="86" spans="1:23" x14ac:dyDescent="0.25">
      <c r="A86" s="95"/>
      <c r="B86" s="100"/>
      <c r="C86" s="16" t="s">
        <v>30</v>
      </c>
      <c r="D86" s="12">
        <v>1695776.7294821166</v>
      </c>
      <c r="E86" s="12">
        <v>189296.04203329002</v>
      </c>
      <c r="F86" s="12">
        <v>1600307.6248024702</v>
      </c>
      <c r="G86" s="12">
        <v>62885.772042234981</v>
      </c>
      <c r="H86" s="12">
        <v>630782.36048051831</v>
      </c>
      <c r="I86" s="12">
        <v>149950.94402290424</v>
      </c>
      <c r="J86" s="12">
        <v>1394706.2822048333</v>
      </c>
      <c r="K86" s="12">
        <v>1647491.3418776602</v>
      </c>
      <c r="L86" s="12">
        <v>296208.15805475367</v>
      </c>
      <c r="M86" s="12">
        <v>743480.32193565124</v>
      </c>
      <c r="N86" s="12">
        <v>292310.81944381038</v>
      </c>
      <c r="O86" s="12">
        <v>232605.75445766986</v>
      </c>
      <c r="P86" s="12">
        <v>1170406.787559506</v>
      </c>
      <c r="Q86" s="12">
        <v>475312.55063949258</v>
      </c>
      <c r="R86" s="12">
        <v>685565.68880527723</v>
      </c>
      <c r="S86" s="12">
        <v>372165.11136114097</v>
      </c>
      <c r="T86" s="12">
        <v>-7429.3956120173725</v>
      </c>
      <c r="U86" s="39">
        <v>11657112.211628849</v>
      </c>
    </row>
    <row r="87" spans="1:23" x14ac:dyDescent="0.25">
      <c r="A87" s="95"/>
      <c r="B87" s="101"/>
      <c r="C87" s="28" t="s">
        <v>31</v>
      </c>
      <c r="D87" s="40">
        <v>1929492.6833635601</v>
      </c>
      <c r="E87" s="40">
        <v>265969.83806559921</v>
      </c>
      <c r="F87" s="40">
        <v>2109669.0083357804</v>
      </c>
      <c r="G87" s="40">
        <v>89593.120921294263</v>
      </c>
      <c r="H87" s="40">
        <v>895010.10119847697</v>
      </c>
      <c r="I87" s="40">
        <v>201981.86578916351</v>
      </c>
      <c r="J87" s="40">
        <v>2228381.2261212105</v>
      </c>
      <c r="K87" s="40">
        <v>2222969.0302491235</v>
      </c>
      <c r="L87" s="40">
        <v>384841.86973987264</v>
      </c>
      <c r="M87" s="40">
        <v>916321.7839172699</v>
      </c>
      <c r="N87" s="40">
        <v>376315.63257190608</v>
      </c>
      <c r="O87" s="40">
        <v>346316.99306776025</v>
      </c>
      <c r="P87" s="40">
        <v>1669591.0778928585</v>
      </c>
      <c r="Q87" s="40">
        <v>633210.09619546845</v>
      </c>
      <c r="R87" s="40">
        <v>916280.25911767641</v>
      </c>
      <c r="S87" s="40">
        <v>502038.48527675576</v>
      </c>
      <c r="T87" s="40">
        <v>-25738.548947085557</v>
      </c>
      <c r="U87" s="41">
        <v>15664724.932121053</v>
      </c>
    </row>
    <row r="88" spans="1:23" x14ac:dyDescent="0.25">
      <c r="A88" s="95"/>
      <c r="B88" s="54"/>
      <c r="C88" s="55" t="s">
        <v>51</v>
      </c>
      <c r="D88" s="37">
        <v>5580094.5502858292</v>
      </c>
      <c r="E88" s="37">
        <v>578241.31733371515</v>
      </c>
      <c r="F88" s="37">
        <v>4943022.6318888012</v>
      </c>
      <c r="G88" s="37">
        <v>233636.43742790306</v>
      </c>
      <c r="H88" s="37">
        <v>2090696.7627409105</v>
      </c>
      <c r="I88" s="37">
        <v>524965.41984233144</v>
      </c>
      <c r="J88" s="37">
        <v>5297142.4281401252</v>
      </c>
      <c r="K88" s="37">
        <v>5656730.8323705699</v>
      </c>
      <c r="L88" s="37">
        <v>962657.078677007</v>
      </c>
      <c r="M88" s="37">
        <v>2410606.1062210845</v>
      </c>
      <c r="N88" s="37">
        <v>938990.17456372885</v>
      </c>
      <c r="O88" s="37">
        <v>718964.27841090644</v>
      </c>
      <c r="P88" s="37">
        <v>4087643.7709216843</v>
      </c>
      <c r="Q88" s="37">
        <v>1619984.5873305667</v>
      </c>
      <c r="R88" s="37">
        <v>2379932.3670586334</v>
      </c>
      <c r="S88" s="37">
        <v>817785.6229737557</v>
      </c>
      <c r="T88" s="37">
        <v>-38346.218562202834</v>
      </c>
      <c r="U88" s="38">
        <v>38648206.847560473</v>
      </c>
      <c r="V88" s="11"/>
      <c r="W88" s="11"/>
    </row>
    <row r="89" spans="1:23" x14ac:dyDescent="0.25">
      <c r="A89" s="95"/>
      <c r="B89" s="100">
        <v>2019</v>
      </c>
      <c r="C89" s="16" t="s">
        <v>28</v>
      </c>
      <c r="D89" s="12">
        <v>575447.50714613032</v>
      </c>
      <c r="E89" s="12">
        <v>68456.794136730023</v>
      </c>
      <c r="F89" s="12">
        <v>500757.82740042591</v>
      </c>
      <c r="G89" s="12">
        <v>23253.300020817183</v>
      </c>
      <c r="H89" s="12">
        <v>207549.46221230307</v>
      </c>
      <c r="I89" s="12">
        <v>54505.232908373357</v>
      </c>
      <c r="J89" s="12">
        <v>537640.32201619016</v>
      </c>
      <c r="K89" s="12">
        <v>571120.09162013361</v>
      </c>
      <c r="L89" s="12">
        <v>69148.077039114432</v>
      </c>
      <c r="M89" s="12">
        <v>230010.1983357548</v>
      </c>
      <c r="N89" s="12">
        <v>93510.126508106128</v>
      </c>
      <c r="O89" s="12">
        <v>71243.431929890197</v>
      </c>
      <c r="P89" s="12">
        <v>415804.14477684698</v>
      </c>
      <c r="Q89" s="12">
        <v>161449.16932503731</v>
      </c>
      <c r="R89" s="12">
        <v>232617.91866541281</v>
      </c>
      <c r="S89" s="12">
        <v>76405.949059684324</v>
      </c>
      <c r="T89" s="12">
        <v>-0.48298384923668214</v>
      </c>
      <c r="U89" s="39">
        <v>3892206.4573273645</v>
      </c>
    </row>
    <row r="90" spans="1:23" x14ac:dyDescent="0.25">
      <c r="A90" s="95"/>
      <c r="B90" s="100"/>
      <c r="C90" s="16" t="s">
        <v>29</v>
      </c>
      <c r="D90" s="12">
        <v>1324764.9023117851</v>
      </c>
      <c r="E90" s="12">
        <v>119145.93435177943</v>
      </c>
      <c r="F90" s="12">
        <v>1001130.8120460662</v>
      </c>
      <c r="G90" s="12">
        <v>45698.257199818734</v>
      </c>
      <c r="H90" s="12">
        <v>407057.55664998421</v>
      </c>
      <c r="I90" s="12">
        <v>105885.02234257388</v>
      </c>
      <c r="J90" s="12">
        <v>868125.38961694401</v>
      </c>
      <c r="K90" s="12">
        <v>1129620.6452901107</v>
      </c>
      <c r="L90" s="12">
        <v>211578.44993994469</v>
      </c>
      <c r="M90" s="12">
        <v>463810.12861793546</v>
      </c>
      <c r="N90" s="12">
        <v>187497.27608212837</v>
      </c>
      <c r="O90" s="12">
        <v>134709.41185960401</v>
      </c>
      <c r="P90" s="12">
        <v>752766.50778594776</v>
      </c>
      <c r="Q90" s="12">
        <v>323519.65724215441</v>
      </c>
      <c r="R90" s="12">
        <v>467151.76831842755</v>
      </c>
      <c r="S90" s="12">
        <v>150510.05571151557</v>
      </c>
      <c r="T90" s="12">
        <v>-7419.468176639818</v>
      </c>
      <c r="U90" s="39">
        <v>7716855.6104418393</v>
      </c>
    </row>
    <row r="91" spans="1:23" x14ac:dyDescent="0.25">
      <c r="A91" s="95"/>
      <c r="B91" s="100"/>
      <c r="C91" s="16" t="s">
        <v>30</v>
      </c>
      <c r="D91" s="12">
        <v>1724254.6585678174</v>
      </c>
      <c r="E91" s="12">
        <v>164001.13822399089</v>
      </c>
      <c r="F91" s="12">
        <v>1483278.7503219224</v>
      </c>
      <c r="G91" s="12">
        <v>70993.668405837467</v>
      </c>
      <c r="H91" s="12">
        <v>606226.40741401562</v>
      </c>
      <c r="I91" s="12">
        <v>153499.42050608466</v>
      </c>
      <c r="J91" s="12">
        <v>1562868.9902024907</v>
      </c>
      <c r="K91" s="12">
        <v>1691282.6061186837</v>
      </c>
      <c r="L91" s="12">
        <v>295109.97032110498</v>
      </c>
      <c r="M91" s="12">
        <v>736369.58036451368</v>
      </c>
      <c r="N91" s="12">
        <v>288112.86785149365</v>
      </c>
      <c r="O91" s="12">
        <v>192065.98331166938</v>
      </c>
      <c r="P91" s="12">
        <v>1209184.7543843908</v>
      </c>
      <c r="Q91" s="12">
        <v>485986.65382288245</v>
      </c>
      <c r="R91" s="12">
        <v>712743.16614525253</v>
      </c>
      <c r="S91" s="12">
        <v>227963.2836073002</v>
      </c>
      <c r="T91" s="12">
        <v>-14966.544766042087</v>
      </c>
      <c r="U91" s="39">
        <v>11539719.373865359</v>
      </c>
    </row>
    <row r="92" spans="1:23" x14ac:dyDescent="0.25">
      <c r="A92" s="95"/>
      <c r="B92" s="101"/>
      <c r="C92" s="28" t="s">
        <v>31</v>
      </c>
      <c r="D92" s="40">
        <v>1955627.4822600959</v>
      </c>
      <c r="E92" s="40">
        <v>226637.45062121484</v>
      </c>
      <c r="F92" s="40">
        <v>1957855.2421203875</v>
      </c>
      <c r="G92" s="40">
        <v>93691.211801429672</v>
      </c>
      <c r="H92" s="40">
        <v>869863.33646460751</v>
      </c>
      <c r="I92" s="40">
        <v>211075.74408529958</v>
      </c>
      <c r="J92" s="40">
        <v>2328507.7263045004</v>
      </c>
      <c r="K92" s="40">
        <v>2264707.4893416418</v>
      </c>
      <c r="L92" s="40">
        <v>386820.58137684292</v>
      </c>
      <c r="M92" s="40">
        <v>980416.19890288054</v>
      </c>
      <c r="N92" s="40">
        <v>369869.90412200068</v>
      </c>
      <c r="O92" s="40">
        <v>320945.45130974293</v>
      </c>
      <c r="P92" s="40">
        <v>1709888.3639744991</v>
      </c>
      <c r="Q92" s="40">
        <v>649029.10694049241</v>
      </c>
      <c r="R92" s="40">
        <v>967419.51392954052</v>
      </c>
      <c r="S92" s="40">
        <v>362906.33459525555</v>
      </c>
      <c r="T92" s="40">
        <v>-15959.722635671689</v>
      </c>
      <c r="U92" s="41">
        <v>15499425.405925913</v>
      </c>
    </row>
    <row r="93" spans="1:23" x14ac:dyDescent="0.25">
      <c r="A93" s="95"/>
      <c r="B93" s="54"/>
      <c r="C93" s="55" t="s">
        <v>51</v>
      </c>
      <c r="D93" s="37">
        <v>5830549.9208580367</v>
      </c>
      <c r="E93" s="37">
        <v>533335.32584301068</v>
      </c>
      <c r="F93" s="37">
        <v>4674717.73201147</v>
      </c>
      <c r="G93" s="37">
        <v>205585.95173780835</v>
      </c>
      <c r="H93" s="37">
        <v>2177995.5451683304</v>
      </c>
      <c r="I93" s="37">
        <v>547866.18024764326</v>
      </c>
      <c r="J93" s="37">
        <v>4004221.4338758267</v>
      </c>
      <c r="K93" s="37">
        <v>5655228.589627469</v>
      </c>
      <c r="L93" s="37">
        <v>964908.38128614915</v>
      </c>
      <c r="M93" s="37">
        <v>1463496.4106829485</v>
      </c>
      <c r="N93" s="37">
        <v>839399.54957851325</v>
      </c>
      <c r="O93" s="37">
        <v>885461.23201748717</v>
      </c>
      <c r="P93" s="37">
        <v>3928166.9185724151</v>
      </c>
      <c r="Q93" s="37">
        <v>1535057.4334780925</v>
      </c>
      <c r="R93" s="37">
        <v>2497522.645274776</v>
      </c>
      <c r="S93" s="37">
        <v>1376749.418446281</v>
      </c>
      <c r="T93" s="37">
        <v>-545713.95371074497</v>
      </c>
      <c r="U93" s="38">
        <v>36891815.41596128</v>
      </c>
      <c r="V93" s="11"/>
      <c r="W93" s="11"/>
    </row>
    <row r="94" spans="1:23" x14ac:dyDescent="0.25">
      <c r="A94" s="95"/>
      <c r="B94" s="100">
        <v>2020</v>
      </c>
      <c r="C94" s="16" t="s">
        <v>28</v>
      </c>
      <c r="D94" s="12">
        <v>612894.11028727074</v>
      </c>
      <c r="E94" s="12">
        <v>66855.281557379145</v>
      </c>
      <c r="F94" s="12">
        <v>494620.79843438225</v>
      </c>
      <c r="G94" s="12">
        <v>21909.501499128302</v>
      </c>
      <c r="H94" s="12">
        <v>224724.20835730431</v>
      </c>
      <c r="I94" s="12">
        <v>57603.895148809141</v>
      </c>
      <c r="J94" s="12">
        <v>436047.21589999594</v>
      </c>
      <c r="K94" s="12">
        <v>585542.05068094144</v>
      </c>
      <c r="L94" s="12">
        <v>68527.660922507785</v>
      </c>
      <c r="M94" s="12">
        <v>225711.26894212773</v>
      </c>
      <c r="N94" s="12">
        <v>83437.502543342212</v>
      </c>
      <c r="O94" s="12">
        <v>122407.9749595086</v>
      </c>
      <c r="P94" s="12">
        <v>415748.92499198823</v>
      </c>
      <c r="Q94" s="12">
        <v>166220.78915104654</v>
      </c>
      <c r="R94" s="12">
        <v>284191.01996822766</v>
      </c>
      <c r="S94" s="12">
        <v>136492.48179393934</v>
      </c>
      <c r="T94" s="12">
        <v>-73611.135409633454</v>
      </c>
      <c r="U94" s="39">
        <v>3934764.3902258808</v>
      </c>
    </row>
    <row r="95" spans="1:23" x14ac:dyDescent="0.25">
      <c r="A95" s="95"/>
      <c r="B95" s="100"/>
      <c r="C95" s="16" t="s">
        <v>29</v>
      </c>
      <c r="D95" s="12">
        <v>1366036.679428908</v>
      </c>
      <c r="E95" s="12">
        <v>107839.66295283858</v>
      </c>
      <c r="F95" s="12">
        <v>949721.57113108737</v>
      </c>
      <c r="G95" s="12">
        <v>40593.899688118981</v>
      </c>
      <c r="H95" s="12">
        <v>413509.7824364329</v>
      </c>
      <c r="I95" s="12">
        <v>111945.36910781772</v>
      </c>
      <c r="J95" s="12">
        <v>675096.84547010076</v>
      </c>
      <c r="K95" s="12">
        <v>1073157.08744864</v>
      </c>
      <c r="L95" s="12">
        <v>213250.29692263104</v>
      </c>
      <c r="M95" s="12">
        <v>274775.45762652019</v>
      </c>
      <c r="N95" s="12">
        <v>167533.28010717235</v>
      </c>
      <c r="O95" s="12">
        <v>201822.5420539825</v>
      </c>
      <c r="P95" s="12">
        <v>728583.14597436227</v>
      </c>
      <c r="Q95" s="12">
        <v>299784.45430414984</v>
      </c>
      <c r="R95" s="12">
        <v>479451.33570655872</v>
      </c>
      <c r="S95" s="12">
        <v>266190.58491025132</v>
      </c>
      <c r="T95" s="12">
        <v>-102415.10859045638</v>
      </c>
      <c r="U95" s="39">
        <v>7358154.0507458784</v>
      </c>
    </row>
    <row r="96" spans="1:23" x14ac:dyDescent="0.25">
      <c r="A96" s="95"/>
      <c r="B96" s="100"/>
      <c r="C96" s="16" t="s">
        <v>30</v>
      </c>
      <c r="D96" s="12">
        <v>1788876.4105741207</v>
      </c>
      <c r="E96" s="12">
        <v>145777.02426813749</v>
      </c>
      <c r="F96" s="12">
        <v>1404282.3352703825</v>
      </c>
      <c r="G96" s="12">
        <v>59705.685325486651</v>
      </c>
      <c r="H96" s="12">
        <v>627877.85533328995</v>
      </c>
      <c r="I96" s="12">
        <v>161088.37396157096</v>
      </c>
      <c r="J96" s="12">
        <v>1164730.3342738661</v>
      </c>
      <c r="K96" s="12">
        <v>1653067.6785917217</v>
      </c>
      <c r="L96" s="12">
        <v>296518.93328713346</v>
      </c>
      <c r="M96" s="12">
        <v>362186.61852406606</v>
      </c>
      <c r="N96" s="12">
        <v>254736.78009148219</v>
      </c>
      <c r="O96" s="12">
        <v>256064.44019548819</v>
      </c>
      <c r="P96" s="12">
        <v>1160491.1971487417</v>
      </c>
      <c r="Q96" s="12">
        <v>450467.09318679589</v>
      </c>
      <c r="R96" s="12">
        <v>739035.10389539087</v>
      </c>
      <c r="S96" s="12">
        <v>411887.5167595864</v>
      </c>
      <c r="T96" s="12">
        <v>-154352.99736131582</v>
      </c>
      <c r="U96" s="39">
        <v>10916832.41676024</v>
      </c>
    </row>
    <row r="97" spans="1:23" x14ac:dyDescent="0.25">
      <c r="A97" s="95"/>
      <c r="B97" s="101"/>
      <c r="C97" s="28" t="s">
        <v>31</v>
      </c>
      <c r="D97" s="40">
        <v>2062742.7205677372</v>
      </c>
      <c r="E97" s="40">
        <v>212863.35706465543</v>
      </c>
      <c r="F97" s="40">
        <v>1826093.0271756179</v>
      </c>
      <c r="G97" s="40">
        <v>83376.865225074434</v>
      </c>
      <c r="H97" s="40">
        <v>911883.69904130313</v>
      </c>
      <c r="I97" s="40">
        <v>217228.54202944535</v>
      </c>
      <c r="J97" s="40">
        <v>1728347.0382318641</v>
      </c>
      <c r="K97" s="40">
        <v>2343461.7729061656</v>
      </c>
      <c r="L97" s="40">
        <v>386611.49015387683</v>
      </c>
      <c r="M97" s="40">
        <v>600823.06559023459</v>
      </c>
      <c r="N97" s="40">
        <v>333691.98683651653</v>
      </c>
      <c r="O97" s="40">
        <v>305166.27480850788</v>
      </c>
      <c r="P97" s="40">
        <v>1623343.6504573231</v>
      </c>
      <c r="Q97" s="40">
        <v>618585.09683610033</v>
      </c>
      <c r="R97" s="40">
        <v>994845.1857045989</v>
      </c>
      <c r="S97" s="40">
        <v>562178.8349825039</v>
      </c>
      <c r="T97" s="40">
        <v>-215334.71234933933</v>
      </c>
      <c r="U97" s="41">
        <v>14682064.558229282</v>
      </c>
    </row>
    <row r="98" spans="1:23" x14ac:dyDescent="0.25">
      <c r="A98" s="95"/>
      <c r="B98" s="54"/>
      <c r="C98" s="55" t="s">
        <v>51</v>
      </c>
      <c r="D98" s="37">
        <v>5937262.562527786</v>
      </c>
      <c r="E98" s="37">
        <v>785094.85255068331</v>
      </c>
      <c r="F98" s="37">
        <v>4020350.9636877156</v>
      </c>
      <c r="G98" s="37">
        <v>228051.39043997589</v>
      </c>
      <c r="H98" s="37">
        <v>2293416.9465903346</v>
      </c>
      <c r="I98" s="37">
        <v>556718.49360699055</v>
      </c>
      <c r="J98" s="37">
        <v>3340453.527772171</v>
      </c>
      <c r="K98" s="37">
        <v>6182924.285807427</v>
      </c>
      <c r="L98" s="37">
        <v>806654.39427630359</v>
      </c>
      <c r="M98" s="37">
        <v>1722921.8464289457</v>
      </c>
      <c r="N98" s="37">
        <v>851802.68402219913</v>
      </c>
      <c r="O98" s="37">
        <v>632046.00854036142</v>
      </c>
      <c r="P98" s="37">
        <v>4052217.7576693106</v>
      </c>
      <c r="Q98" s="37">
        <v>1580491.8412593014</v>
      </c>
      <c r="R98" s="37">
        <v>2680439.673108655</v>
      </c>
      <c r="S98" s="37">
        <v>1293490.6588071187</v>
      </c>
      <c r="T98" s="37">
        <v>-840986.73410770006</v>
      </c>
      <c r="U98" s="38">
        <v>36336631.079470344</v>
      </c>
      <c r="V98" s="11"/>
      <c r="W98" s="11"/>
    </row>
    <row r="99" spans="1:23" x14ac:dyDescent="0.25">
      <c r="A99" s="95"/>
      <c r="B99" s="100">
        <v>2021</v>
      </c>
      <c r="C99" s="16" t="s">
        <v>28</v>
      </c>
      <c r="D99" s="12">
        <v>546551.07643521752</v>
      </c>
      <c r="E99" s="12">
        <v>89521.598346043815</v>
      </c>
      <c r="F99" s="12">
        <v>399743.51864040294</v>
      </c>
      <c r="G99" s="12">
        <v>27880.218406344455</v>
      </c>
      <c r="H99" s="12">
        <v>226807.0855340735</v>
      </c>
      <c r="I99" s="12">
        <v>58096.94042487663</v>
      </c>
      <c r="J99" s="12">
        <v>317262.37942262425</v>
      </c>
      <c r="K99" s="12">
        <v>572713.10350588348</v>
      </c>
      <c r="L99" s="12">
        <v>68904.025835192806</v>
      </c>
      <c r="M99" s="12">
        <v>214049.66214244408</v>
      </c>
      <c r="N99" s="12">
        <v>80465.42637042336</v>
      </c>
      <c r="O99" s="12">
        <v>59126.045730075515</v>
      </c>
      <c r="P99" s="12">
        <v>432140.93423122959</v>
      </c>
      <c r="Q99" s="12">
        <v>171001.13885729935</v>
      </c>
      <c r="R99" s="12">
        <v>271758.19822584762</v>
      </c>
      <c r="S99" s="12">
        <v>129374.97379913743</v>
      </c>
      <c r="T99" s="12">
        <v>-74003.380031088353</v>
      </c>
      <c r="U99" s="39">
        <v>3610832.576111116</v>
      </c>
    </row>
    <row r="100" spans="1:23" x14ac:dyDescent="0.25">
      <c r="A100" s="95"/>
      <c r="B100" s="100"/>
      <c r="C100" s="16" t="s">
        <v>29</v>
      </c>
      <c r="D100" s="12">
        <v>1380778.4219017292</v>
      </c>
      <c r="E100" s="12">
        <v>158622.4182796544</v>
      </c>
      <c r="F100" s="12">
        <v>798965.33209582546</v>
      </c>
      <c r="G100" s="12">
        <v>44739.197936236837</v>
      </c>
      <c r="H100" s="12">
        <v>427084.91955011629</v>
      </c>
      <c r="I100" s="12">
        <v>113632.3776035606</v>
      </c>
      <c r="J100" s="12">
        <v>481332.76816038915</v>
      </c>
      <c r="K100" s="12">
        <v>1110395.7402067981</v>
      </c>
      <c r="L100" s="12">
        <v>198294.58021128544</v>
      </c>
      <c r="M100" s="12">
        <v>293030.56774769363</v>
      </c>
      <c r="N100" s="12">
        <v>170064.30222219162</v>
      </c>
      <c r="O100" s="12">
        <v>124699.50091086514</v>
      </c>
      <c r="P100" s="12">
        <v>758763.64946395799</v>
      </c>
      <c r="Q100" s="12">
        <v>308542.28582625318</v>
      </c>
      <c r="R100" s="12">
        <v>539509.07090209704</v>
      </c>
      <c r="S100" s="12">
        <v>259810.39296988322</v>
      </c>
      <c r="T100" s="12">
        <v>-159992.76408521214</v>
      </c>
      <c r="U100" s="39">
        <v>7117444.6490778867</v>
      </c>
    </row>
    <row r="101" spans="1:23" x14ac:dyDescent="0.25">
      <c r="A101" s="95"/>
      <c r="B101" s="100"/>
      <c r="C101" s="16" t="s">
        <v>30</v>
      </c>
      <c r="D101" s="12">
        <v>1841165.3677859204</v>
      </c>
      <c r="E101" s="12">
        <v>225276.30851091669</v>
      </c>
      <c r="F101" s="12">
        <v>1204648.1803183882</v>
      </c>
      <c r="G101" s="12">
        <v>63358.90182934489</v>
      </c>
      <c r="H101" s="12">
        <v>672449.68259399384</v>
      </c>
      <c r="I101" s="12">
        <v>163872.24264678094</v>
      </c>
      <c r="J101" s="12">
        <v>929137.75881500484</v>
      </c>
      <c r="K101" s="12">
        <v>1828503.3671590085</v>
      </c>
      <c r="L101" s="12">
        <v>239097.32152927842</v>
      </c>
      <c r="M101" s="12">
        <v>441440.76729955478</v>
      </c>
      <c r="N101" s="12">
        <v>263076.12677077466</v>
      </c>
      <c r="O101" s="12">
        <v>191758.72455035069</v>
      </c>
      <c r="P101" s="12">
        <v>1198684.6071757325</v>
      </c>
      <c r="Q101" s="12">
        <v>463805.76683456579</v>
      </c>
      <c r="R101" s="12">
        <v>796150.25758331385</v>
      </c>
      <c r="S101" s="12">
        <v>387220.55843146925</v>
      </c>
      <c r="T101" s="12">
        <v>-252733.01920683857</v>
      </c>
      <c r="U101" s="39">
        <v>10766169.093237566</v>
      </c>
    </row>
    <row r="102" spans="1:23" x14ac:dyDescent="0.25">
      <c r="A102" s="95"/>
      <c r="B102" s="101"/>
      <c r="C102" s="28" t="s">
        <v>31</v>
      </c>
      <c r="D102" s="40">
        <v>2168767.696404919</v>
      </c>
      <c r="E102" s="40">
        <v>311674.52741406846</v>
      </c>
      <c r="F102" s="40">
        <v>1616993.9326330991</v>
      </c>
      <c r="G102" s="40">
        <v>92073.072268049698</v>
      </c>
      <c r="H102" s="40">
        <v>967075.2589121511</v>
      </c>
      <c r="I102" s="40">
        <v>221116.93293177238</v>
      </c>
      <c r="J102" s="40">
        <v>1612720.6213741526</v>
      </c>
      <c r="K102" s="40">
        <v>2671312.0749357375</v>
      </c>
      <c r="L102" s="40">
        <v>300358.46670054691</v>
      </c>
      <c r="M102" s="40">
        <v>774400.84923925321</v>
      </c>
      <c r="N102" s="40">
        <v>338196.82865880948</v>
      </c>
      <c r="O102" s="40">
        <v>256461.73734907003</v>
      </c>
      <c r="P102" s="40">
        <v>1662628.5667983904</v>
      </c>
      <c r="Q102" s="40">
        <v>637142.64974118304</v>
      </c>
      <c r="R102" s="40">
        <v>1073022.1463973967</v>
      </c>
      <c r="S102" s="40">
        <v>517084.73360662872</v>
      </c>
      <c r="T102" s="40">
        <v>-354257.57078456099</v>
      </c>
      <c r="U102" s="41">
        <v>14842184.761043778</v>
      </c>
    </row>
    <row r="103" spans="1:23" x14ac:dyDescent="0.25">
      <c r="A103" s="95"/>
      <c r="B103" s="54"/>
      <c r="C103" s="55" t="s">
        <v>51</v>
      </c>
      <c r="D103" s="37">
        <v>6308307.9184423573</v>
      </c>
      <c r="E103" s="37">
        <v>814891.93449908844</v>
      </c>
      <c r="F103" s="37">
        <v>4276476.988020245</v>
      </c>
      <c r="G103" s="37">
        <v>229882.84685075079</v>
      </c>
      <c r="H103" s="37">
        <v>2412266.5775146284</v>
      </c>
      <c r="I103" s="37">
        <v>578187.47291182028</v>
      </c>
      <c r="J103" s="37">
        <v>3536391.8515911456</v>
      </c>
      <c r="K103" s="37">
        <v>6514164.854754623</v>
      </c>
      <c r="L103" s="37">
        <v>841044.19511961297</v>
      </c>
      <c r="M103" s="37">
        <v>2272114.1122953822</v>
      </c>
      <c r="N103" s="37">
        <v>814902.97903008456</v>
      </c>
      <c r="O103" s="37">
        <v>621442.60102318181</v>
      </c>
      <c r="P103" s="37">
        <v>4311359.9537388775</v>
      </c>
      <c r="Q103" s="37">
        <v>1627069.734893804</v>
      </c>
      <c r="R103" s="37">
        <v>2722481.9353918741</v>
      </c>
      <c r="S103" s="37">
        <v>1151201.7955116949</v>
      </c>
      <c r="T103" s="37">
        <v>-1178313.9924634832</v>
      </c>
      <c r="U103" s="38">
        <v>38137481.28987214</v>
      </c>
      <c r="V103" s="11"/>
      <c r="W103" s="11"/>
    </row>
    <row r="104" spans="1:23" x14ac:dyDescent="0.25">
      <c r="A104" s="95"/>
      <c r="B104" s="100">
        <v>2022</v>
      </c>
      <c r="C104" s="16" t="s">
        <v>28</v>
      </c>
      <c r="D104" s="12">
        <v>525215.55404471629</v>
      </c>
      <c r="E104" s="12">
        <v>92857.89514425263</v>
      </c>
      <c r="F104" s="12">
        <v>427795.39827746281</v>
      </c>
      <c r="G104" s="12">
        <v>20475.65422893305</v>
      </c>
      <c r="H104" s="12">
        <v>250244.77052921144</v>
      </c>
      <c r="I104" s="12">
        <v>59567.430386171218</v>
      </c>
      <c r="J104" s="12">
        <v>349198.67550025391</v>
      </c>
      <c r="K104" s="12">
        <v>617346.94350262219</v>
      </c>
      <c r="L104" s="12">
        <v>73030.261961726064</v>
      </c>
      <c r="M104" s="12">
        <v>281824.86031486827</v>
      </c>
      <c r="N104" s="12">
        <v>77045.427727051123</v>
      </c>
      <c r="O104" s="12">
        <v>65722.491904949813</v>
      </c>
      <c r="P104" s="12">
        <v>458895.20208700496</v>
      </c>
      <c r="Q104" s="12">
        <v>175872.39568188012</v>
      </c>
      <c r="R104" s="12">
        <v>252329.31549842123</v>
      </c>
      <c r="S104" s="12">
        <v>108973.06950368262</v>
      </c>
      <c r="T104" s="12">
        <v>-107270.04784929082</v>
      </c>
      <c r="U104" s="39">
        <v>3738322.0759116639</v>
      </c>
    </row>
    <row r="105" spans="1:23" x14ac:dyDescent="0.25">
      <c r="A105" s="95"/>
      <c r="B105" s="100"/>
      <c r="C105" s="16" t="s">
        <v>29</v>
      </c>
      <c r="D105" s="12">
        <v>1572637.7297098585</v>
      </c>
      <c r="E105" s="12">
        <v>167122.82152580016</v>
      </c>
      <c r="F105" s="12">
        <v>856465.15096260398</v>
      </c>
      <c r="G105" s="12">
        <v>45534.437884832485</v>
      </c>
      <c r="H105" s="12">
        <v>460709.4380828928</v>
      </c>
      <c r="I105" s="12">
        <v>116681.2705665215</v>
      </c>
      <c r="J105" s="12">
        <v>533033.63166748988</v>
      </c>
      <c r="K105" s="12">
        <v>1276110.3066544109</v>
      </c>
      <c r="L105" s="12">
        <v>204549.57178627152</v>
      </c>
      <c r="M105" s="12">
        <v>387542.07609045005</v>
      </c>
      <c r="N105" s="12">
        <v>162759.45393881676</v>
      </c>
      <c r="O105" s="12">
        <v>131133.56230323465</v>
      </c>
      <c r="P105" s="12">
        <v>794252.30932082585</v>
      </c>
      <c r="Q105" s="12">
        <v>317478.17618625204</v>
      </c>
      <c r="R105" s="12">
        <v>530538.77720674849</v>
      </c>
      <c r="S105" s="12">
        <v>211792.28370011513</v>
      </c>
      <c r="T105" s="12">
        <v>-233768.02366711953</v>
      </c>
      <c r="U105" s="39">
        <v>7730733.1401548609</v>
      </c>
    </row>
    <row r="106" spans="1:23" x14ac:dyDescent="0.25">
      <c r="A106" s="95"/>
      <c r="B106" s="100"/>
      <c r="C106" s="16" t="s">
        <v>30</v>
      </c>
      <c r="D106" s="12">
        <v>1959273.7658194758</v>
      </c>
      <c r="E106" s="12">
        <v>230146.36026357629</v>
      </c>
      <c r="F106" s="12">
        <v>1294178.2731055687</v>
      </c>
      <c r="G106" s="12">
        <v>66800.114644780435</v>
      </c>
      <c r="H106" s="12">
        <v>705229.62600425782</v>
      </c>
      <c r="I106" s="12">
        <v>169693.20421634678</v>
      </c>
      <c r="J106" s="12">
        <v>952578.01681153313</v>
      </c>
      <c r="K106" s="12">
        <v>1920278.2280450533</v>
      </c>
      <c r="L106" s="12">
        <v>248628.61657610213</v>
      </c>
      <c r="M106" s="12">
        <v>574265.4080154117</v>
      </c>
      <c r="N106" s="12">
        <v>252796.51965237106</v>
      </c>
      <c r="O106" s="12">
        <v>186361.02353421389</v>
      </c>
      <c r="P106" s="12">
        <v>1273057.2999353793</v>
      </c>
      <c r="Q106" s="12">
        <v>477462.2337922529</v>
      </c>
      <c r="R106" s="12">
        <v>813821.82095702481</v>
      </c>
      <c r="S106" s="12">
        <v>331656.73778490751</v>
      </c>
      <c r="T106" s="12">
        <v>-360211.29607668769</v>
      </c>
      <c r="U106" s="39">
        <v>11298231.767354365</v>
      </c>
    </row>
    <row r="107" spans="1:23" x14ac:dyDescent="0.25">
      <c r="A107" s="95"/>
      <c r="B107" s="101"/>
      <c r="C107" s="28" t="s">
        <v>31</v>
      </c>
      <c r="D107" s="40">
        <v>2251180.8688683058</v>
      </c>
      <c r="E107" s="40">
        <v>324764.85756545933</v>
      </c>
      <c r="F107" s="40">
        <v>1698038.1656746096</v>
      </c>
      <c r="G107" s="40">
        <v>97072.640092204805</v>
      </c>
      <c r="H107" s="40">
        <v>996082.7428982663</v>
      </c>
      <c r="I107" s="40">
        <v>232245.56774278078</v>
      </c>
      <c r="J107" s="40">
        <v>1701581.5276118685</v>
      </c>
      <c r="K107" s="40">
        <v>2700429.3765525366</v>
      </c>
      <c r="L107" s="40">
        <v>314835.74479551322</v>
      </c>
      <c r="M107" s="40">
        <v>1028481.7678746522</v>
      </c>
      <c r="N107" s="40">
        <v>322301.57771184557</v>
      </c>
      <c r="O107" s="40">
        <v>238225.5232807835</v>
      </c>
      <c r="P107" s="40">
        <v>1785155.142395668</v>
      </c>
      <c r="Q107" s="40">
        <v>656256.92923341878</v>
      </c>
      <c r="R107" s="40">
        <v>1125792.0217296795</v>
      </c>
      <c r="S107" s="40">
        <v>498779.70452298952</v>
      </c>
      <c r="T107" s="40">
        <v>-477064.62487038528</v>
      </c>
      <c r="U107" s="41">
        <v>15370194.306451254</v>
      </c>
    </row>
    <row r="108" spans="1:23" x14ac:dyDescent="0.25">
      <c r="A108" s="95"/>
      <c r="B108" s="54"/>
      <c r="C108" s="55" t="s">
        <v>51</v>
      </c>
      <c r="D108" s="37">
        <v>6394015.0775953196</v>
      </c>
      <c r="E108" s="37">
        <v>844964.45860689413</v>
      </c>
      <c r="F108" s="37">
        <v>4125773.0922892177</v>
      </c>
      <c r="G108" s="37">
        <v>259050.66637296131</v>
      </c>
      <c r="H108" s="37">
        <v>2529896.6483622664</v>
      </c>
      <c r="I108" s="37">
        <v>613368.21436710563</v>
      </c>
      <c r="J108" s="37">
        <v>3734584.2765492303</v>
      </c>
      <c r="K108" s="37">
        <v>6654411.4220690355</v>
      </c>
      <c r="L108" s="37">
        <v>788667.6175567985</v>
      </c>
      <c r="M108" s="37">
        <v>2487378.1638773005</v>
      </c>
      <c r="N108" s="37">
        <v>830146.7056282016</v>
      </c>
      <c r="O108" s="37">
        <v>567134.39498344413</v>
      </c>
      <c r="P108" s="37">
        <v>4511837.2335357219</v>
      </c>
      <c r="Q108" s="37">
        <v>1673719.3626935394</v>
      </c>
      <c r="R108" s="37">
        <v>2959099.7452459242</v>
      </c>
      <c r="S108" s="37">
        <v>1062454.5742526213</v>
      </c>
      <c r="T108" s="37">
        <v>-1021471.2119392508</v>
      </c>
      <c r="U108" s="38">
        <v>39031813.696616799</v>
      </c>
      <c r="V108" s="11"/>
      <c r="W108" s="11"/>
    </row>
    <row r="109" spans="1:23" x14ac:dyDescent="0.25">
      <c r="A109" s="95"/>
      <c r="B109" s="100">
        <v>2023</v>
      </c>
      <c r="C109" s="16" t="s">
        <v>28</v>
      </c>
      <c r="D109" s="12">
        <v>509433.23446909949</v>
      </c>
      <c r="E109" s="12">
        <v>95899.522278312259</v>
      </c>
      <c r="F109" s="12">
        <v>401112.96381354058</v>
      </c>
      <c r="G109" s="12">
        <v>25839.586115046422</v>
      </c>
      <c r="H109" s="12">
        <v>254068.99310617647</v>
      </c>
      <c r="I109" s="12">
        <v>64369.93906054549</v>
      </c>
      <c r="J109" s="12">
        <v>326511.5893447487</v>
      </c>
      <c r="K109" s="12">
        <v>626473.76405900856</v>
      </c>
      <c r="L109" s="12">
        <v>70235.728291440566</v>
      </c>
      <c r="M109" s="12">
        <v>349247.0009558677</v>
      </c>
      <c r="N109" s="12">
        <v>82688.926693159476</v>
      </c>
      <c r="O109" s="12">
        <v>56575.226329000841</v>
      </c>
      <c r="P109" s="12">
        <v>482904.55574308283</v>
      </c>
      <c r="Q109" s="12">
        <v>181078.74488343747</v>
      </c>
      <c r="R109" s="12">
        <v>281844.44307602075</v>
      </c>
      <c r="S109" s="12">
        <v>100157.98177814025</v>
      </c>
      <c r="T109" s="12">
        <v>-109421.43929606638</v>
      </c>
      <c r="U109" s="39">
        <v>3733450.3165444215</v>
      </c>
    </row>
    <row r="110" spans="1:23" x14ac:dyDescent="0.25">
      <c r="A110" s="95"/>
      <c r="B110" s="100"/>
      <c r="C110" s="16" t="s">
        <v>29</v>
      </c>
      <c r="D110" s="12">
        <v>1587707.5823996926</v>
      </c>
      <c r="E110" s="12">
        <v>172568.79020083242</v>
      </c>
      <c r="F110" s="12">
        <v>821064.32402039168</v>
      </c>
      <c r="G110" s="12">
        <v>46674.904540482828</v>
      </c>
      <c r="H110" s="12">
        <v>483850.57856968953</v>
      </c>
      <c r="I110" s="12">
        <v>124517.57848170497</v>
      </c>
      <c r="J110" s="12">
        <v>599563.61912419903</v>
      </c>
      <c r="K110" s="12">
        <v>1299262.4599446547</v>
      </c>
      <c r="L110" s="12">
        <v>184868.39598515013</v>
      </c>
      <c r="M110" s="12">
        <v>457286.72719322413</v>
      </c>
      <c r="N110" s="12">
        <v>167242.0503578622</v>
      </c>
      <c r="O110" s="12">
        <v>114254.90856326242</v>
      </c>
      <c r="P110" s="12">
        <v>840601.67660213565</v>
      </c>
      <c r="Q110" s="12">
        <v>326994.96968479938</v>
      </c>
      <c r="R110" s="12">
        <v>607785.30240171321</v>
      </c>
      <c r="S110" s="12">
        <v>196146.80254349008</v>
      </c>
      <c r="T110" s="12">
        <v>-156207.11322603398</v>
      </c>
      <c r="U110" s="39">
        <v>8026494.7297249194</v>
      </c>
    </row>
    <row r="111" spans="1:23" x14ac:dyDescent="0.25">
      <c r="A111" s="95"/>
      <c r="B111" s="100"/>
      <c r="C111" s="16" t="s">
        <v>30</v>
      </c>
      <c r="D111" s="12">
        <v>1985990.5868278407</v>
      </c>
      <c r="E111" s="12">
        <v>242586.87996867188</v>
      </c>
      <c r="F111" s="12">
        <v>1246589.0766185557</v>
      </c>
      <c r="G111" s="12">
        <v>77581.182741563753</v>
      </c>
      <c r="H111" s="12">
        <v>741798.17626405112</v>
      </c>
      <c r="I111" s="12">
        <v>180025.65921605669</v>
      </c>
      <c r="J111" s="12">
        <v>1132594.1092023335</v>
      </c>
      <c r="K111" s="12">
        <v>1962864.3268148233</v>
      </c>
      <c r="L111" s="12">
        <v>230458.96774203912</v>
      </c>
      <c r="M111" s="12">
        <v>644264.57196085772</v>
      </c>
      <c r="N111" s="12">
        <v>253496.33402514542</v>
      </c>
      <c r="O111" s="12">
        <v>168035.85199423225</v>
      </c>
      <c r="P111" s="12">
        <v>1334486.0044322715</v>
      </c>
      <c r="Q111" s="12">
        <v>490776.00698661973</v>
      </c>
      <c r="R111" s="12">
        <v>893840.31636591442</v>
      </c>
      <c r="S111" s="12">
        <v>320307.31492270133</v>
      </c>
      <c r="T111" s="12">
        <v>-284008.41875126376</v>
      </c>
      <c r="U111" s="39">
        <v>11698762.284385189</v>
      </c>
    </row>
    <row r="112" spans="1:23" x14ac:dyDescent="0.25">
      <c r="A112" s="95"/>
      <c r="B112" s="101"/>
      <c r="C112" s="28" t="s">
        <v>31</v>
      </c>
      <c r="D112" s="40">
        <v>2310883.6738986871</v>
      </c>
      <c r="E112" s="40">
        <v>333909.26615907758</v>
      </c>
      <c r="F112" s="40">
        <v>1657006.7278367297</v>
      </c>
      <c r="G112" s="40">
        <v>108954.99297586828</v>
      </c>
      <c r="H112" s="40">
        <v>1050178.9004223491</v>
      </c>
      <c r="I112" s="40">
        <v>244455.03760879845</v>
      </c>
      <c r="J112" s="40">
        <v>1675914.9588779488</v>
      </c>
      <c r="K112" s="40">
        <v>2765810.8712505493</v>
      </c>
      <c r="L112" s="40">
        <v>303104.52553816867</v>
      </c>
      <c r="M112" s="40">
        <v>1036579.8637673511</v>
      </c>
      <c r="N112" s="40">
        <v>326719.3945520345</v>
      </c>
      <c r="O112" s="40">
        <v>228268.40809694864</v>
      </c>
      <c r="P112" s="40">
        <v>1853844.9967582324</v>
      </c>
      <c r="Q112" s="40">
        <v>674869.64113868284</v>
      </c>
      <c r="R112" s="40">
        <v>1175629.6834022761</v>
      </c>
      <c r="S112" s="40">
        <v>445842.47500828968</v>
      </c>
      <c r="T112" s="40">
        <v>-471834.24066588667</v>
      </c>
      <c r="U112" s="41">
        <v>15573106.365962267</v>
      </c>
    </row>
    <row r="113" spans="1:23" x14ac:dyDescent="0.25">
      <c r="A113" s="95"/>
      <c r="B113" s="54"/>
      <c r="C113" s="55" t="s">
        <v>51</v>
      </c>
      <c r="D113" s="37">
        <v>6868094.3592573628</v>
      </c>
      <c r="E113" s="37">
        <v>850095.86686449579</v>
      </c>
      <c r="F113" s="37">
        <v>4296000.3639428448</v>
      </c>
      <c r="G113" s="37">
        <v>348103.89279744087</v>
      </c>
      <c r="H113" s="37">
        <v>2631116.158057088</v>
      </c>
      <c r="I113" s="37">
        <v>641983.02635788708</v>
      </c>
      <c r="J113" s="37">
        <v>3843075.9782281434</v>
      </c>
      <c r="K113" s="37">
        <v>6859273.5930954982</v>
      </c>
      <c r="L113" s="37">
        <v>850896.91514311451</v>
      </c>
      <c r="M113" s="37">
        <v>2987338.0915758489</v>
      </c>
      <c r="N113" s="37">
        <v>873790.75931848749</v>
      </c>
      <c r="O113" s="37">
        <v>580247.29227722285</v>
      </c>
      <c r="P113" s="37">
        <v>4718856.5276373522</v>
      </c>
      <c r="Q113" s="37">
        <v>1713876.229906668</v>
      </c>
      <c r="R113" s="37">
        <v>3119239.2260186574</v>
      </c>
      <c r="S113" s="37">
        <v>1041560.2179493114</v>
      </c>
      <c r="T113" s="37">
        <v>-1094697.5081120268</v>
      </c>
      <c r="U113" s="38">
        <v>41092435.010712534</v>
      </c>
      <c r="V113" s="11"/>
      <c r="W113" s="11"/>
    </row>
    <row r="114" spans="1:23" x14ac:dyDescent="0.25">
      <c r="A114" s="95"/>
      <c r="B114" s="100">
        <v>2024</v>
      </c>
      <c r="C114" s="16" t="s">
        <v>28</v>
      </c>
      <c r="D114" s="12">
        <v>556046.7003210698</v>
      </c>
      <c r="E114" s="12">
        <v>88866.130954122636</v>
      </c>
      <c r="F114" s="12">
        <v>425002.23813071998</v>
      </c>
      <c r="G114" s="12">
        <v>26404.689788478783</v>
      </c>
      <c r="H114" s="12">
        <v>258122.18013346204</v>
      </c>
      <c r="I114" s="12">
        <v>67498.689194025676</v>
      </c>
      <c r="J114" s="12">
        <v>333373.38721087214</v>
      </c>
      <c r="K114" s="12">
        <v>656122.60854252311</v>
      </c>
      <c r="L114" s="12">
        <v>74064.564026949069</v>
      </c>
      <c r="M114" s="12">
        <v>438090.03354849067</v>
      </c>
      <c r="N114" s="12">
        <v>72591.299599024132</v>
      </c>
      <c r="O114" s="12">
        <v>57819.201608322146</v>
      </c>
      <c r="P114" s="12">
        <v>506169.56112943141</v>
      </c>
      <c r="Q114" s="12">
        <v>185617.53960531551</v>
      </c>
      <c r="R114" s="12">
        <v>274546.06879165478</v>
      </c>
      <c r="S114" s="12">
        <v>104914.07204787174</v>
      </c>
      <c r="T114" s="12">
        <v>-129599.95359191243</v>
      </c>
      <c r="U114" s="39">
        <v>3904785.6943882476</v>
      </c>
    </row>
    <row r="115" spans="1:23" x14ac:dyDescent="0.25">
      <c r="A115" s="95"/>
      <c r="B115" s="100"/>
      <c r="C115" s="16" t="s">
        <v>29</v>
      </c>
      <c r="D115" s="12">
        <v>1722875.3786014682</v>
      </c>
      <c r="E115" s="12">
        <v>167993.61156739935</v>
      </c>
      <c r="F115" s="12">
        <v>857719.48984276666</v>
      </c>
      <c r="G115" s="12">
        <v>60206.886846307993</v>
      </c>
      <c r="H115" s="12">
        <v>502755.05685466633</v>
      </c>
      <c r="I115" s="12">
        <v>132116.72353819513</v>
      </c>
      <c r="J115" s="12">
        <v>624553.44968399848</v>
      </c>
      <c r="K115" s="12">
        <v>1364912.9450338283</v>
      </c>
      <c r="L115" s="12">
        <v>201034.88654834416</v>
      </c>
      <c r="M115" s="12">
        <v>563959.57202096342</v>
      </c>
      <c r="N115" s="12">
        <v>168172.61919496558</v>
      </c>
      <c r="O115" s="12">
        <v>115990.60708906701</v>
      </c>
      <c r="P115" s="12">
        <v>882996.54313952266</v>
      </c>
      <c r="Q115" s="12">
        <v>335176.79491260543</v>
      </c>
      <c r="R115" s="12">
        <v>639920.06586928724</v>
      </c>
      <c r="S115" s="12">
        <v>197837.86240861058</v>
      </c>
      <c r="T115" s="12">
        <v>-216285.45496441689</v>
      </c>
      <c r="U115" s="39">
        <v>8500780.2321176119</v>
      </c>
    </row>
    <row r="116" spans="1:23" x14ac:dyDescent="0.25">
      <c r="A116" s="95"/>
      <c r="B116" s="100"/>
      <c r="C116" s="16" t="s">
        <v>30</v>
      </c>
      <c r="D116" s="12">
        <v>2134598.9234948335</v>
      </c>
      <c r="E116" s="12">
        <v>248571.36063913914</v>
      </c>
      <c r="F116" s="12">
        <v>1300895.0457946518</v>
      </c>
      <c r="G116" s="12">
        <v>104495.66438849454</v>
      </c>
      <c r="H116" s="12">
        <v>775644.57831584383</v>
      </c>
      <c r="I116" s="12">
        <v>188109.61575317418</v>
      </c>
      <c r="J116" s="12">
        <v>1170458.4212710569</v>
      </c>
      <c r="K116" s="12">
        <v>2032241.3263801665</v>
      </c>
      <c r="L116" s="12">
        <v>247738.93342358008</v>
      </c>
      <c r="M116" s="12">
        <v>776428.32375633111</v>
      </c>
      <c r="N116" s="12">
        <v>267147.67103712453</v>
      </c>
      <c r="O116" s="12">
        <v>173103.15666836299</v>
      </c>
      <c r="P116" s="12">
        <v>1395092.513929693</v>
      </c>
      <c r="Q116" s="12">
        <v>502033.40708083566</v>
      </c>
      <c r="R116" s="12">
        <v>943753.69604853156</v>
      </c>
      <c r="S116" s="12">
        <v>313976.08860118093</v>
      </c>
      <c r="T116" s="12">
        <v>-316482.44031905534</v>
      </c>
      <c r="U116" s="39">
        <v>12342476.811238764</v>
      </c>
    </row>
    <row r="117" spans="1:23" x14ac:dyDescent="0.25">
      <c r="A117" s="95"/>
      <c r="B117" s="101"/>
      <c r="C117" s="28" t="s">
        <v>31</v>
      </c>
      <c r="D117" s="40">
        <v>2454573.3568399916</v>
      </c>
      <c r="E117" s="40">
        <v>344664.76370383467</v>
      </c>
      <c r="F117" s="40">
        <v>1712383.5901747067</v>
      </c>
      <c r="G117" s="40">
        <v>156996.6517741596</v>
      </c>
      <c r="H117" s="40">
        <v>1094594.3427531158</v>
      </c>
      <c r="I117" s="40">
        <v>254257.99787249212</v>
      </c>
      <c r="J117" s="40">
        <v>1714690.7200622158</v>
      </c>
      <c r="K117" s="40">
        <v>2805996.7131389799</v>
      </c>
      <c r="L117" s="40">
        <v>328058.53114424116</v>
      </c>
      <c r="M117" s="40">
        <v>1208860.1622500636</v>
      </c>
      <c r="N117" s="40">
        <v>365879.1694873732</v>
      </c>
      <c r="O117" s="40">
        <v>233334.32691147074</v>
      </c>
      <c r="P117" s="40">
        <v>1934597.9094387053</v>
      </c>
      <c r="Q117" s="40">
        <v>691048.4883079112</v>
      </c>
      <c r="R117" s="40">
        <v>1261019.3953091837</v>
      </c>
      <c r="S117" s="40">
        <v>424832.19489164813</v>
      </c>
      <c r="T117" s="40">
        <v>-432329.65923664207</v>
      </c>
      <c r="U117" s="41">
        <v>16344392.272967909</v>
      </c>
    </row>
    <row r="118" spans="1:23" x14ac:dyDescent="0.25">
      <c r="A118" s="95"/>
      <c r="B118" s="54"/>
      <c r="C118" s="55" t="s">
        <v>51</v>
      </c>
      <c r="D118" s="37">
        <v>7129895.6773945261</v>
      </c>
      <c r="E118" s="37">
        <v>850380.53296313924</v>
      </c>
      <c r="F118" s="37">
        <v>4050971.2631891915</v>
      </c>
      <c r="G118" s="37">
        <v>407459.34824018407</v>
      </c>
      <c r="H118" s="37">
        <v>2853297.6248741089</v>
      </c>
      <c r="I118" s="37">
        <v>647608.70620161248</v>
      </c>
      <c r="J118" s="37">
        <v>3974283.6136035305</v>
      </c>
      <c r="K118" s="37">
        <v>7004099.9541394673</v>
      </c>
      <c r="L118" s="37">
        <v>887430.04589336505</v>
      </c>
      <c r="M118" s="37">
        <v>3171330.4621945415</v>
      </c>
      <c r="N118" s="37">
        <v>1329194.2319393577</v>
      </c>
      <c r="O118" s="37">
        <v>622370.73504839162</v>
      </c>
      <c r="P118" s="37">
        <v>4947520.2701583439</v>
      </c>
      <c r="Q118" s="37">
        <v>1763543.2777882498</v>
      </c>
      <c r="R118" s="37">
        <v>3177358.2597224033</v>
      </c>
      <c r="S118" s="37">
        <v>922680.2562414424</v>
      </c>
      <c r="T118" s="37">
        <v>-720020.46252023079</v>
      </c>
      <c r="U118" s="38">
        <v>42322096.935443714</v>
      </c>
      <c r="V118" s="11"/>
      <c r="W118" s="11"/>
    </row>
    <row r="119" spans="1:23" x14ac:dyDescent="0.25">
      <c r="A119" s="95"/>
      <c r="B119" s="100">
        <v>2025</v>
      </c>
      <c r="C119" s="16" t="s">
        <v>28</v>
      </c>
      <c r="D119" s="12">
        <v>581737.26594103524</v>
      </c>
      <c r="E119" s="12">
        <v>90942.002429514949</v>
      </c>
      <c r="F119" s="12">
        <v>407786.76526187774</v>
      </c>
      <c r="G119" s="12">
        <v>39841.264746371759</v>
      </c>
      <c r="H119" s="12">
        <v>272786.27245420765</v>
      </c>
      <c r="I119" s="12">
        <v>67609.817842757562</v>
      </c>
      <c r="J119" s="12">
        <v>351476.62931410805</v>
      </c>
      <c r="K119" s="12">
        <v>672405.95878040115</v>
      </c>
      <c r="L119" s="12">
        <v>71987.832882950475</v>
      </c>
      <c r="M119" s="12">
        <v>460259.30417741329</v>
      </c>
      <c r="N119" s="12">
        <v>105442.79003444548</v>
      </c>
      <c r="O119" s="12">
        <v>61721.563286549666</v>
      </c>
      <c r="P119" s="12">
        <v>558854.65492707305</v>
      </c>
      <c r="Q119" s="12">
        <v>190452.59722460606</v>
      </c>
      <c r="R119" s="12">
        <v>280557.04342860001</v>
      </c>
      <c r="S119" s="12">
        <v>102464.09169897123</v>
      </c>
      <c r="T119" s="12">
        <v>-88992.40871031041</v>
      </c>
      <c r="U119" s="39">
        <v>4074602.5736440495</v>
      </c>
    </row>
    <row r="120" spans="1:23" x14ac:dyDescent="0.25">
      <c r="A120" s="95"/>
      <c r="B120" s="100"/>
      <c r="C120" s="16" t="s">
        <v>29</v>
      </c>
      <c r="D120" s="12">
        <v>1788576.4861752612</v>
      </c>
      <c r="E120" s="12">
        <v>169987.91776951845</v>
      </c>
      <c r="F120" s="12">
        <v>803973.54720302206</v>
      </c>
      <c r="G120" s="12">
        <v>76114.515237440559</v>
      </c>
      <c r="H120" s="12">
        <v>534151.4973455224</v>
      </c>
      <c r="I120" s="12">
        <v>133645.88089533924</v>
      </c>
      <c r="J120" s="12">
        <v>648640.10204758751</v>
      </c>
      <c r="K120" s="12">
        <v>1388949.8806950233</v>
      </c>
      <c r="L120" s="12">
        <v>209262.98200492962</v>
      </c>
      <c r="M120" s="12">
        <v>597202.4869581887</v>
      </c>
      <c r="N120" s="12">
        <v>259855.82543491916</v>
      </c>
      <c r="O120" s="12">
        <v>123532.50234780836</v>
      </c>
      <c r="P120" s="12">
        <v>916301.62790025119</v>
      </c>
      <c r="Q120" s="12">
        <v>344249.61928710918</v>
      </c>
      <c r="R120" s="12">
        <v>648831.91057092499</v>
      </c>
      <c r="S120" s="12">
        <v>171865.10690627544</v>
      </c>
      <c r="T120" s="12">
        <v>-140016.46578882649</v>
      </c>
      <c r="U120" s="39">
        <v>8741685.8527335562</v>
      </c>
    </row>
    <row r="121" spans="1:23" x14ac:dyDescent="0.25">
      <c r="A121" s="95"/>
      <c r="B121" s="100"/>
      <c r="C121" s="16" t="s">
        <v>30</v>
      </c>
      <c r="D121" s="12">
        <v>2214970.7344020563</v>
      </c>
      <c r="E121" s="12">
        <v>243903.86083889904</v>
      </c>
      <c r="F121" s="12">
        <v>1216375.6254723573</v>
      </c>
      <c r="G121" s="12">
        <v>121343.18229816823</v>
      </c>
      <c r="H121" s="12">
        <v>836884.00203654333</v>
      </c>
      <c r="I121" s="12">
        <v>189625.58315717039</v>
      </c>
      <c r="J121" s="12">
        <v>1209485.9430332731</v>
      </c>
      <c r="K121" s="12">
        <v>2070489.2170237934</v>
      </c>
      <c r="L121" s="12">
        <v>255701.05284755229</v>
      </c>
      <c r="M121" s="12">
        <v>828222.86849179235</v>
      </c>
      <c r="N121" s="12">
        <v>413167.17058971751</v>
      </c>
      <c r="O121" s="12">
        <v>186135.95715322369</v>
      </c>
      <c r="P121" s="12">
        <v>1454874.5976082089</v>
      </c>
      <c r="Q121" s="12">
        <v>516699.73364386975</v>
      </c>
      <c r="R121" s="12">
        <v>962769.64776025992</v>
      </c>
      <c r="S121" s="12">
        <v>264309.74499497138</v>
      </c>
      <c r="T121" s="12">
        <v>-214599.63783977815</v>
      </c>
      <c r="U121" s="39">
        <v>12649258.914305514</v>
      </c>
    </row>
    <row r="122" spans="1:23" x14ac:dyDescent="0.25">
      <c r="A122" s="95"/>
      <c r="B122" s="101"/>
      <c r="C122" s="28" t="s">
        <v>31</v>
      </c>
      <c r="D122" s="40">
        <v>2544611.1908761729</v>
      </c>
      <c r="E122" s="40">
        <v>345546.75192520674</v>
      </c>
      <c r="F122" s="40">
        <v>1622835.3252519346</v>
      </c>
      <c r="G122" s="40">
        <v>170160.38595820352</v>
      </c>
      <c r="H122" s="40">
        <v>1209475.8530378356</v>
      </c>
      <c r="I122" s="40">
        <v>256727.42430634523</v>
      </c>
      <c r="J122" s="40">
        <v>1764680.9392085618</v>
      </c>
      <c r="K122" s="40">
        <v>2872254.8976402497</v>
      </c>
      <c r="L122" s="40">
        <v>350478.17815793253</v>
      </c>
      <c r="M122" s="40">
        <v>1285645.8025671474</v>
      </c>
      <c r="N122" s="40">
        <v>550728.44588027545</v>
      </c>
      <c r="O122" s="40">
        <v>250980.71226080987</v>
      </c>
      <c r="P122" s="40">
        <v>2017489.3897228113</v>
      </c>
      <c r="Q122" s="40">
        <v>712141.32763266482</v>
      </c>
      <c r="R122" s="40">
        <v>1285199.6579626186</v>
      </c>
      <c r="S122" s="40">
        <v>384041.31264122436</v>
      </c>
      <c r="T122" s="40">
        <v>-276411.95018131577</v>
      </c>
      <c r="U122" s="41">
        <v>16856549.594760593</v>
      </c>
    </row>
    <row r="123" spans="1:23" x14ac:dyDescent="0.25">
      <c r="A123" s="95"/>
      <c r="B123" s="54"/>
      <c r="C123" s="55" t="s">
        <v>51</v>
      </c>
      <c r="D123" s="37">
        <v>2367306.3482011198</v>
      </c>
      <c r="E123" s="37">
        <v>395528.37520596775</v>
      </c>
      <c r="F123" s="37">
        <v>1627766.8115401848</v>
      </c>
      <c r="G123" s="37">
        <v>166334.95980830866</v>
      </c>
      <c r="H123" s="37">
        <v>1170972.928611448</v>
      </c>
      <c r="I123" s="37">
        <v>292493.48305400292</v>
      </c>
      <c r="J123" s="37">
        <v>1431470.66598194</v>
      </c>
      <c r="K123" s="37">
        <v>2748968.6472330946</v>
      </c>
      <c r="L123" s="37">
        <v>278373.42213774205</v>
      </c>
      <c r="M123" s="37">
        <v>2137806.4550347584</v>
      </c>
      <c r="N123" s="37">
        <v>538294.5700136557</v>
      </c>
      <c r="O123" s="37">
        <v>263763.20789419918</v>
      </c>
      <c r="P123" s="37">
        <v>2298622.6525250673</v>
      </c>
      <c r="Q123" s="37">
        <v>787507.60478037235</v>
      </c>
      <c r="R123" s="37">
        <v>1134635.4345010195</v>
      </c>
      <c r="S123" s="37">
        <v>353514.67159625673</v>
      </c>
      <c r="T123" s="37">
        <v>-205565.13482509085</v>
      </c>
      <c r="U123" s="38">
        <v>17166228.43206425</v>
      </c>
      <c r="V123" s="11"/>
      <c r="W123" s="11"/>
    </row>
    <row r="124" spans="1:23" x14ac:dyDescent="0.25">
      <c r="A124" s="95"/>
      <c r="B124" s="100">
        <v>2026</v>
      </c>
      <c r="C124" s="16" t="s">
        <v>28</v>
      </c>
      <c r="D124" s="12">
        <v>591826.58705027995</v>
      </c>
      <c r="E124" s="12">
        <v>98882.093801491937</v>
      </c>
      <c r="F124" s="12">
        <v>406941.70288504619</v>
      </c>
      <c r="G124" s="12">
        <v>41583.739952077165</v>
      </c>
      <c r="H124" s="12">
        <v>292743.23215286201</v>
      </c>
      <c r="I124" s="12">
        <v>73123.37076350073</v>
      </c>
      <c r="J124" s="12">
        <v>357867.666495485</v>
      </c>
      <c r="K124" s="12">
        <v>687242.16180827364</v>
      </c>
      <c r="L124" s="12">
        <v>69593.355534435512</v>
      </c>
      <c r="M124" s="12">
        <v>534451.61375868961</v>
      </c>
      <c r="N124" s="12">
        <v>134573.64250341392</v>
      </c>
      <c r="O124" s="12">
        <v>65940.801973549795</v>
      </c>
      <c r="P124" s="12">
        <v>574655.66313126683</v>
      </c>
      <c r="Q124" s="12">
        <v>196876.90119509309</v>
      </c>
      <c r="R124" s="12">
        <v>283658.85862525488</v>
      </c>
      <c r="S124" s="12">
        <v>88378.667899064181</v>
      </c>
      <c r="T124" s="12">
        <v>-51391.283706272712</v>
      </c>
      <c r="U124" s="39">
        <v>4291557.1080160625</v>
      </c>
    </row>
    <row r="125" spans="1:23" x14ac:dyDescent="0.25">
      <c r="A125" s="95"/>
      <c r="B125" s="100"/>
      <c r="C125" s="16" t="s">
        <v>29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39"/>
    </row>
    <row r="126" spans="1:23" x14ac:dyDescent="0.25">
      <c r="A126" s="95"/>
      <c r="B126" s="100"/>
      <c r="C126" s="16" t="s">
        <v>30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39"/>
    </row>
    <row r="127" spans="1:23" x14ac:dyDescent="0.25">
      <c r="A127" s="95"/>
      <c r="B127" s="101"/>
      <c r="C127" s="28" t="s">
        <v>31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1"/>
    </row>
  </sheetData>
  <mergeCells count="28">
    <mergeCell ref="B124:B127"/>
    <mergeCell ref="A1:A127"/>
    <mergeCell ref="C1:U1"/>
    <mergeCell ref="B2:C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B54:B57"/>
    <mergeCell ref="B59:B62"/>
    <mergeCell ref="B64:B67"/>
    <mergeCell ref="B69:B72"/>
    <mergeCell ref="B74:B77"/>
    <mergeCell ref="B79:B82"/>
    <mergeCell ref="B84:B87"/>
    <mergeCell ref="B89:B92"/>
    <mergeCell ref="B119:B122"/>
    <mergeCell ref="B94:B97"/>
    <mergeCell ref="B99:B102"/>
    <mergeCell ref="B104:B107"/>
    <mergeCell ref="B109:B112"/>
    <mergeCell ref="B114:B117"/>
  </mergeCells>
  <pageMargins left="0.511811024" right="0.511811024" top="0.78740157499999996" bottom="0.78740157499999996" header="0.31496062000000002" footer="0.31496062000000002"/>
  <pageSetup orientation="portrait" r:id="rId1"/>
  <ignoredErrors>
    <ignoredError sqref="D63:U6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27"/>
  <sheetViews>
    <sheetView showGridLines="0" workbookViewId="0">
      <pane xSplit="3" ySplit="2" topLeftCell="D103" activePane="bottomRight" state="frozen"/>
      <selection activeCell="A2" sqref="A2:B98"/>
      <selection pane="topRight" activeCell="A2" sqref="A2:B98"/>
      <selection pane="bottomLeft" activeCell="A2" sqref="A2:B98"/>
      <selection pane="bottomRight" sqref="A1:A126"/>
    </sheetView>
  </sheetViews>
  <sheetFormatPr defaultRowHeight="15.75" x14ac:dyDescent="0.25"/>
  <cols>
    <col min="2" max="3" width="5.5" style="18" customWidth="1"/>
    <col min="4" max="4" width="8" customWidth="1"/>
  </cols>
  <sheetData>
    <row r="1" spans="1:23" x14ac:dyDescent="0.25">
      <c r="A1" s="95"/>
      <c r="C1" s="102" t="s">
        <v>36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61" t="s">
        <v>28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x14ac:dyDescent="0.25">
      <c r="A4" s="95"/>
      <c r="B4" s="100"/>
      <c r="C4" s="19" t="s">
        <v>29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3"/>
    </row>
    <row r="5" spans="1:23" x14ac:dyDescent="0.25">
      <c r="A5" s="95"/>
      <c r="B5" s="100"/>
      <c r="C5" s="19" t="s">
        <v>30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3"/>
    </row>
    <row r="6" spans="1:23" x14ac:dyDescent="0.25">
      <c r="A6" s="95"/>
      <c r="B6" s="101"/>
      <c r="C6" s="52" t="s">
        <v>31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4"/>
    </row>
    <row r="7" spans="1:23" x14ac:dyDescent="0.25">
      <c r="A7" s="95"/>
      <c r="B7" s="51"/>
      <c r="C7" s="57" t="s">
        <v>51</v>
      </c>
      <c r="D7" s="34">
        <f>+IFERROR('Q8'!D8/'Q8'!D3*100-100,0)</f>
        <v>7.9180181832301031</v>
      </c>
      <c r="E7" s="34">
        <f>+IFERROR('Q8'!E8/'Q8'!E3*100-100,0)</f>
        <v>6.96172344086105</v>
      </c>
      <c r="F7" s="34">
        <f>+IFERROR('Q8'!F8/'Q8'!F3*100-100,0)</f>
        <v>-3.9766142154622628</v>
      </c>
      <c r="G7" s="34">
        <f>+IFERROR('Q8'!G8/'Q8'!G3*100-100,0)</f>
        <v>16.93943306763552</v>
      </c>
      <c r="H7" s="34">
        <f>+IFERROR('Q8'!H8/'Q8'!H3*100-100,0)</f>
        <v>5.4836495526749758</v>
      </c>
      <c r="I7" s="34">
        <f>+IFERROR('Q8'!I8/'Q8'!I3*100-100,0)</f>
        <v>14.853571522026172</v>
      </c>
      <c r="J7" s="34">
        <f>+IFERROR('Q8'!J8/'Q8'!J3*100-100,0)</f>
        <v>14.573566018169657</v>
      </c>
      <c r="K7" s="34">
        <f>+IFERROR('Q8'!K8/'Q8'!K3*100-100,0)</f>
        <v>8.5236231291301721</v>
      </c>
      <c r="L7" s="34">
        <f>+IFERROR('Q8'!L8/'Q8'!L3*100-100,0)</f>
        <v>10.886514464004037</v>
      </c>
      <c r="M7" s="34">
        <f>+IFERROR('Q8'!M8/'Q8'!M3*100-100,0)</f>
        <v>0.45681528550238681</v>
      </c>
      <c r="N7" s="34">
        <f>+IFERROR('Q8'!N8/'Q8'!N3*100-100,0)</f>
        <v>4.7553949997305267</v>
      </c>
      <c r="O7" s="34">
        <f>+IFERROR('Q8'!O8/'Q8'!O3*100-100,0)</f>
        <v>4.6208092826849736</v>
      </c>
      <c r="P7" s="34">
        <f>+IFERROR('Q8'!P8/'Q8'!P3*100-100,0)</f>
        <v>8.8318304017145834</v>
      </c>
      <c r="Q7" s="34">
        <f>+IFERROR('Q8'!Q8/'Q8'!Q3*100-100,0)</f>
        <v>1.7117046393608746</v>
      </c>
      <c r="R7" s="34">
        <f>+IFERROR('Q8'!R8/'Q8'!R3*100-100,0)</f>
        <v>3.5192332154453823</v>
      </c>
      <c r="S7" s="34">
        <f>+IFERROR('Q8'!S8/'Q8'!S3*100-100,0)</f>
        <v>16.812331410937546</v>
      </c>
      <c r="T7" s="34">
        <f>+IFERROR('Q8'!T8/'Q8'!T3*100-100,0)</f>
        <v>1.0633469481820441</v>
      </c>
      <c r="U7" s="34">
        <f>+IFERROR('Q8'!U8/'Q8'!U3*100-100,0)</f>
        <v>3.0625935398737738</v>
      </c>
    </row>
    <row r="8" spans="1:23" x14ac:dyDescent="0.25">
      <c r="A8" s="95"/>
      <c r="B8" s="99">
        <v>2003</v>
      </c>
      <c r="C8" s="61" t="s">
        <v>28</v>
      </c>
      <c r="D8" s="21">
        <f>+IFERROR('Q8'!D9/'Q8'!D4*100-100,0)</f>
        <v>6.5204189100096954</v>
      </c>
      <c r="E8" s="21">
        <f>+IFERROR('Q8'!E9/'Q8'!E4*100-100,0)</f>
        <v>5.6267198556469395</v>
      </c>
      <c r="F8" s="21">
        <f>+IFERROR('Q8'!F9/'Q8'!F4*100-100,0)</f>
        <v>-4.0007567861190267</v>
      </c>
      <c r="G8" s="21">
        <f>+IFERROR('Q8'!G9/'Q8'!G4*100-100,0)</f>
        <v>-0.97287036889362355</v>
      </c>
      <c r="H8" s="21">
        <f>+IFERROR('Q8'!H9/'Q8'!H4*100-100,0)</f>
        <v>3.6917823667195222</v>
      </c>
      <c r="I8" s="21">
        <f>+IFERROR('Q8'!I9/'Q8'!I4*100-100,0)</f>
        <v>24.155809161335256</v>
      </c>
      <c r="J8" s="21">
        <f>+IFERROR('Q8'!J9/'Q8'!J4*100-100,0)</f>
        <v>10.776402113452747</v>
      </c>
      <c r="K8" s="21">
        <f>+IFERROR('Q8'!K9/'Q8'!K4*100-100,0)</f>
        <v>9.0964366339919565</v>
      </c>
      <c r="L8" s="21">
        <f>+IFERROR('Q8'!L9/'Q8'!L4*100-100,0)</f>
        <v>6.2587460261560182</v>
      </c>
      <c r="M8" s="21">
        <f>+IFERROR('Q8'!M9/'Q8'!M4*100-100,0)</f>
        <v>-0.21814973135191451</v>
      </c>
      <c r="N8" s="21">
        <f>+IFERROR('Q8'!N9/'Q8'!N4*100-100,0)</f>
        <v>4.2170337012174883</v>
      </c>
      <c r="O8" s="21">
        <f>+IFERROR('Q8'!O9/'Q8'!O4*100-100,0)</f>
        <v>-2.8738667669367857</v>
      </c>
      <c r="P8" s="21">
        <f>+IFERROR('Q8'!P9/'Q8'!P4*100-100,0)</f>
        <v>9.7462856965697284</v>
      </c>
      <c r="Q8" s="21">
        <f>+IFERROR('Q8'!Q9/'Q8'!Q4*100-100,0)</f>
        <v>-4.9930385429132969</v>
      </c>
      <c r="R8" s="21">
        <f>+IFERROR('Q8'!R9/'Q8'!R4*100-100,0)</f>
        <v>3.2500495062098906</v>
      </c>
      <c r="S8" s="21">
        <f>+IFERROR('Q8'!S9/'Q8'!S4*100-100,0)</f>
        <v>21.151608770749263</v>
      </c>
      <c r="T8" s="21">
        <f>+IFERROR('Q8'!T9/'Q8'!T4*100-100,0)</f>
        <v>18.212086653458442</v>
      </c>
      <c r="U8" s="22">
        <f>+IFERROR('Q8'!U9/'Q8'!U4*100-100,0)</f>
        <v>0.81915072456071414</v>
      </c>
    </row>
    <row r="9" spans="1:23" x14ac:dyDescent="0.25">
      <c r="A9" s="95"/>
      <c r="B9" s="100"/>
      <c r="C9" s="19" t="s">
        <v>29</v>
      </c>
      <c r="D9" s="2">
        <f>+IFERROR('Q8'!D10/'Q8'!D5*100-100,0)</f>
        <v>7.6232905072324542</v>
      </c>
      <c r="E9" s="2">
        <f>+IFERROR('Q8'!E10/'Q8'!E5*100-100,0)</f>
        <v>6.3771216436503124</v>
      </c>
      <c r="F9" s="2">
        <f>+IFERROR('Q8'!F10/'Q8'!F5*100-100,0)</f>
        <v>-4.0616329891584542</v>
      </c>
      <c r="G9" s="2">
        <f>+IFERROR('Q8'!G10/'Q8'!G5*100-100,0)</f>
        <v>13.901425585521253</v>
      </c>
      <c r="H9" s="2">
        <f>+IFERROR('Q8'!H10/'Q8'!H5*100-100,0)</f>
        <v>4.683810115702471</v>
      </c>
      <c r="I9" s="2">
        <f>+IFERROR('Q8'!I10/'Q8'!I5*100-100,0)</f>
        <v>19.872972105580857</v>
      </c>
      <c r="J9" s="2">
        <f>+IFERROR('Q8'!J10/'Q8'!J5*100-100,0)</f>
        <v>12.664376962163175</v>
      </c>
      <c r="K9" s="2">
        <f>+IFERROR('Q8'!K10/'Q8'!K5*100-100,0)</f>
        <v>11.389695479018556</v>
      </c>
      <c r="L9" s="2">
        <f>+IFERROR('Q8'!L10/'Q8'!L5*100-100,0)</f>
        <v>8.3794974918617555</v>
      </c>
      <c r="M9" s="2">
        <f>+IFERROR('Q8'!M10/'Q8'!M5*100-100,0)</f>
        <v>-3.2179484017277105E-2</v>
      </c>
      <c r="N9" s="2">
        <f>+IFERROR('Q8'!N10/'Q8'!N5*100-100,0)</f>
        <v>4.7248786690087456</v>
      </c>
      <c r="O9" s="2">
        <f>+IFERROR('Q8'!O10/'Q8'!O5*100-100,0)</f>
        <v>2.5962768389987474</v>
      </c>
      <c r="P9" s="2">
        <f>+IFERROR('Q8'!P10/'Q8'!P5*100-100,0)</f>
        <v>10.171736864050573</v>
      </c>
      <c r="Q9" s="2">
        <f>+IFERROR('Q8'!Q10/'Q8'!Q5*100-100,0)</f>
        <v>-0.88623136386431156</v>
      </c>
      <c r="R9" s="2">
        <f>+IFERROR('Q8'!R10/'Q8'!R5*100-100,0)</f>
        <v>4.7701130754063286</v>
      </c>
      <c r="S9" s="2">
        <f>+IFERROR('Q8'!S10/'Q8'!S5*100-100,0)</f>
        <v>19.913122478711571</v>
      </c>
      <c r="T9" s="2">
        <f>+IFERROR('Q8'!T10/'Q8'!T5*100-100,0)</f>
        <v>10.05676290460589</v>
      </c>
      <c r="U9" s="23">
        <f>+IFERROR('Q8'!U10/'Q8'!U5*100-100,0)</f>
        <v>2.6268399088994698</v>
      </c>
    </row>
    <row r="10" spans="1:23" x14ac:dyDescent="0.25">
      <c r="A10" s="95"/>
      <c r="B10" s="100"/>
      <c r="C10" s="19" t="s">
        <v>30</v>
      </c>
      <c r="D10" s="2">
        <f>+IFERROR('Q8'!D11/'Q8'!D6*100-100,0)</f>
        <v>8.0689324320023132</v>
      </c>
      <c r="E10" s="2">
        <f>+IFERROR('Q8'!E11/'Q8'!E6*100-100,0)</f>
        <v>6.9536825037597367</v>
      </c>
      <c r="F10" s="2">
        <f>+IFERROR('Q8'!F11/'Q8'!F6*100-100,0)</f>
        <v>-4.0473722640754488</v>
      </c>
      <c r="G10" s="2">
        <f>+IFERROR('Q8'!G11/'Q8'!G6*100-100,0)</f>
        <v>20.840152797131068</v>
      </c>
      <c r="H10" s="2">
        <f>+IFERROR('Q8'!H11/'Q8'!H6*100-100,0)</f>
        <v>5.5356503943511512</v>
      </c>
      <c r="I10" s="2">
        <f>+IFERROR('Q8'!I11/'Q8'!I6*100-100,0)</f>
        <v>12.402770881825049</v>
      </c>
      <c r="J10" s="2">
        <f>+IFERROR('Q8'!J11/'Q8'!J6*100-100,0)</f>
        <v>14.663539767439389</v>
      </c>
      <c r="K10" s="2">
        <f>+IFERROR('Q8'!K11/'Q8'!K6*100-100,0)</f>
        <v>9.9114809171552594</v>
      </c>
      <c r="L10" s="2">
        <f>+IFERROR('Q8'!L11/'Q8'!L6*100-100,0)</f>
        <v>10.429215085972345</v>
      </c>
      <c r="M10" s="2">
        <f>+IFERROR('Q8'!M11/'Q8'!M6*100-100,0)</f>
        <v>0.34961913494977637</v>
      </c>
      <c r="N10" s="2">
        <f>+IFERROR('Q8'!N11/'Q8'!N6*100-100,0)</f>
        <v>4.9283567285497725</v>
      </c>
      <c r="O10" s="2">
        <f>+IFERROR('Q8'!O11/'Q8'!O6*100-100,0)</f>
        <v>5.8643641572400753</v>
      </c>
      <c r="P10" s="2">
        <f>+IFERROR('Q8'!P11/'Q8'!P6*100-100,0)</f>
        <v>9.6738410761018798</v>
      </c>
      <c r="Q10" s="2">
        <f>+IFERROR('Q8'!Q11/'Q8'!Q6*100-100,0)</f>
        <v>3.4242090103867611</v>
      </c>
      <c r="R10" s="2">
        <f>+IFERROR('Q8'!R11/'Q8'!R6*100-100,0)</f>
        <v>4.275052995966405</v>
      </c>
      <c r="S10" s="2">
        <f>+IFERROR('Q8'!S11/'Q8'!S6*100-100,0)</f>
        <v>17.815501238094697</v>
      </c>
      <c r="T10" s="2">
        <f>+IFERROR('Q8'!T11/'Q8'!T6*100-100,0)</f>
        <v>1.7263646758306948</v>
      </c>
      <c r="U10" s="23">
        <f>+IFERROR('Q8'!U11/'Q8'!U6*100-100,0)</f>
        <v>3.506989465937238</v>
      </c>
    </row>
    <row r="11" spans="1:23" x14ac:dyDescent="0.25">
      <c r="A11" s="95"/>
      <c r="B11" s="101"/>
      <c r="C11" s="52" t="s">
        <v>31</v>
      </c>
      <c r="D11" s="20">
        <f>+IFERROR('Q8'!D12/'Q8'!D7*100-100,0)</f>
        <v>8.3983943389875861</v>
      </c>
      <c r="E11" s="20">
        <f>+IFERROR('Q8'!E12/'Q8'!E7*100-100,0)</f>
        <v>7.5785256720993743</v>
      </c>
      <c r="F11" s="20">
        <f>+IFERROR('Q8'!F12/'Q8'!F7*100-100,0)</f>
        <v>-3.8749524772044452</v>
      </c>
      <c r="G11" s="20">
        <f>+IFERROR('Q8'!G12/'Q8'!G7*100-100,0)</f>
        <v>19.806284674996078</v>
      </c>
      <c r="H11" s="20">
        <f>+IFERROR('Q8'!H12/'Q8'!H7*100-100,0)</f>
        <v>6.2291452826921443</v>
      </c>
      <c r="I11" s="20">
        <f>+IFERROR('Q8'!I12/'Q8'!I7*100-100,0)</f>
        <v>12.035862993712726</v>
      </c>
      <c r="J11" s="20">
        <f>+IFERROR('Q8'!J12/'Q8'!J7*100-100,0)</f>
        <v>16.418557900225949</v>
      </c>
      <c r="K11" s="20">
        <f>+IFERROR('Q8'!K12/'Q8'!K7*100-100,0)</f>
        <v>6.3049019587801922</v>
      </c>
      <c r="L11" s="20">
        <f>+IFERROR('Q8'!L12/'Q8'!L7*100-100,0)</f>
        <v>12.583601865021748</v>
      </c>
      <c r="M11" s="20">
        <f>+IFERROR('Q8'!M12/'Q8'!M7*100-100,0)</f>
        <v>0.90967306744079224</v>
      </c>
      <c r="N11" s="20">
        <f>+IFERROR('Q8'!N12/'Q8'!N7*100-100,0)</f>
        <v>4.7738001016516449</v>
      </c>
      <c r="O11" s="20">
        <f>+IFERROR('Q8'!O12/'Q8'!O7*100-100,0)</f>
        <v>6.0331707128020327</v>
      </c>
      <c r="P11" s="20">
        <f>+IFERROR('Q8'!P12/'Q8'!P7*100-100,0)</f>
        <v>7.5874450487426657</v>
      </c>
      <c r="Q11" s="20">
        <f>+IFERROR('Q8'!Q12/'Q8'!Q7*100-100,0)</f>
        <v>3.0573830513807536</v>
      </c>
      <c r="R11" s="20">
        <f>+IFERROR('Q8'!R12/'Q8'!R7*100-100,0)</f>
        <v>2.4987107993508033</v>
      </c>
      <c r="S11" s="20">
        <f>+IFERROR('Q8'!S12/'Q8'!S7*100-100,0)</f>
        <v>13.911839578402052</v>
      </c>
      <c r="T11" s="20">
        <f>+IFERROR('Q8'!T12/'Q8'!T7*100-100,0)</f>
        <v>-6.5346418287594616</v>
      </c>
      <c r="U11" s="24">
        <f>+IFERROR('Q8'!U12/'Q8'!U7*100-100,0)</f>
        <v>3.4873124009751706</v>
      </c>
    </row>
    <row r="12" spans="1:23" x14ac:dyDescent="0.25">
      <c r="A12" s="95"/>
      <c r="B12" s="51"/>
      <c r="C12" s="57" t="s">
        <v>51</v>
      </c>
      <c r="D12" s="34">
        <f>+IFERROR('Q8'!D13/'Q8'!D8*100-100,0)</f>
        <v>9.8796114367644066</v>
      </c>
      <c r="E12" s="34">
        <f>+IFERROR('Q8'!E13/'Q8'!E8*100-100,0)</f>
        <v>7.2698083602280832</v>
      </c>
      <c r="F12" s="34">
        <f>+IFERROR('Q8'!F13/'Q8'!F8*100-100,0)</f>
        <v>13.512189565406715</v>
      </c>
      <c r="G12" s="34">
        <f>+IFERROR('Q8'!G13/'Q8'!G8*100-100,0)</f>
        <v>10.034240018074399</v>
      </c>
      <c r="H12" s="34">
        <f>+IFERROR('Q8'!H13/'Q8'!H8*100-100,0)</f>
        <v>20.022607137844361</v>
      </c>
      <c r="I12" s="34">
        <f>+IFERROR('Q8'!I13/'Q8'!I8*100-100,0)</f>
        <v>10.555360560311385</v>
      </c>
      <c r="J12" s="34">
        <f>+IFERROR('Q8'!J13/'Q8'!J8*100-100,0)</f>
        <v>24.498309807520386</v>
      </c>
      <c r="K12" s="34">
        <f>+IFERROR('Q8'!K13/'Q8'!K8*100-100,0)</f>
        <v>9.5552996098309535</v>
      </c>
      <c r="L12" s="34">
        <f>+IFERROR('Q8'!L13/'Q8'!L8*100-100,0)</f>
        <v>20.682483592408786</v>
      </c>
      <c r="M12" s="34">
        <f>+IFERROR('Q8'!M13/'Q8'!M8*100-100,0)</f>
        <v>6.2615551369539872</v>
      </c>
      <c r="N12" s="34">
        <f>+IFERROR('Q8'!N13/'Q8'!N8*100-100,0)</f>
        <v>2.8646616914778775</v>
      </c>
      <c r="O12" s="34">
        <f>+IFERROR('Q8'!O13/'Q8'!O8*100-100,0)</f>
        <v>5.726327009754911</v>
      </c>
      <c r="P12" s="34">
        <f>+IFERROR('Q8'!P13/'Q8'!P8*100-100,0)</f>
        <v>11.973388715415538</v>
      </c>
      <c r="Q12" s="34">
        <f>+IFERROR('Q8'!Q13/'Q8'!Q8*100-100,0)</f>
        <v>10.265937864880641</v>
      </c>
      <c r="R12" s="34">
        <f>+IFERROR('Q8'!R13/'Q8'!R8*100-100,0)</f>
        <v>16.555570521369518</v>
      </c>
      <c r="S12" s="34">
        <f>+IFERROR('Q8'!S13/'Q8'!S8*100-100,0)</f>
        <v>3.8593066389819057</v>
      </c>
      <c r="T12" s="34">
        <f>+IFERROR('Q8'!T13/'Q8'!T8*100-100,0)</f>
        <v>76.368945575352967</v>
      </c>
      <c r="U12" s="34">
        <f>+IFERROR('Q8'!U13/'Q8'!U8*100-100,0)</f>
        <v>9.7203540182075017</v>
      </c>
    </row>
    <row r="13" spans="1:23" x14ac:dyDescent="0.25">
      <c r="A13" s="95"/>
      <c r="B13" s="99">
        <v>2004</v>
      </c>
      <c r="C13" s="61" t="s">
        <v>28</v>
      </c>
      <c r="D13" s="21">
        <f>+IFERROR('Q8'!D14/'Q8'!D9*100-100,0)</f>
        <v>10.341789457279731</v>
      </c>
      <c r="E13" s="21">
        <f>+IFERROR('Q8'!E14/'Q8'!E9*100-100,0)</f>
        <v>8.5356622128772273</v>
      </c>
      <c r="F13" s="21">
        <f>+IFERROR('Q8'!F14/'Q8'!F9*100-100,0)</f>
        <v>12.669736802307568</v>
      </c>
      <c r="G13" s="21">
        <f>+IFERROR('Q8'!G14/'Q8'!G9*100-100,0)</f>
        <v>23.79879897745181</v>
      </c>
      <c r="H13" s="21">
        <f>+IFERROR('Q8'!H14/'Q8'!H9*100-100,0)</f>
        <v>17.366018885643712</v>
      </c>
      <c r="I13" s="21">
        <f>+IFERROR('Q8'!I14/'Q8'!I9*100-100,0)</f>
        <v>0.38198352392606694</v>
      </c>
      <c r="J13" s="21">
        <f>+IFERROR('Q8'!J14/'Q8'!J9*100-100,0)</f>
        <v>24.703610307576398</v>
      </c>
      <c r="K13" s="21">
        <f>+IFERROR('Q8'!K14/'Q8'!K9*100-100,0)</f>
        <v>20.103763497436546</v>
      </c>
      <c r="L13" s="21">
        <f>+IFERROR('Q8'!L14/'Q8'!L9*100-100,0)</f>
        <v>21.082783050875491</v>
      </c>
      <c r="M13" s="21">
        <f>+IFERROR('Q8'!M14/'Q8'!M9*100-100,0)</f>
        <v>4.4396164578572268</v>
      </c>
      <c r="N13" s="21">
        <f>+IFERROR('Q8'!N14/'Q8'!N9*100-100,0)</f>
        <v>1.7222347168828236</v>
      </c>
      <c r="O13" s="21">
        <f>+IFERROR('Q8'!O14/'Q8'!O9*100-100,0)</f>
        <v>23.158281020631051</v>
      </c>
      <c r="P13" s="21">
        <f>+IFERROR('Q8'!P14/'Q8'!P9*100-100,0)</f>
        <v>17.062861360353779</v>
      </c>
      <c r="Q13" s="21">
        <f>+IFERROR('Q8'!Q14/'Q8'!Q9*100-100,0)</f>
        <v>30.118558733435464</v>
      </c>
      <c r="R13" s="21">
        <f>+IFERROR('Q8'!R14/'Q8'!R9*100-100,0)</f>
        <v>25.987485421888294</v>
      </c>
      <c r="S13" s="21">
        <f>+IFERROR('Q8'!S14/'Q8'!S9*100-100,0)</f>
        <v>4.1210843460309121</v>
      </c>
      <c r="T13" s="21">
        <f>+IFERROR('Q8'!T14/'Q8'!T9*100-100,0)</f>
        <v>328.99789393455035</v>
      </c>
      <c r="U13" s="22">
        <f>+IFERROR('Q8'!U14/'Q8'!U9*100-100,0)</f>
        <v>0.53098981216696473</v>
      </c>
    </row>
    <row r="14" spans="1:23" x14ac:dyDescent="0.25">
      <c r="A14" s="95"/>
      <c r="B14" s="100"/>
      <c r="C14" s="19" t="s">
        <v>29</v>
      </c>
      <c r="D14" s="2">
        <f>+IFERROR('Q8'!D15/'Q8'!D10*100-100,0)</f>
        <v>10.017314574253831</v>
      </c>
      <c r="E14" s="2">
        <f>+IFERROR('Q8'!E15/'Q8'!E10*100-100,0)</f>
        <v>8.1330712114774855</v>
      </c>
      <c r="F14" s="2">
        <f>+IFERROR('Q8'!F15/'Q8'!F10*100-100,0)</f>
        <v>13.284928800603879</v>
      </c>
      <c r="G14" s="2">
        <f>+IFERROR('Q8'!G15/'Q8'!G10*100-100,0)</f>
        <v>15.295457538066202</v>
      </c>
      <c r="H14" s="2">
        <f>+IFERROR('Q8'!H15/'Q8'!H10*100-100,0)</f>
        <v>19.996477072417875</v>
      </c>
      <c r="I14" s="2">
        <f>+IFERROR('Q8'!I15/'Q8'!I10*100-100,0)</f>
        <v>5.3901576789877339</v>
      </c>
      <c r="J14" s="2">
        <f>+IFERROR('Q8'!J15/'Q8'!J10*100-100,0)</f>
        <v>25.070611908438266</v>
      </c>
      <c r="K14" s="2">
        <f>+IFERROR('Q8'!K15/'Q8'!K10*100-100,0)</f>
        <v>13.71232520251084</v>
      </c>
      <c r="L14" s="2">
        <f>+IFERROR('Q8'!L15/'Q8'!L10*100-100,0)</f>
        <v>22.705016170416712</v>
      </c>
      <c r="M14" s="2">
        <f>+IFERROR('Q8'!M15/'Q8'!M10*100-100,0)</f>
        <v>5.3692584200857283</v>
      </c>
      <c r="N14" s="2">
        <f>+IFERROR('Q8'!N15/'Q8'!N10*100-100,0)</f>
        <v>1.9297418574391685</v>
      </c>
      <c r="O14" s="2">
        <f>+IFERROR('Q8'!O15/'Q8'!O10*100-100,0)</f>
        <v>7.7638311818724759</v>
      </c>
      <c r="P14" s="2">
        <f>+IFERROR('Q8'!P15/'Q8'!P10*100-100,0)</f>
        <v>12.075840348685702</v>
      </c>
      <c r="Q14" s="2">
        <f>+IFERROR('Q8'!Q15/'Q8'!Q10*100-100,0)</f>
        <v>21.808594172726245</v>
      </c>
      <c r="R14" s="2">
        <f>+IFERROR('Q8'!R15/'Q8'!R10*100-100,0)</f>
        <v>21.198146388640524</v>
      </c>
      <c r="S14" s="2">
        <f>+IFERROR('Q8'!S15/'Q8'!S10*100-100,0)</f>
        <v>7.4211696223072181</v>
      </c>
      <c r="T14" s="2">
        <f>+IFERROR('Q8'!T15/'Q8'!T10*100-100,0)</f>
        <v>119.36231585431392</v>
      </c>
      <c r="U14" s="23">
        <f>+IFERROR('Q8'!U15/'Q8'!U10*100-100,0)</f>
        <v>9.1627247191705266</v>
      </c>
    </row>
    <row r="15" spans="1:23" x14ac:dyDescent="0.25">
      <c r="A15" s="95"/>
      <c r="B15" s="100"/>
      <c r="C15" s="19" t="s">
        <v>30</v>
      </c>
      <c r="D15" s="2">
        <f>+IFERROR('Q8'!D16/'Q8'!D11*100-100,0)</f>
        <v>9.8325430295431318</v>
      </c>
      <c r="E15" s="2">
        <f>+IFERROR('Q8'!E16/'Q8'!E11*100-100,0)</f>
        <v>7.5270273813889474</v>
      </c>
      <c r="F15" s="2">
        <f>+IFERROR('Q8'!F16/'Q8'!F11*100-100,0)</f>
        <v>13.625542916943019</v>
      </c>
      <c r="G15" s="2">
        <f>+IFERROR('Q8'!G16/'Q8'!G11*100-100,0)</f>
        <v>6.6464947508157621</v>
      </c>
      <c r="H15" s="2">
        <f>+IFERROR('Q8'!H16/'Q8'!H11*100-100,0)</f>
        <v>21.119644917303603</v>
      </c>
      <c r="I15" s="2">
        <f>+IFERROR('Q8'!I16/'Q8'!I11*100-100,0)</f>
        <v>12.975758847803306</v>
      </c>
      <c r="J15" s="2">
        <f>+IFERROR('Q8'!J16/'Q8'!J11*100-100,0)</f>
        <v>24.818196323157096</v>
      </c>
      <c r="K15" s="2">
        <f>+IFERROR('Q8'!K16/'Q8'!K11*100-100,0)</f>
        <v>8.8828681934432581</v>
      </c>
      <c r="L15" s="2">
        <f>+IFERROR('Q8'!L16/'Q8'!L11*100-100,0)</f>
        <v>22.031365764761432</v>
      </c>
      <c r="M15" s="2">
        <f>+IFERROR('Q8'!M16/'Q8'!M11*100-100,0)</f>
        <v>6.2867608129761692</v>
      </c>
      <c r="N15" s="2">
        <f>+IFERROR('Q8'!N16/'Q8'!N11*100-100,0)</f>
        <v>2.8785818973598936</v>
      </c>
      <c r="O15" s="2">
        <f>+IFERROR('Q8'!O16/'Q8'!O11*100-100,0)</f>
        <v>3.5118910671052959</v>
      </c>
      <c r="P15" s="2">
        <f>+IFERROR('Q8'!P16/'Q8'!P11*100-100,0)</f>
        <v>13.362319457910687</v>
      </c>
      <c r="Q15" s="2">
        <f>+IFERROR('Q8'!Q16/'Q8'!Q11*100-100,0)</f>
        <v>9.3346895985338989</v>
      </c>
      <c r="R15" s="2">
        <f>+IFERROR('Q8'!R16/'Q8'!R11*100-100,0)</f>
        <v>16.299638776130919</v>
      </c>
      <c r="S15" s="2">
        <f>+IFERROR('Q8'!S16/'Q8'!S11*100-100,0)</f>
        <v>0.96950531582685073</v>
      </c>
      <c r="T15" s="2">
        <f>+IFERROR('Q8'!T16/'Q8'!T11*100-100,0)</f>
        <v>49.884742990032436</v>
      </c>
      <c r="U15" s="23">
        <f>+IFERROR('Q8'!U16/'Q8'!U11*100-100,0)</f>
        <v>10.704341323973594</v>
      </c>
    </row>
    <row r="16" spans="1:23" x14ac:dyDescent="0.25">
      <c r="A16" s="95"/>
      <c r="B16" s="101"/>
      <c r="C16" s="52" t="s">
        <v>31</v>
      </c>
      <c r="D16" s="20">
        <f>+IFERROR('Q8'!D17/'Q8'!D12*100-100,0)</f>
        <v>9.6942046749858548</v>
      </c>
      <c r="E16" s="20">
        <f>+IFERROR('Q8'!E17/'Q8'!E12*100-100,0)</f>
        <v>6.3857050147774856</v>
      </c>
      <c r="F16" s="20">
        <f>+IFERROR('Q8'!F17/'Q8'!F12*100-100,0)</f>
        <v>13.7555858740199</v>
      </c>
      <c r="G16" s="20">
        <f>+IFERROR('Q8'!G17/'Q8'!G12*100-100,0)</f>
        <v>7.4830692030236463</v>
      </c>
      <c r="H16" s="20">
        <f>+IFERROR('Q8'!H17/'Q8'!H12*100-100,0)</f>
        <v>19.85822221669649</v>
      </c>
      <c r="I16" s="20">
        <f>+IFERROR('Q8'!I17/'Q8'!I12*100-100,0)</f>
        <v>14.105669432185238</v>
      </c>
      <c r="J16" s="20">
        <f>+IFERROR('Q8'!J17/'Q8'!J12*100-100,0)</f>
        <v>23.939903472872757</v>
      </c>
      <c r="K16" s="20">
        <f>+IFERROR('Q8'!K17/'Q8'!K12*100-100,0)</f>
        <v>6.2160717001584089</v>
      </c>
      <c r="L16" s="20">
        <f>+IFERROR('Q8'!L17/'Q8'!L12*100-100,0)</f>
        <v>19.08956571624212</v>
      </c>
      <c r="M16" s="20">
        <f>+IFERROR('Q8'!M17/'Q8'!M12*100-100,0)</f>
        <v>7.0505503742360958</v>
      </c>
      <c r="N16" s="20">
        <f>+IFERROR('Q8'!N17/'Q8'!N12*100-100,0)</f>
        <v>3.5795998302871936</v>
      </c>
      <c r="O16" s="20">
        <f>+IFERROR('Q8'!O17/'Q8'!O12*100-100,0)</f>
        <v>3.3612219305298794</v>
      </c>
      <c r="P16" s="20">
        <f>+IFERROR('Q8'!P17/'Q8'!P12*100-100,0)</f>
        <v>10.013680659192033</v>
      </c>
      <c r="Q16" s="20">
        <f>+IFERROR('Q8'!Q17/'Q8'!Q12*100-100,0)</f>
        <v>2.2569442891832097</v>
      </c>
      <c r="R16" s="20">
        <f>+IFERROR('Q8'!R17/'Q8'!R12*100-100,0)</f>
        <v>12.929761650426912</v>
      </c>
      <c r="S16" s="20">
        <f>+IFERROR('Q8'!S17/'Q8'!S12*100-100,0)</f>
        <v>4.2198252165835726</v>
      </c>
      <c r="T16" s="20">
        <f>+IFERROR('Q8'!T17/'Q8'!T12*100-100,0)</f>
        <v>11.618172537008704</v>
      </c>
      <c r="U16" s="24">
        <f>+IFERROR('Q8'!U17/'Q8'!U12*100-100,0)</f>
        <v>11.419863390458488</v>
      </c>
    </row>
    <row r="17" spans="1:21" x14ac:dyDescent="0.25">
      <c r="A17" s="95"/>
      <c r="B17" s="51"/>
      <c r="C17" s="57" t="s">
        <v>51</v>
      </c>
      <c r="D17" s="34">
        <f>+IFERROR('Q8'!D18/'Q8'!D13*100-100,0)</f>
        <v>4.0626080818049246</v>
      </c>
      <c r="E17" s="34">
        <f>+IFERROR('Q8'!E18/'Q8'!E13*100-100,0)</f>
        <v>3.205676753490593</v>
      </c>
      <c r="F17" s="34">
        <f>+IFERROR('Q8'!F18/'Q8'!F13*100-100,0)</f>
        <v>25.876828077791416</v>
      </c>
      <c r="G17" s="34">
        <f>+IFERROR('Q8'!G18/'Q8'!G13*100-100,0)</f>
        <v>-13.887535047099576</v>
      </c>
      <c r="H17" s="34">
        <f>+IFERROR('Q8'!H18/'Q8'!H13*100-100,0)</f>
        <v>8.7657249889859088</v>
      </c>
      <c r="I17" s="34">
        <f>+IFERROR('Q8'!I18/'Q8'!I13*100-100,0)</f>
        <v>7.2709244514716431</v>
      </c>
      <c r="J17" s="34">
        <f>+IFERROR('Q8'!J18/'Q8'!J13*100-100,0)</f>
        <v>14.232960015854545</v>
      </c>
      <c r="K17" s="34">
        <f>+IFERROR('Q8'!K18/'Q8'!K13*100-100,0)</f>
        <v>12.079362080274052</v>
      </c>
      <c r="L17" s="34">
        <f>+IFERROR('Q8'!L18/'Q8'!L13*100-100,0)</f>
        <v>-5.4974781902045038</v>
      </c>
      <c r="M17" s="34">
        <f>+IFERROR('Q8'!M18/'Q8'!M13*100-100,0)</f>
        <v>10.087320064463185</v>
      </c>
      <c r="N17" s="34">
        <f>+IFERROR('Q8'!N18/'Q8'!N13*100-100,0)</f>
        <v>-14.886950203032271</v>
      </c>
      <c r="O17" s="34">
        <f>+IFERROR('Q8'!O18/'Q8'!O13*100-100,0)</f>
        <v>16.976097042756535</v>
      </c>
      <c r="P17" s="34">
        <f>+IFERROR('Q8'!P18/'Q8'!P13*100-100,0)</f>
        <v>13.606241768364029</v>
      </c>
      <c r="Q17" s="34">
        <f>+IFERROR('Q8'!Q18/'Q8'!Q13*100-100,0)</f>
        <v>4.5324634261045134</v>
      </c>
      <c r="R17" s="34">
        <f>+IFERROR('Q8'!R18/'Q8'!R13*100-100,0)</f>
        <v>7.5251547576311424</v>
      </c>
      <c r="S17" s="34">
        <f>+IFERROR('Q8'!S18/'Q8'!S13*100-100,0)</f>
        <v>12.065254051341128</v>
      </c>
      <c r="T17" s="34">
        <f>+IFERROR('Q8'!T18/'Q8'!T13*100-100,0)</f>
        <v>-68.395739205583965</v>
      </c>
      <c r="U17" s="34">
        <f>+IFERROR('Q8'!U18/'Q8'!U13*100-100,0)</f>
        <v>20.806157569156952</v>
      </c>
    </row>
    <row r="18" spans="1:21" x14ac:dyDescent="0.25">
      <c r="A18" s="95"/>
      <c r="B18" s="99">
        <v>2005</v>
      </c>
      <c r="C18" s="61" t="s">
        <v>28</v>
      </c>
      <c r="D18" s="21">
        <f>+IFERROR('Q8'!D19/'Q8'!D14*100-100,0)</f>
        <v>4.2619609862678516</v>
      </c>
      <c r="E18" s="21">
        <f>+IFERROR('Q8'!E19/'Q8'!E14*100-100,0)</f>
        <v>1.4777715291932623</v>
      </c>
      <c r="F18" s="21">
        <f>+IFERROR('Q8'!F19/'Q8'!F14*100-100,0)</f>
        <v>26.642064522883274</v>
      </c>
      <c r="G18" s="21">
        <f>+IFERROR('Q8'!G19/'Q8'!G14*100-100,0)</f>
        <v>-12.786754175725719</v>
      </c>
      <c r="H18" s="21">
        <f>+IFERROR('Q8'!H19/'Q8'!H14*100-100,0)</f>
        <v>11.484947833882075</v>
      </c>
      <c r="I18" s="21">
        <f>+IFERROR('Q8'!I19/'Q8'!I14*100-100,0)</f>
        <v>13.982414481657244</v>
      </c>
      <c r="J18" s="21">
        <f>+IFERROR('Q8'!J19/'Q8'!J14*100-100,0)</f>
        <v>17.072325992848675</v>
      </c>
      <c r="K18" s="21">
        <f>+IFERROR('Q8'!K19/'Q8'!K14*100-100,0)</f>
        <v>15.610472536603794</v>
      </c>
      <c r="L18" s="21">
        <f>+IFERROR('Q8'!L19/'Q8'!L14*100-100,0)</f>
        <v>1.3853811481000093</v>
      </c>
      <c r="M18" s="21">
        <f>+IFERROR('Q8'!M19/'Q8'!M14*100-100,0)</f>
        <v>9.9626394898414645</v>
      </c>
      <c r="N18" s="21">
        <f>+IFERROR('Q8'!N19/'Q8'!N14*100-100,0)</f>
        <v>-2.80953556162045</v>
      </c>
      <c r="O18" s="21">
        <f>+IFERROR('Q8'!O19/'Q8'!O14*100-100,0)</f>
        <v>9.8458517206822194E-2</v>
      </c>
      <c r="P18" s="21">
        <f>+IFERROR('Q8'!P19/'Q8'!P14*100-100,0)</f>
        <v>17.013309150778255</v>
      </c>
      <c r="Q18" s="21">
        <f>+IFERROR('Q8'!Q19/'Q8'!Q14*100-100,0)</f>
        <v>3.6131433924798273</v>
      </c>
      <c r="R18" s="21">
        <f>+IFERROR('Q8'!R19/'Q8'!R14*100-100,0)</f>
        <v>11.408631249886071</v>
      </c>
      <c r="S18" s="21">
        <f>+IFERROR('Q8'!S19/'Q8'!S14*100-100,0)</f>
        <v>18.02017344964635</v>
      </c>
      <c r="T18" s="21">
        <f>+IFERROR('Q8'!T19/'Q8'!T14*100-100,0)</f>
        <v>-97.200381487291835</v>
      </c>
      <c r="U18" s="22">
        <f>+IFERROR('Q8'!U19/'Q8'!U14*100-100,0)</f>
        <v>39.086187590798573</v>
      </c>
    </row>
    <row r="19" spans="1:21" x14ac:dyDescent="0.25">
      <c r="A19" s="95"/>
      <c r="B19" s="100"/>
      <c r="C19" s="19" t="s">
        <v>29</v>
      </c>
      <c r="D19" s="2">
        <f>+IFERROR('Q8'!D20/'Q8'!D15*100-100,0)</f>
        <v>3.7753369966197567</v>
      </c>
      <c r="E19" s="2">
        <f>+IFERROR('Q8'!E20/'Q8'!E15*100-100,0)</f>
        <v>1.5368663095487278</v>
      </c>
      <c r="F19" s="2">
        <f>+IFERROR('Q8'!F20/'Q8'!F15*100-100,0)</f>
        <v>26.513828642775977</v>
      </c>
      <c r="G19" s="2">
        <f>+IFERROR('Q8'!G20/'Q8'!G15*100-100,0)</f>
        <v>-10.783751849770567</v>
      </c>
      <c r="H19" s="2">
        <f>+IFERROR('Q8'!H20/'Q8'!H15*100-100,0)</f>
        <v>9.6943159292918892</v>
      </c>
      <c r="I19" s="2">
        <f>+IFERROR('Q8'!I20/'Q8'!I15*100-100,0)</f>
        <v>7.9783086974798181</v>
      </c>
      <c r="J19" s="2">
        <f>+IFERROR('Q8'!J20/'Q8'!J15*100-100,0)</f>
        <v>15.494211699038047</v>
      </c>
      <c r="K19" s="2">
        <f>+IFERROR('Q8'!K20/'Q8'!K15*100-100,0)</f>
        <v>13.943716847662984</v>
      </c>
      <c r="L19" s="2">
        <f>+IFERROR('Q8'!L20/'Q8'!L15*100-100,0)</f>
        <v>-4.4261029855626504</v>
      </c>
      <c r="M19" s="2">
        <f>+IFERROR('Q8'!M20/'Q8'!M15*100-100,0)</f>
        <v>10.159916515929979</v>
      </c>
      <c r="N19" s="2">
        <f>+IFERROR('Q8'!N20/'Q8'!N15*100-100,0)</f>
        <v>-9.6770030901694071</v>
      </c>
      <c r="O19" s="2">
        <f>+IFERROR('Q8'!O20/'Q8'!O15*100-100,0)</f>
        <v>15.200673306144182</v>
      </c>
      <c r="P19" s="2">
        <f>+IFERROR('Q8'!P20/'Q8'!P15*100-100,0)</f>
        <v>17.123502709616616</v>
      </c>
      <c r="Q19" s="2">
        <f>+IFERROR('Q8'!Q20/'Q8'!Q15*100-100,0)</f>
        <v>4.0521974261310163</v>
      </c>
      <c r="R19" s="2">
        <f>+IFERROR('Q8'!R20/'Q8'!R15*100-100,0)</f>
        <v>8.2071128766649366</v>
      </c>
      <c r="S19" s="2">
        <f>+IFERROR('Q8'!S20/'Q8'!S15*100-100,0)</f>
        <v>11.183170641679268</v>
      </c>
      <c r="T19" s="2">
        <f>+IFERROR('Q8'!T20/'Q8'!T15*100-100,0)</f>
        <v>-94.305458090426555</v>
      </c>
      <c r="U19" s="23">
        <f>+IFERROR('Q8'!U20/'Q8'!U15*100-100,0)</f>
        <v>25.868035462293278</v>
      </c>
    </row>
    <row r="20" spans="1:21" x14ac:dyDescent="0.25">
      <c r="A20" s="95"/>
      <c r="B20" s="100"/>
      <c r="C20" s="19" t="s">
        <v>30</v>
      </c>
      <c r="D20" s="2">
        <f>+IFERROR('Q8'!D21/'Q8'!D16*100-100,0)</f>
        <v>3.9246244757305391</v>
      </c>
      <c r="E20" s="2">
        <f>+IFERROR('Q8'!E21/'Q8'!E16*100-100,0)</f>
        <v>2.4479537986099302</v>
      </c>
      <c r="F20" s="2">
        <f>+IFERROR('Q8'!F21/'Q8'!F16*100-100,0)</f>
        <v>26.024800441374722</v>
      </c>
      <c r="G20" s="2">
        <f>+IFERROR('Q8'!G21/'Q8'!G16*100-100,0)</f>
        <v>-12.576695403932206</v>
      </c>
      <c r="H20" s="2">
        <f>+IFERROR('Q8'!H21/'Q8'!H16*100-100,0)</f>
        <v>8.4802342094818499</v>
      </c>
      <c r="I20" s="2">
        <f>+IFERROR('Q8'!I21/'Q8'!I16*100-100,0)</f>
        <v>4.431090608053907</v>
      </c>
      <c r="J20" s="2">
        <f>+IFERROR('Q8'!J21/'Q8'!J16*100-100,0)</f>
        <v>14.065423792463733</v>
      </c>
      <c r="K20" s="2">
        <f>+IFERROR('Q8'!K21/'Q8'!K16*100-100,0)</f>
        <v>12.246372269429656</v>
      </c>
      <c r="L20" s="2">
        <f>+IFERROR('Q8'!L21/'Q8'!L16*100-100,0)</f>
        <v>-6.6809769604988247</v>
      </c>
      <c r="M20" s="2">
        <f>+IFERROR('Q8'!M21/'Q8'!M16*100-100,0)</f>
        <v>10.184220051195041</v>
      </c>
      <c r="N20" s="2">
        <f>+IFERROR('Q8'!N21/'Q8'!N16*100-100,0)</f>
        <v>-15.718939515484436</v>
      </c>
      <c r="O20" s="2">
        <f>+IFERROR('Q8'!O21/'Q8'!O16*100-100,0)</f>
        <v>17.695622037564434</v>
      </c>
      <c r="P20" s="2">
        <f>+IFERROR('Q8'!P21/'Q8'!P16*100-100,0)</f>
        <v>11.811515419858566</v>
      </c>
      <c r="Q20" s="2">
        <f>+IFERROR('Q8'!Q21/'Q8'!Q16*100-100,0)</f>
        <v>4.5867132110832216</v>
      </c>
      <c r="R20" s="2">
        <f>+IFERROR('Q8'!R21/'Q8'!R16*100-100,0)</f>
        <v>6.8599010781243095</v>
      </c>
      <c r="S20" s="2">
        <f>+IFERROR('Q8'!S21/'Q8'!S16*100-100,0)</f>
        <v>12.831859129362314</v>
      </c>
      <c r="T20" s="2">
        <f>+IFERROR('Q8'!T21/'Q8'!T16*100-100,0)</f>
        <v>-91.552788967555927</v>
      </c>
      <c r="U20" s="23">
        <f>+IFERROR('Q8'!U21/'Q8'!U16*100-100,0)</f>
        <v>21.433091066701195</v>
      </c>
    </row>
    <row r="21" spans="1:21" x14ac:dyDescent="0.25">
      <c r="A21" s="95"/>
      <c r="B21" s="101"/>
      <c r="C21" s="52" t="s">
        <v>31</v>
      </c>
      <c r="D21" s="20">
        <f>+IFERROR('Q8'!D22/'Q8'!D17*100-100,0)</f>
        <v>4.3161188417969072</v>
      </c>
      <c r="E21" s="20">
        <f>+IFERROR('Q8'!E22/'Q8'!E17*100-100,0)</f>
        <v>4.9350389538817865</v>
      </c>
      <c r="F21" s="20">
        <f>+IFERROR('Q8'!F22/'Q8'!F17*100-100,0)</f>
        <v>25.256772285398867</v>
      </c>
      <c r="G21" s="20">
        <f>+IFERROR('Q8'!G22/'Q8'!G17*100-100,0)</f>
        <v>-16.574856438030864</v>
      </c>
      <c r="H21" s="20">
        <f>+IFERROR('Q8'!H22/'Q8'!H17*100-100,0)</f>
        <v>7.9470849220541311</v>
      </c>
      <c r="I21" s="20">
        <f>+IFERROR('Q8'!I22/'Q8'!I17*100-100,0)</f>
        <v>7.5220979666503922</v>
      </c>
      <c r="J21" s="20">
        <f>+IFERROR('Q8'!J22/'Q8'!J17*100-100,0)</f>
        <v>13.054783990059548</v>
      </c>
      <c r="K21" s="20">
        <f>+IFERROR('Q8'!K22/'Q8'!K17*100-100,0)</f>
        <v>10.336279370869434</v>
      </c>
      <c r="L21" s="20">
        <f>+IFERROR('Q8'!L22/'Q8'!L17*100-100,0)</f>
        <v>-5.8291252342353346</v>
      </c>
      <c r="M21" s="20">
        <f>+IFERROR('Q8'!M22/'Q8'!M17*100-100,0)</f>
        <v>10.012028480081341</v>
      </c>
      <c r="N21" s="20">
        <f>+IFERROR('Q8'!N22/'Q8'!N17*100-100,0)</f>
        <v>-19.597366399843438</v>
      </c>
      <c r="O21" s="20">
        <f>+IFERROR('Q8'!O22/'Q8'!O17*100-100,0)</f>
        <v>20.750617991164759</v>
      </c>
      <c r="P21" s="20">
        <f>+IFERROR('Q8'!P22/'Q8'!P17*100-100,0)</f>
        <v>12.593025102612998</v>
      </c>
      <c r="Q21" s="20">
        <f>+IFERROR('Q8'!Q22/'Q8'!Q17*100-100,0)</f>
        <v>4.957241579538902</v>
      </c>
      <c r="R21" s="20">
        <f>+IFERROR('Q8'!R22/'Q8'!R17*100-100,0)</f>
        <v>6.881277036968811</v>
      </c>
      <c r="S21" s="20">
        <f>+IFERROR('Q8'!S22/'Q8'!S17*100-100,0)</f>
        <v>10.658925195787219</v>
      </c>
      <c r="T21" s="20">
        <f>+IFERROR('Q8'!T22/'Q8'!T17*100-100,0)</f>
        <v>7.1484834163424722</v>
      </c>
      <c r="U21" s="24">
        <f>+IFERROR('Q8'!U22/'Q8'!U17*100-100,0)</f>
        <v>14.154777534395535</v>
      </c>
    </row>
    <row r="22" spans="1:21" x14ac:dyDescent="0.25">
      <c r="A22" s="95"/>
      <c r="B22" s="51"/>
      <c r="C22" s="57" t="s">
        <v>51</v>
      </c>
      <c r="D22" s="34">
        <f>+IFERROR('Q8'!D23/'Q8'!D18*100-100,0)</f>
        <v>13.303862693830126</v>
      </c>
      <c r="E22" s="34">
        <f>+IFERROR('Q8'!E23/'Q8'!E18*100-100,0)</f>
        <v>21.921424717257977</v>
      </c>
      <c r="F22" s="34">
        <f>+IFERROR('Q8'!F23/'Q8'!F18*100-100,0)</f>
        <v>12.550132334864799</v>
      </c>
      <c r="G22" s="34">
        <f>+IFERROR('Q8'!G23/'Q8'!G18*100-100,0)</f>
        <v>25.188121015115456</v>
      </c>
      <c r="H22" s="34">
        <f>+IFERROR('Q8'!H23/'Q8'!H18*100-100,0)</f>
        <v>8.3108634962674159</v>
      </c>
      <c r="I22" s="34">
        <f>+IFERROR('Q8'!I23/'Q8'!I18*100-100,0)</f>
        <v>19.339333940914656</v>
      </c>
      <c r="J22" s="34">
        <f>+IFERROR('Q8'!J23/'Q8'!J18*100-100,0)</f>
        <v>10.476207641702828</v>
      </c>
      <c r="K22" s="34">
        <f>+IFERROR('Q8'!K23/'Q8'!K18*100-100,0)</f>
        <v>4.8289706144454954</v>
      </c>
      <c r="L22" s="34">
        <f>+IFERROR('Q8'!L23/'Q8'!L18*100-100,0)</f>
        <v>24.021115492473143</v>
      </c>
      <c r="M22" s="34">
        <f>+IFERROR('Q8'!M23/'Q8'!M18*100-100,0)</f>
        <v>7.4096979125345683</v>
      </c>
      <c r="N22" s="34">
        <f>+IFERROR('Q8'!N23/'Q8'!N18*100-100,0)</f>
        <v>2.869331716062689</v>
      </c>
      <c r="O22" s="34">
        <f>+IFERROR('Q8'!O23/'Q8'!O18*100-100,0)</f>
        <v>11.294240277751683</v>
      </c>
      <c r="P22" s="34">
        <f>+IFERROR('Q8'!P23/'Q8'!P18*100-100,0)</f>
        <v>10.782576705789879</v>
      </c>
      <c r="Q22" s="34">
        <f>+IFERROR('Q8'!Q23/'Q8'!Q18*100-100,0)</f>
        <v>4.9321252718287383</v>
      </c>
      <c r="R22" s="34">
        <f>+IFERROR('Q8'!R23/'Q8'!R18*100-100,0)</f>
        <v>16.656344092446389</v>
      </c>
      <c r="S22" s="34">
        <f>+IFERROR('Q8'!S23/'Q8'!S18*100-100,0)</f>
        <v>1.4070995908487305</v>
      </c>
      <c r="T22" s="34">
        <f>+IFERROR('Q8'!T23/'Q8'!T18*100-100,0)</f>
        <v>112.44745231041691</v>
      </c>
      <c r="U22" s="34">
        <f>+IFERROR('Q8'!U23/'Q8'!U18*100-100,0)</f>
        <v>9.1949136838115635</v>
      </c>
    </row>
    <row r="23" spans="1:21" x14ac:dyDescent="0.25">
      <c r="A23" s="95"/>
      <c r="B23" s="99">
        <v>2006</v>
      </c>
      <c r="C23" s="61" t="s">
        <v>28</v>
      </c>
      <c r="D23" s="21">
        <f>+IFERROR('Q8'!D24/'Q8'!D19*100-100,0)</f>
        <v>11.971853160454131</v>
      </c>
      <c r="E23" s="21">
        <f>+IFERROR('Q8'!E24/'Q8'!E19*100-100,0)</f>
        <v>19.248867377720956</v>
      </c>
      <c r="F23" s="21">
        <f>+IFERROR('Q8'!F24/'Q8'!F19*100-100,0)</f>
        <v>12.401152721595523</v>
      </c>
      <c r="G23" s="21">
        <f>+IFERROR('Q8'!G24/'Q8'!G19*100-100,0)</f>
        <v>27.996762202186162</v>
      </c>
      <c r="H23" s="21">
        <f>+IFERROR('Q8'!H24/'Q8'!H19*100-100,0)</f>
        <v>8.586206883316521</v>
      </c>
      <c r="I23" s="21">
        <f>+IFERROR('Q8'!I24/'Q8'!I19*100-100,0)</f>
        <v>17.806494936376922</v>
      </c>
      <c r="J23" s="21">
        <f>+IFERROR('Q8'!J24/'Q8'!J19*100-100,0)</f>
        <v>9.4913258216428886</v>
      </c>
      <c r="K23" s="21">
        <f>+IFERROR('Q8'!K24/'Q8'!K19*100-100,0)</f>
        <v>7.5540087574527348</v>
      </c>
      <c r="L23" s="21">
        <f>+IFERROR('Q8'!L24/'Q8'!L19*100-100,0)</f>
        <v>10.269145538394213</v>
      </c>
      <c r="M23" s="21">
        <f>+IFERROR('Q8'!M24/'Q8'!M19*100-100,0)</f>
        <v>8.4328105979752763</v>
      </c>
      <c r="N23" s="21">
        <f>+IFERROR('Q8'!N24/'Q8'!N19*100-100,0)</f>
        <v>-14.359689328870346</v>
      </c>
      <c r="O23" s="21">
        <f>+IFERROR('Q8'!O24/'Q8'!O19*100-100,0)</f>
        <v>9.4018593639096508</v>
      </c>
      <c r="P23" s="21">
        <f>+IFERROR('Q8'!P24/'Q8'!P19*100-100,0)</f>
        <v>2.9991751194029774</v>
      </c>
      <c r="Q23" s="21">
        <f>+IFERROR('Q8'!Q24/'Q8'!Q19*100-100,0)</f>
        <v>4.0489677218150604</v>
      </c>
      <c r="R23" s="21">
        <f>+IFERROR('Q8'!R24/'Q8'!R19*100-100,0)</f>
        <v>19.367784995485309</v>
      </c>
      <c r="S23" s="21">
        <f>+IFERROR('Q8'!S24/'Q8'!S19*100-100,0)</f>
        <v>-8.5120848152147772</v>
      </c>
      <c r="T23" s="21">
        <f>+IFERROR('Q8'!T24/'Q8'!T19*100-100,0)</f>
        <v>757.46294725228438</v>
      </c>
      <c r="U23" s="22">
        <f>+IFERROR('Q8'!U24/'Q8'!U19*100-100,0)</f>
        <v>7.253998638792055</v>
      </c>
    </row>
    <row r="24" spans="1:21" x14ac:dyDescent="0.25">
      <c r="A24" s="95"/>
      <c r="B24" s="100"/>
      <c r="C24" s="19" t="s">
        <v>29</v>
      </c>
      <c r="D24" s="2">
        <f>+IFERROR('Q8'!D25/'Q8'!D20*100-100,0)</f>
        <v>13.371017747815245</v>
      </c>
      <c r="E24" s="2">
        <f>+IFERROR('Q8'!E25/'Q8'!E20*100-100,0)</f>
        <v>21.595663275083666</v>
      </c>
      <c r="F24" s="2">
        <f>+IFERROR('Q8'!F25/'Q8'!F20*100-100,0)</f>
        <v>11.988375612491893</v>
      </c>
      <c r="G24" s="2">
        <f>+IFERROR('Q8'!G25/'Q8'!G20*100-100,0)</f>
        <v>20.331875763422971</v>
      </c>
      <c r="H24" s="2">
        <f>+IFERROR('Q8'!H25/'Q8'!H20*100-100,0)</f>
        <v>8.5387383318181804</v>
      </c>
      <c r="I24" s="2">
        <f>+IFERROR('Q8'!I25/'Q8'!I20*100-100,0)</f>
        <v>17.695521507902129</v>
      </c>
      <c r="J24" s="2">
        <f>+IFERROR('Q8'!J25/'Q8'!J20*100-100,0)</f>
        <v>9.7422730541385221</v>
      </c>
      <c r="K24" s="2">
        <f>+IFERROR('Q8'!K25/'Q8'!K20*100-100,0)</f>
        <v>5.4246135761927263</v>
      </c>
      <c r="L24" s="2">
        <f>+IFERROR('Q8'!L25/'Q8'!L20*100-100,0)</f>
        <v>19.247023145192827</v>
      </c>
      <c r="M24" s="2">
        <f>+IFERROR('Q8'!M25/'Q8'!M20*100-100,0)</f>
        <v>7.9201728063712267</v>
      </c>
      <c r="N24" s="2">
        <f>+IFERROR('Q8'!N25/'Q8'!N20*100-100,0)</f>
        <v>-4.5732491280791265</v>
      </c>
      <c r="O24" s="2">
        <f>+IFERROR('Q8'!O25/'Q8'!O20*100-100,0)</f>
        <v>3.0150609152247654</v>
      </c>
      <c r="P24" s="2">
        <f>+IFERROR('Q8'!P25/'Q8'!P20*100-100,0)</f>
        <v>12.936065778420144</v>
      </c>
      <c r="Q24" s="2">
        <f>+IFERROR('Q8'!Q25/'Q8'!Q20*100-100,0)</f>
        <v>4.0973401599580228</v>
      </c>
      <c r="R24" s="2">
        <f>+IFERROR('Q8'!R25/'Q8'!R20*100-100,0)</f>
        <v>19.158028268309963</v>
      </c>
      <c r="S24" s="2">
        <f>+IFERROR('Q8'!S25/'Q8'!S20*100-100,0)</f>
        <v>-5.4557075588533479</v>
      </c>
      <c r="T24" s="2">
        <f>+IFERROR('Q8'!T25/'Q8'!T20*100-100,0)</f>
        <v>753.05130971976587</v>
      </c>
      <c r="U24" s="23">
        <f>+IFERROR('Q8'!U25/'Q8'!U20*100-100,0)</f>
        <v>7.2939086141460052</v>
      </c>
    </row>
    <row r="25" spans="1:21" x14ac:dyDescent="0.25">
      <c r="A25" s="95"/>
      <c r="B25" s="100"/>
      <c r="C25" s="19" t="s">
        <v>30</v>
      </c>
      <c r="D25" s="2">
        <f>+IFERROR('Q8'!D26/'Q8'!D21*100-100,0)</f>
        <v>13.603097672303051</v>
      </c>
      <c r="E25" s="2">
        <f>+IFERROR('Q8'!E26/'Q8'!E21*100-100,0)</f>
        <v>22.58824250660534</v>
      </c>
      <c r="F25" s="2">
        <f>+IFERROR('Q8'!F26/'Q8'!F21*100-100,0)</f>
        <v>12.417533658146681</v>
      </c>
      <c r="G25" s="2">
        <f>+IFERROR('Q8'!G26/'Q8'!G21*100-100,0)</f>
        <v>23.110720867463414</v>
      </c>
      <c r="H25" s="2">
        <f>+IFERROR('Q8'!H26/'Q8'!H21*100-100,0)</f>
        <v>8.3418654267090488</v>
      </c>
      <c r="I25" s="2">
        <f>+IFERROR('Q8'!I26/'Q8'!I21*100-100,0)</f>
        <v>18.881186748129707</v>
      </c>
      <c r="J25" s="2">
        <f>+IFERROR('Q8'!J26/'Q8'!J21*100-100,0)</f>
        <v>10.336965328400979</v>
      </c>
      <c r="K25" s="2">
        <f>+IFERROR('Q8'!K26/'Q8'!K21*100-100,0)</f>
        <v>4.3854809238383439</v>
      </c>
      <c r="L25" s="2">
        <f>+IFERROR('Q8'!L26/'Q8'!L21*100-100,0)</f>
        <v>24.766331608479092</v>
      </c>
      <c r="M25" s="2">
        <f>+IFERROR('Q8'!M26/'Q8'!M21*100-100,0)</f>
        <v>7.4081253292405336</v>
      </c>
      <c r="N25" s="2">
        <f>+IFERROR('Q8'!N26/'Q8'!N21*100-100,0)</f>
        <v>4.2114953492746281</v>
      </c>
      <c r="O25" s="2">
        <f>+IFERROR('Q8'!O26/'Q8'!O21*100-100,0)</f>
        <v>7.7503573521824762</v>
      </c>
      <c r="P25" s="2">
        <f>+IFERROR('Q8'!P26/'Q8'!P21*100-100,0)</f>
        <v>10.00823970269191</v>
      </c>
      <c r="Q25" s="2">
        <f>+IFERROR('Q8'!Q26/'Q8'!Q21*100-100,0)</f>
        <v>3.8693292934506047</v>
      </c>
      <c r="R25" s="2">
        <f>+IFERROR('Q8'!R26/'Q8'!R21*100-100,0)</f>
        <v>17.371710923714161</v>
      </c>
      <c r="S25" s="2">
        <f>+IFERROR('Q8'!S26/'Q8'!S21*100-100,0)</f>
        <v>2.1869944423376495</v>
      </c>
      <c r="T25" s="2">
        <f>+IFERROR('Q8'!T26/'Q8'!T21*100-100,0)</f>
        <v>779.84238564843054</v>
      </c>
      <c r="U25" s="23">
        <f>+IFERROR('Q8'!U26/'Q8'!U21*100-100,0)</f>
        <v>7.6556999822337701</v>
      </c>
    </row>
    <row r="26" spans="1:21" x14ac:dyDescent="0.25">
      <c r="A26" s="95"/>
      <c r="B26" s="101"/>
      <c r="C26" s="52" t="s">
        <v>31</v>
      </c>
      <c r="D26" s="20">
        <f>+IFERROR('Q8'!D27/'Q8'!D22*100-100,0)</f>
        <v>13.389902443903367</v>
      </c>
      <c r="E26" s="20">
        <f>+IFERROR('Q8'!E27/'Q8'!E22*100-100,0)</f>
        <v>22.289837350169378</v>
      </c>
      <c r="F26" s="20">
        <f>+IFERROR('Q8'!F27/'Q8'!F22*100-100,0)</f>
        <v>12.969346715565578</v>
      </c>
      <c r="G26" s="20">
        <f>+IFERROR('Q8'!G27/'Q8'!G22*100-100,0)</f>
        <v>28.57130375254394</v>
      </c>
      <c r="H26" s="20">
        <f>+IFERROR('Q8'!H27/'Q8'!H22*100-100,0)</f>
        <v>8.1203608206550655</v>
      </c>
      <c r="I26" s="20">
        <f>+IFERROR('Q8'!I27/'Q8'!I22*100-100,0)</f>
        <v>20.855088993769357</v>
      </c>
      <c r="J26" s="20">
        <f>+IFERROR('Q8'!J27/'Q8'!J22*100-100,0)</f>
        <v>11.190965142254171</v>
      </c>
      <c r="K26" s="20">
        <f>+IFERROR('Q8'!K27/'Q8'!K22*100-100,0)</f>
        <v>4.2494850829398132</v>
      </c>
      <c r="L26" s="20">
        <f>+IFERROR('Q8'!L27/'Q8'!L22*100-100,0)</f>
        <v>26.809793829923876</v>
      </c>
      <c r="M26" s="20">
        <f>+IFERROR('Q8'!M27/'Q8'!M22*100-100,0)</f>
        <v>6.9621842918434567</v>
      </c>
      <c r="N26" s="20">
        <f>+IFERROR('Q8'!N27/'Q8'!N22*100-100,0)</f>
        <v>10.715180498715583</v>
      </c>
      <c r="O26" s="20">
        <f>+IFERROR('Q8'!O27/'Q8'!O22*100-100,0)</f>
        <v>17.164312762207118</v>
      </c>
      <c r="P26" s="20">
        <f>+IFERROR('Q8'!P27/'Q8'!P22*100-100,0)</f>
        <v>12.097594681399613</v>
      </c>
      <c r="Q26" s="20">
        <f>+IFERROR('Q8'!Q27/'Q8'!Q22*100-100,0)</f>
        <v>6.34808990082729</v>
      </c>
      <c r="R26" s="20">
        <f>+IFERROR('Q8'!R27/'Q8'!R22*100-100,0)</f>
        <v>14.341177924552468</v>
      </c>
      <c r="S26" s="20">
        <f>+IFERROR('Q8'!S27/'Q8'!S22*100-100,0)</f>
        <v>6.3811764705882439</v>
      </c>
      <c r="T26" s="20">
        <f>+IFERROR('Q8'!T27/'Q8'!T22*100-100,0)</f>
        <v>11.433563703096311</v>
      </c>
      <c r="U26" s="24">
        <f>+IFERROR('Q8'!U27/'Q8'!U22*100-100,0)</f>
        <v>11.841817875704237</v>
      </c>
    </row>
    <row r="27" spans="1:21" x14ac:dyDescent="0.25">
      <c r="A27" s="95"/>
      <c r="B27" s="51"/>
      <c r="C27" s="57" t="s">
        <v>51</v>
      </c>
      <c r="D27" s="34">
        <f>+IFERROR('Q8'!D28/'Q8'!D23*100-100,0)</f>
        <v>5.9644760022308674</v>
      </c>
      <c r="E27" s="34">
        <f>+IFERROR('Q8'!E28/'Q8'!E23*100-100,0)</f>
        <v>8.8430468648269311</v>
      </c>
      <c r="F27" s="34">
        <f>+IFERROR('Q8'!F28/'Q8'!F23*100-100,0)</f>
        <v>21.751893671920357</v>
      </c>
      <c r="G27" s="34">
        <f>+IFERROR('Q8'!G28/'Q8'!G23*100-100,0)</f>
        <v>12.541070669231559</v>
      </c>
      <c r="H27" s="34">
        <f>+IFERROR('Q8'!H28/'Q8'!H23*100-100,0)</f>
        <v>4.0299312990434828</v>
      </c>
      <c r="I27" s="34">
        <f>+IFERROR('Q8'!I28/'Q8'!I23*100-100,0)</f>
        <v>2.2400334507528044</v>
      </c>
      <c r="J27" s="34">
        <f>+IFERROR('Q8'!J28/'Q8'!J23*100-100,0)</f>
        <v>17.468656071130013</v>
      </c>
      <c r="K27" s="34">
        <f>+IFERROR('Q8'!K28/'Q8'!K23*100-100,0)</f>
        <v>11.599749852214543</v>
      </c>
      <c r="L27" s="34">
        <f>+IFERROR('Q8'!L28/'Q8'!L23*100-100,0)</f>
        <v>12.355594691129653</v>
      </c>
      <c r="M27" s="34">
        <f>+IFERROR('Q8'!M28/'Q8'!M23*100-100,0)</f>
        <v>6.983929994746731</v>
      </c>
      <c r="N27" s="34">
        <f>+IFERROR('Q8'!N28/'Q8'!N23*100-100,0)</f>
        <v>10.123145952022014</v>
      </c>
      <c r="O27" s="34">
        <f>+IFERROR('Q8'!O28/'Q8'!O23*100-100,0)</f>
        <v>14.407102547231744</v>
      </c>
      <c r="P27" s="34">
        <f>+IFERROR('Q8'!P28/'Q8'!P23*100-100,0)</f>
        <v>12.544033677792527</v>
      </c>
      <c r="Q27" s="34">
        <f>+IFERROR('Q8'!Q28/'Q8'!Q23*100-100,0)</f>
        <v>6.2473050482555692</v>
      </c>
      <c r="R27" s="34">
        <f>+IFERROR('Q8'!R28/'Q8'!R23*100-100,0)</f>
        <v>-10.970031650139973</v>
      </c>
      <c r="S27" s="34">
        <f>+IFERROR('Q8'!S28/'Q8'!S23*100-100,0)</f>
        <v>24.821237168308414</v>
      </c>
      <c r="T27" s="34">
        <f>+IFERROR('Q8'!T28/'Q8'!T23*100-100,0)</f>
        <v>0.12036877425020975</v>
      </c>
      <c r="U27" s="34">
        <f>+IFERROR('Q8'!U28/'Q8'!U23*100-100,0)</f>
        <v>13.710612636419995</v>
      </c>
    </row>
    <row r="28" spans="1:21" x14ac:dyDescent="0.25">
      <c r="A28" s="95"/>
      <c r="B28" s="99">
        <v>2007</v>
      </c>
      <c r="C28" s="61" t="s">
        <v>28</v>
      </c>
      <c r="D28" s="21">
        <f>+IFERROR('Q8'!D29/'Q8'!D24*100-100,0)</f>
        <v>7.7622879629174406</v>
      </c>
      <c r="E28" s="21">
        <f>+IFERROR('Q8'!E29/'Q8'!E24*100-100,0)</f>
        <v>13.809326163200211</v>
      </c>
      <c r="F28" s="21">
        <f>+IFERROR('Q8'!F29/'Q8'!F24*100-100,0)</f>
        <v>21.880697334209145</v>
      </c>
      <c r="G28" s="21">
        <f>+IFERROR('Q8'!G29/'Q8'!G24*100-100,0)</f>
        <v>12.215059870344987</v>
      </c>
      <c r="H28" s="21">
        <f>+IFERROR('Q8'!H29/'Q8'!H24*100-100,0)</f>
        <v>5.3217916748829595</v>
      </c>
      <c r="I28" s="21">
        <f>+IFERROR('Q8'!I29/'Q8'!I24*100-100,0)</f>
        <v>-33.674260664877323</v>
      </c>
      <c r="J28" s="21">
        <f>+IFERROR('Q8'!J29/'Q8'!J24*100-100,0)</f>
        <v>16.899826782104981</v>
      </c>
      <c r="K28" s="21">
        <f>+IFERROR('Q8'!K29/'Q8'!K24*100-100,0)</f>
        <v>8.5306164099571333</v>
      </c>
      <c r="L28" s="21">
        <f>+IFERROR('Q8'!L29/'Q8'!L24*100-100,0)</f>
        <v>21.065469291833168</v>
      </c>
      <c r="M28" s="21">
        <f>+IFERROR('Q8'!M29/'Q8'!M24*100-100,0)</f>
        <v>5.1285173679193292</v>
      </c>
      <c r="N28" s="21">
        <f>+IFERROR('Q8'!N29/'Q8'!N24*100-100,0)</f>
        <v>15.548630567979032</v>
      </c>
      <c r="O28" s="21">
        <f>+IFERROR('Q8'!O29/'Q8'!O24*100-100,0)</f>
        <v>26.899725806195178</v>
      </c>
      <c r="P28" s="21">
        <f>+IFERROR('Q8'!P29/'Q8'!P24*100-100,0)</f>
        <v>17.223651390054968</v>
      </c>
      <c r="Q28" s="21">
        <f>+IFERROR('Q8'!Q29/'Q8'!Q24*100-100,0)</f>
        <v>7.1240103040281326</v>
      </c>
      <c r="R28" s="21">
        <f>+IFERROR('Q8'!R29/'Q8'!R24*100-100,0)</f>
        <v>-6.4156962441990828</v>
      </c>
      <c r="S28" s="21">
        <f>+IFERROR('Q8'!S29/'Q8'!S24*100-100,0)</f>
        <v>43.806228364713519</v>
      </c>
      <c r="T28" s="21">
        <f>+IFERROR('Q8'!T29/'Q8'!T24*100-100,0)</f>
        <v>42.626326912705167</v>
      </c>
      <c r="U28" s="22">
        <f>+IFERROR('Q8'!U29/'Q8'!U24*100-100,0)</f>
        <v>14.100331335995733</v>
      </c>
    </row>
    <row r="29" spans="1:21" x14ac:dyDescent="0.25">
      <c r="A29" s="95"/>
      <c r="B29" s="100"/>
      <c r="C29" s="19" t="s">
        <v>29</v>
      </c>
      <c r="D29" s="2">
        <f>+IFERROR('Q8'!D30/'Q8'!D25*100-100,0)</f>
        <v>6.2528936594859772</v>
      </c>
      <c r="E29" s="2">
        <f>+IFERROR('Q8'!E30/'Q8'!E25*100-100,0)</f>
        <v>11.145973756947612</v>
      </c>
      <c r="F29" s="2">
        <f>+IFERROR('Q8'!F30/'Q8'!F25*100-100,0)</f>
        <v>21.990327505837939</v>
      </c>
      <c r="G29" s="2">
        <f>+IFERROR('Q8'!G30/'Q8'!G25*100-100,0)</f>
        <v>5.2624784341053612</v>
      </c>
      <c r="H29" s="2">
        <f>+IFERROR('Q8'!H30/'Q8'!H25*100-100,0)</f>
        <v>4.3726263009464077</v>
      </c>
      <c r="I29" s="2">
        <f>+IFERROR('Q8'!I30/'Q8'!I25*100-100,0)</f>
        <v>-2.020944627122006</v>
      </c>
      <c r="J29" s="2">
        <f>+IFERROR('Q8'!J30/'Q8'!J25*100-100,0)</f>
        <v>17.550917565274602</v>
      </c>
      <c r="K29" s="2">
        <f>+IFERROR('Q8'!K30/'Q8'!K25*100-100,0)</f>
        <v>10.162670888084506</v>
      </c>
      <c r="L29" s="2">
        <f>+IFERROR('Q8'!L30/'Q8'!L25*100-100,0)</f>
        <v>15.799768381183526</v>
      </c>
      <c r="M29" s="2">
        <f>+IFERROR('Q8'!M30/'Q8'!M25*100-100,0)</f>
        <v>5.5663872650475525</v>
      </c>
      <c r="N29" s="2">
        <f>+IFERROR('Q8'!N30/'Q8'!N25*100-100,0)</f>
        <v>10.902686295564806</v>
      </c>
      <c r="O29" s="2">
        <f>+IFERROR('Q8'!O30/'Q8'!O25*100-100,0)</f>
        <v>27.038430314752503</v>
      </c>
      <c r="P29" s="2">
        <f>+IFERROR('Q8'!P30/'Q8'!P25*100-100,0)</f>
        <v>11.033856800323804</v>
      </c>
      <c r="Q29" s="2">
        <f>+IFERROR('Q8'!Q30/'Q8'!Q25*100-100,0)</f>
        <v>7.0123990833633485</v>
      </c>
      <c r="R29" s="2">
        <f>+IFERROR('Q8'!R30/'Q8'!R25*100-100,0)</f>
        <v>-10.123445506992098</v>
      </c>
      <c r="S29" s="2">
        <f>+IFERROR('Q8'!S30/'Q8'!S25*100-100,0)</f>
        <v>36.126009058108224</v>
      </c>
      <c r="T29" s="2">
        <f>+IFERROR('Q8'!T30/'Q8'!T25*100-100,0)</f>
        <v>5.548217536614743</v>
      </c>
      <c r="U29" s="23">
        <f>+IFERROR('Q8'!U30/'Q8'!U25*100-100,0)</f>
        <v>13.930642449472458</v>
      </c>
    </row>
    <row r="30" spans="1:21" x14ac:dyDescent="0.25">
      <c r="A30" s="95"/>
      <c r="B30" s="100"/>
      <c r="C30" s="19" t="s">
        <v>30</v>
      </c>
      <c r="D30" s="2">
        <f>+IFERROR('Q8'!D31/'Q8'!D26*100-100,0)</f>
        <v>5.7044743966553995</v>
      </c>
      <c r="E30" s="2">
        <f>+IFERROR('Q8'!E31/'Q8'!E26*100-100,0)</f>
        <v>9.0140532957451995</v>
      </c>
      <c r="F30" s="2">
        <f>+IFERROR('Q8'!F31/'Q8'!F26*100-100,0)</f>
        <v>21.682946925143327</v>
      </c>
      <c r="G30" s="2">
        <f>+IFERROR('Q8'!G31/'Q8'!G26*100-100,0)</f>
        <v>8.4276358928043749</v>
      </c>
      <c r="H30" s="2">
        <f>+IFERROR('Q8'!H31/'Q8'!H26*100-100,0)</f>
        <v>3.8048089513189609</v>
      </c>
      <c r="I30" s="2">
        <f>+IFERROR('Q8'!I31/'Q8'!I26*100-100,0)</f>
        <v>7.9327841682389959</v>
      </c>
      <c r="J30" s="2">
        <f>+IFERROR('Q8'!J31/'Q8'!J26*100-100,0)</f>
        <v>17.737264872926033</v>
      </c>
      <c r="K30" s="2">
        <f>+IFERROR('Q8'!K31/'Q8'!K26*100-100,0)</f>
        <v>11.68369101322304</v>
      </c>
      <c r="L30" s="2">
        <f>+IFERROR('Q8'!L31/'Q8'!L26*100-100,0)</f>
        <v>12.376053519983827</v>
      </c>
      <c r="M30" s="2">
        <f>+IFERROR('Q8'!M31/'Q8'!M26*100-100,0)</f>
        <v>6.6321554554080109</v>
      </c>
      <c r="N30" s="2">
        <f>+IFERROR('Q8'!N31/'Q8'!N26*100-100,0)</f>
        <v>8.7918248890094901</v>
      </c>
      <c r="O30" s="2">
        <f>+IFERROR('Q8'!O31/'Q8'!O26*100-100,0)</f>
        <v>18.541826649931565</v>
      </c>
      <c r="P30" s="2">
        <f>+IFERROR('Q8'!P31/'Q8'!P26*100-100,0)</f>
        <v>16.41478532599217</v>
      </c>
      <c r="Q30" s="2">
        <f>+IFERROR('Q8'!Q31/'Q8'!Q26*100-100,0)</f>
        <v>7.2324185524054343</v>
      </c>
      <c r="R30" s="2">
        <f>+IFERROR('Q8'!R31/'Q8'!R26*100-100,0)</f>
        <v>-11.832300512852399</v>
      </c>
      <c r="S30" s="2">
        <f>+IFERROR('Q8'!S31/'Q8'!S26*100-100,0)</f>
        <v>28.684330199537754</v>
      </c>
      <c r="T30" s="2">
        <f>+IFERROR('Q8'!T31/'Q8'!T26*100-100,0)</f>
        <v>-29.544539777807515</v>
      </c>
      <c r="U30" s="23">
        <f>+IFERROR('Q8'!U31/'Q8'!U26*100-100,0)</f>
        <v>14.395666184465767</v>
      </c>
    </row>
    <row r="31" spans="1:21" x14ac:dyDescent="0.25">
      <c r="A31" s="95"/>
      <c r="B31" s="101"/>
      <c r="C31" s="52" t="s">
        <v>31</v>
      </c>
      <c r="D31" s="20">
        <f>+IFERROR('Q8'!D32/'Q8'!D27*100-100,0)</f>
        <v>5.4788235625841821</v>
      </c>
      <c r="E31" s="20">
        <f>+IFERROR('Q8'!E32/'Q8'!E27*100-100,0)</f>
        <v>6.5017581482033222</v>
      </c>
      <c r="F31" s="20">
        <f>+IFERROR('Q8'!F32/'Q8'!F27*100-100,0)</f>
        <v>21.652374113726665</v>
      </c>
      <c r="G31" s="20">
        <f>+IFERROR('Q8'!G32/'Q8'!G27*100-100,0)</f>
        <v>19.106849583208756</v>
      </c>
      <c r="H31" s="20">
        <f>+IFERROR('Q8'!H32/'Q8'!H27*100-100,0)</f>
        <v>3.7370839230856205</v>
      </c>
      <c r="I31" s="20">
        <f>+IFERROR('Q8'!I32/'Q8'!I27*100-100,0)</f>
        <v>8.706923628186388</v>
      </c>
      <c r="J31" s="20">
        <f>+IFERROR('Q8'!J32/'Q8'!J27*100-100,0)</f>
        <v>17.371417085106032</v>
      </c>
      <c r="K31" s="20">
        <f>+IFERROR('Q8'!K32/'Q8'!K27*100-100,0)</f>
        <v>12.94840741545849</v>
      </c>
      <c r="L31" s="20">
        <f>+IFERROR('Q8'!L32/'Q8'!L27*100-100,0)</f>
        <v>10.323288748083101</v>
      </c>
      <c r="M31" s="20">
        <f>+IFERROR('Q8'!M32/'Q8'!M27*100-100,0)</f>
        <v>8.2832720451720547</v>
      </c>
      <c r="N31" s="20">
        <f>+IFERROR('Q8'!N32/'Q8'!N27*100-100,0)</f>
        <v>9.5231229813617801</v>
      </c>
      <c r="O31" s="20">
        <f>+IFERROR('Q8'!O32/'Q8'!O27*100-100,0)</f>
        <v>5.5729926630472022</v>
      </c>
      <c r="P31" s="20">
        <f>+IFERROR('Q8'!P32/'Q8'!P27*100-100,0)</f>
        <v>9.7537552666660616</v>
      </c>
      <c r="Q31" s="20">
        <f>+IFERROR('Q8'!Q32/'Q8'!Q27*100-100,0)</f>
        <v>4.9545791281682057</v>
      </c>
      <c r="R31" s="20">
        <f>+IFERROR('Q8'!R32/'Q8'!R27*100-100,0)</f>
        <v>-11.77570451139546</v>
      </c>
      <c r="S31" s="20">
        <f>+IFERROR('Q8'!S32/'Q8'!S27*100-100,0)</f>
        <v>13.757495003331101</v>
      </c>
      <c r="T31" s="20">
        <f>+IFERROR('Q8'!T32/'Q8'!T27*100-100,0)</f>
        <v>7.980000000000004</v>
      </c>
      <c r="U31" s="24">
        <f>+IFERROR('Q8'!U32/'Q8'!U27*100-100,0)</f>
        <v>13.002688945797459</v>
      </c>
    </row>
    <row r="32" spans="1:21" x14ac:dyDescent="0.25">
      <c r="A32" s="95"/>
      <c r="B32" s="51"/>
      <c r="C32" s="57" t="s">
        <v>51</v>
      </c>
      <c r="D32" s="34">
        <f>+IFERROR('Q8'!D33/'Q8'!D28*100-100,0)</f>
        <v>5.9691752476799991</v>
      </c>
      <c r="E32" s="34">
        <f>+IFERROR('Q8'!E33/'Q8'!E28*100-100,0)</f>
        <v>1.5598177410076346</v>
      </c>
      <c r="F32" s="34">
        <f>+IFERROR('Q8'!F33/'Q8'!F28*100-100,0)</f>
        <v>10.421899880626384</v>
      </c>
      <c r="G32" s="34">
        <f>+IFERROR('Q8'!G33/'Q8'!G28*100-100,0)</f>
        <v>11.012272750830235</v>
      </c>
      <c r="H32" s="34">
        <f>+IFERROR('Q8'!H33/'Q8'!H28*100-100,0)</f>
        <v>3.9034375451251719</v>
      </c>
      <c r="I32" s="34">
        <f>+IFERROR('Q8'!I33/'Q8'!I28*100-100,0)</f>
        <v>18.252762748599508</v>
      </c>
      <c r="J32" s="34">
        <f>+IFERROR('Q8'!J33/'Q8'!J28*100-100,0)</f>
        <v>10.479265821997913</v>
      </c>
      <c r="K32" s="34">
        <f>+IFERROR('Q8'!K33/'Q8'!K28*100-100,0)</f>
        <v>17.539965883358221</v>
      </c>
      <c r="L32" s="34">
        <f>+IFERROR('Q8'!L33/'Q8'!L28*100-100,0)</f>
        <v>8.8482554870162033</v>
      </c>
      <c r="M32" s="34">
        <f>+IFERROR('Q8'!M33/'Q8'!M28*100-100,0)</f>
        <v>19.533341769859931</v>
      </c>
      <c r="N32" s="34">
        <f>+IFERROR('Q8'!N33/'Q8'!N28*100-100,0)</f>
        <v>35.774431898537244</v>
      </c>
      <c r="O32" s="34">
        <f>+IFERROR('Q8'!O33/'Q8'!O28*100-100,0)</f>
        <v>1.3545043384805666</v>
      </c>
      <c r="P32" s="34">
        <f>+IFERROR('Q8'!P33/'Q8'!P28*100-100,0)</f>
        <v>-0.13498798777845877</v>
      </c>
      <c r="Q32" s="34">
        <f>+IFERROR('Q8'!Q33/'Q8'!Q28*100-100,0)</f>
        <v>9.278747960705374</v>
      </c>
      <c r="R32" s="34">
        <f>+IFERROR('Q8'!R33/'Q8'!R28*100-100,0)</f>
        <v>3.5369841241006412</v>
      </c>
      <c r="S32" s="34">
        <f>+IFERROR('Q8'!S33/'Q8'!S28*100-100,0)</f>
        <v>11.033932568237233</v>
      </c>
      <c r="T32" s="34">
        <f>+IFERROR('Q8'!T33/'Q8'!T28*100-100,0)</f>
        <v>32.631440798806409</v>
      </c>
      <c r="U32" s="34">
        <f>+IFERROR('Q8'!U33/'Q8'!U28*100-100,0)</f>
        <v>9.190297336326509</v>
      </c>
    </row>
    <row r="33" spans="1:21" x14ac:dyDescent="0.25">
      <c r="A33" s="95"/>
      <c r="B33" s="99">
        <v>2008</v>
      </c>
      <c r="C33" s="61" t="s">
        <v>28</v>
      </c>
      <c r="D33" s="21">
        <f>+IFERROR('Q8'!D34/'Q8'!D29*100-100,0)</f>
        <v>5.537961549714197</v>
      </c>
      <c r="E33" s="21">
        <f>+IFERROR('Q8'!E34/'Q8'!E29*100-100,0)</f>
        <v>0.88246498124064487</v>
      </c>
      <c r="F33" s="21">
        <f>+IFERROR('Q8'!F34/'Q8'!F29*100-100,0)</f>
        <v>10.551783776270156</v>
      </c>
      <c r="G33" s="21">
        <f>+IFERROR('Q8'!G34/'Q8'!G29*100-100,0)</f>
        <v>14.131982643796448</v>
      </c>
      <c r="H33" s="21">
        <f>+IFERROR('Q8'!H34/'Q8'!H29*100-100,0)</f>
        <v>4.070544269540278</v>
      </c>
      <c r="I33" s="21">
        <f>+IFERROR('Q8'!I34/'Q8'!I29*100-100,0)</f>
        <v>98.392483571840131</v>
      </c>
      <c r="J33" s="21">
        <f>+IFERROR('Q8'!J34/'Q8'!J29*100-100,0)</f>
        <v>13.12502125796567</v>
      </c>
      <c r="K33" s="21">
        <f>+IFERROR('Q8'!K34/'Q8'!K29*100-100,0)</f>
        <v>17.73038354641298</v>
      </c>
      <c r="L33" s="21">
        <f>+IFERROR('Q8'!L34/'Q8'!L29*100-100,0)</f>
        <v>7.4428368465376877</v>
      </c>
      <c r="M33" s="21">
        <f>+IFERROR('Q8'!M34/'Q8'!M29*100-100,0)</f>
        <v>18.677466380562464</v>
      </c>
      <c r="N33" s="21">
        <f>+IFERROR('Q8'!N34/'Q8'!N29*100-100,0)</f>
        <v>27.347435274052856</v>
      </c>
      <c r="O33" s="21">
        <f>+IFERROR('Q8'!O34/'Q8'!O29*100-100,0)</f>
        <v>-7.4789889864151604</v>
      </c>
      <c r="P33" s="21">
        <f>+IFERROR('Q8'!P34/'Q8'!P29*100-100,0)</f>
        <v>-12.327772639067533</v>
      </c>
      <c r="Q33" s="21">
        <f>+IFERROR('Q8'!Q34/'Q8'!Q29*100-100,0)</f>
        <v>6.9190457441671924</v>
      </c>
      <c r="R33" s="21">
        <f>+IFERROR('Q8'!R34/'Q8'!R29*100-100,0)</f>
        <v>-2.3059047901387402</v>
      </c>
      <c r="S33" s="21">
        <f>+IFERROR('Q8'!S34/'Q8'!S29*100-100,0)</f>
        <v>-9.1475743073854119</v>
      </c>
      <c r="T33" s="21">
        <f>+IFERROR('Q8'!T34/'Q8'!T29*100-100,0)</f>
        <v>-23.349926071248092</v>
      </c>
      <c r="U33" s="22">
        <f>+IFERROR('Q8'!U34/'Q8'!U29*100-100,0)</f>
        <v>9.7115038199174393</v>
      </c>
    </row>
    <row r="34" spans="1:21" x14ac:dyDescent="0.25">
      <c r="A34" s="95"/>
      <c r="B34" s="100"/>
      <c r="C34" s="19" t="s">
        <v>29</v>
      </c>
      <c r="D34" s="2">
        <f>+IFERROR('Q8'!D35/'Q8'!D30*100-100,0)</f>
        <v>5.9675715087366541</v>
      </c>
      <c r="E34" s="2">
        <f>+IFERROR('Q8'!E35/'Q8'!E30*100-100,0)</f>
        <v>0.94375342211120028</v>
      </c>
      <c r="F34" s="2">
        <f>+IFERROR('Q8'!F35/'Q8'!F30*100-100,0)</f>
        <v>10.728581555545972</v>
      </c>
      <c r="G34" s="2">
        <f>+IFERROR('Q8'!G35/'Q8'!G30*100-100,0)</f>
        <v>26.814735420933715</v>
      </c>
      <c r="H34" s="2">
        <f>+IFERROR('Q8'!H35/'Q8'!H30*100-100,0)</f>
        <v>3.906247653834555</v>
      </c>
      <c r="I34" s="2">
        <f>+IFERROR('Q8'!I35/'Q8'!I30*100-100,0)</f>
        <v>20.78264950440385</v>
      </c>
      <c r="J34" s="2">
        <f>+IFERROR('Q8'!J35/'Q8'!J30*100-100,0)</f>
        <v>11.766873974207854</v>
      </c>
      <c r="K34" s="2">
        <f>+IFERROR('Q8'!K35/'Q8'!K30*100-100,0)</f>
        <v>17.96079369693706</v>
      </c>
      <c r="L34" s="2">
        <f>+IFERROR('Q8'!L35/'Q8'!L30*100-100,0)</f>
        <v>8.0586431103089922</v>
      </c>
      <c r="M34" s="2">
        <f>+IFERROR('Q8'!M35/'Q8'!M30*100-100,0)</f>
        <v>20.050819661398293</v>
      </c>
      <c r="N34" s="2">
        <f>+IFERROR('Q8'!N35/'Q8'!N30*100-100,0)</f>
        <v>33.281746521349532</v>
      </c>
      <c r="O34" s="2">
        <f>+IFERROR('Q8'!O35/'Q8'!O30*100-100,0)</f>
        <v>-7.9583741061960751</v>
      </c>
      <c r="P34" s="2">
        <f>+IFERROR('Q8'!P35/'Q8'!P30*100-100,0)</f>
        <v>-7.5737957110420808</v>
      </c>
      <c r="Q34" s="2">
        <f>+IFERROR('Q8'!Q35/'Q8'!Q30*100-100,0)</f>
        <v>8.134595960090536</v>
      </c>
      <c r="R34" s="2">
        <f>+IFERROR('Q8'!R35/'Q8'!R30*100-100,0)</f>
        <v>1.5649199624623549</v>
      </c>
      <c r="S34" s="2">
        <f>+IFERROR('Q8'!S35/'Q8'!S30*100-100,0)</f>
        <v>6.5706301895349242</v>
      </c>
      <c r="T34" s="2">
        <f>+IFERROR('Q8'!T35/'Q8'!T30*100-100,0)</f>
        <v>55.474677111524727</v>
      </c>
      <c r="U34" s="23">
        <f>+IFERROR('Q8'!U35/'Q8'!U30*100-100,0)</f>
        <v>7.9768327540057555</v>
      </c>
    </row>
    <row r="35" spans="1:21" x14ac:dyDescent="0.25">
      <c r="A35" s="95"/>
      <c r="B35" s="100"/>
      <c r="C35" s="19" t="s">
        <v>30</v>
      </c>
      <c r="D35" s="2">
        <f>+IFERROR('Q8'!D36/'Q8'!D31*100-100,0)</f>
        <v>6.0579170414520007</v>
      </c>
      <c r="E35" s="2">
        <f>+IFERROR('Q8'!E36/'Q8'!E31*100-100,0)</f>
        <v>1.2950852591753943</v>
      </c>
      <c r="F35" s="2">
        <f>+IFERROR('Q8'!F36/'Q8'!F31*100-100,0)</f>
        <v>10.508046624179528</v>
      </c>
      <c r="G35" s="2">
        <f>+IFERROR('Q8'!G36/'Q8'!G31*100-100,0)</f>
        <v>19.298275943075382</v>
      </c>
      <c r="H35" s="2">
        <f>+IFERROR('Q8'!H36/'Q8'!H31*100-100,0)</f>
        <v>3.801789927646638</v>
      </c>
      <c r="I35" s="2">
        <f>+IFERROR('Q8'!I36/'Q8'!I31*100-100,0)</f>
        <v>12.723520229572173</v>
      </c>
      <c r="J35" s="2">
        <f>+IFERROR('Q8'!J36/'Q8'!J31*100-100,0)</f>
        <v>10.388780663372103</v>
      </c>
      <c r="K35" s="2">
        <f>+IFERROR('Q8'!K36/'Q8'!K31*100-100,0)</f>
        <v>17.80552322313109</v>
      </c>
      <c r="L35" s="2">
        <f>+IFERROR('Q8'!L36/'Q8'!L31*100-100,0)</f>
        <v>8.693718925114851</v>
      </c>
      <c r="M35" s="2">
        <f>+IFERROR('Q8'!M36/'Q8'!M31*100-100,0)</f>
        <v>20.21904260282092</v>
      </c>
      <c r="N35" s="2">
        <f>+IFERROR('Q8'!N36/'Q8'!N31*100-100,0)</f>
        <v>36.906926205727558</v>
      </c>
      <c r="O35" s="2">
        <f>+IFERROR('Q8'!O36/'Q8'!O31*100-100,0)</f>
        <v>-3.7607022908924961</v>
      </c>
      <c r="P35" s="2">
        <f>+IFERROR('Q8'!P36/'Q8'!P31*100-100,0)</f>
        <v>-1.4374035663805955</v>
      </c>
      <c r="Q35" s="2">
        <f>+IFERROR('Q8'!Q36/'Q8'!Q31*100-100,0)</f>
        <v>9.315170347287534</v>
      </c>
      <c r="R35" s="2">
        <f>+IFERROR('Q8'!R36/'Q8'!R31*100-100,0)</f>
        <v>4.2221244446881627</v>
      </c>
      <c r="S35" s="2">
        <f>+IFERROR('Q8'!S36/'Q8'!S31*100-100,0)</f>
        <v>13.238584581126631</v>
      </c>
      <c r="T35" s="2">
        <f>+IFERROR('Q8'!T36/'Q8'!T31*100-100,0)</f>
        <v>131.44052876162422</v>
      </c>
      <c r="U35" s="23">
        <f>+IFERROR('Q8'!U36/'Q8'!U31*100-100,0)</f>
        <v>7.6785437925618538</v>
      </c>
    </row>
    <row r="36" spans="1:21" x14ac:dyDescent="0.25">
      <c r="A36" s="95"/>
      <c r="B36" s="101"/>
      <c r="C36" s="52" t="s">
        <v>31</v>
      </c>
      <c r="D36" s="20">
        <f>+IFERROR('Q8'!D37/'Q8'!D32*100-100,0)</f>
        <v>6.0204047127220122</v>
      </c>
      <c r="E36" s="20">
        <f>+IFERROR('Q8'!E37/'Q8'!E32*100-100,0)</f>
        <v>2.2010415842712376</v>
      </c>
      <c r="F36" s="20">
        <f>+IFERROR('Q8'!F37/'Q8'!F32*100-100,0)</f>
        <v>10.171586878772999</v>
      </c>
      <c r="G36" s="20">
        <f>+IFERROR('Q8'!G37/'Q8'!G32*100-100,0)</f>
        <v>-1.8818318834851766</v>
      </c>
      <c r="H36" s="20">
        <f>+IFERROR('Q8'!H37/'Q8'!H32*100-100,0)</f>
        <v>3.9363035562316924</v>
      </c>
      <c r="I36" s="20">
        <f>+IFERROR('Q8'!I37/'Q8'!I32*100-100,0)</f>
        <v>9.5057442563440446</v>
      </c>
      <c r="J36" s="20">
        <f>+IFERROR('Q8'!J37/'Q8'!J32*100-100,0)</f>
        <v>9.2628160211291544</v>
      </c>
      <c r="K36" s="20">
        <f>+IFERROR('Q8'!K37/'Q8'!K32*100-100,0)</f>
        <v>17.108357168367021</v>
      </c>
      <c r="L36" s="20">
        <f>+IFERROR('Q8'!L37/'Q8'!L32*100-100,0)</f>
        <v>9.3796558543201627</v>
      </c>
      <c r="M36" s="20">
        <f>+IFERROR('Q8'!M37/'Q8'!M32*100-100,0)</f>
        <v>18.998394462073449</v>
      </c>
      <c r="N36" s="20">
        <f>+IFERROR('Q8'!N37/'Q8'!N32*100-100,0)</f>
        <v>38.084943418788754</v>
      </c>
      <c r="O36" s="20">
        <f>+IFERROR('Q8'!O37/'Q8'!O32*100-100,0)</f>
        <v>10.37619501849818</v>
      </c>
      <c r="P36" s="20">
        <f>+IFERROR('Q8'!P37/'Q8'!P32*100-100,0)</f>
        <v>6.7103980735311808</v>
      </c>
      <c r="Q36" s="20">
        <f>+IFERROR('Q8'!Q37/'Q8'!Q32*100-100,0)</f>
        <v>10.387764749715231</v>
      </c>
      <c r="R36" s="20">
        <f>+IFERROR('Q8'!R37/'Q8'!R32*100-100,0)</f>
        <v>5.4302307676104675</v>
      </c>
      <c r="S36" s="20">
        <f>+IFERROR('Q8'!S37/'Q8'!S32*100-100,0)</f>
        <v>16.688761495282463</v>
      </c>
      <c r="T36" s="20">
        <f>+IFERROR('Q8'!T37/'Q8'!T32*100-100,0)</f>
        <v>-1.480000000000004</v>
      </c>
      <c r="U36" s="24">
        <f>+IFERROR('Q8'!U37/'Q8'!U32*100-100,0)</f>
        <v>10.786636049658284</v>
      </c>
    </row>
    <row r="37" spans="1:21" x14ac:dyDescent="0.25">
      <c r="A37" s="95"/>
      <c r="B37" s="51"/>
      <c r="C37" s="57" t="s">
        <v>51</v>
      </c>
      <c r="D37" s="34">
        <f>+IFERROR('Q8'!D38/'Q8'!D33*100-100,0)</f>
        <v>4.8367540093500025</v>
      </c>
      <c r="E37" s="34">
        <f>+IFERROR('Q8'!E38/'Q8'!E33*100-100,0)</f>
        <v>7.4487818131922126</v>
      </c>
      <c r="F37" s="34">
        <f>+IFERROR('Q8'!F38/'Q8'!F33*100-100,0)</f>
        <v>-6.5460625342096819</v>
      </c>
      <c r="G37" s="34">
        <f>+IFERROR('Q8'!G38/'Q8'!G33*100-100,0)</f>
        <v>-3.1110023320618296</v>
      </c>
      <c r="H37" s="34">
        <f>+IFERROR('Q8'!H38/'Q8'!H33*100-100,0)</f>
        <v>9.061417644822356</v>
      </c>
      <c r="I37" s="34">
        <f>+IFERROR('Q8'!I38/'Q8'!I33*100-100,0)</f>
        <v>4.6016183194196998</v>
      </c>
      <c r="J37" s="34">
        <f>+IFERROR('Q8'!J38/'Q8'!J33*100-100,0)</f>
        <v>5.2022175364646159</v>
      </c>
      <c r="K37" s="34">
        <f>+IFERROR('Q8'!K38/'Q8'!K33*100-100,0)</f>
        <v>8.4419503159177651</v>
      </c>
      <c r="L37" s="34">
        <f>+IFERROR('Q8'!L38/'Q8'!L33*100-100,0)</f>
        <v>13.043318828662237</v>
      </c>
      <c r="M37" s="34">
        <f>+IFERROR('Q8'!M38/'Q8'!M33*100-100,0)</f>
        <v>4.9668091730091533</v>
      </c>
      <c r="N37" s="34">
        <f>+IFERROR('Q8'!N38/'Q8'!N33*100-100,0)</f>
        <v>24.441200564316262</v>
      </c>
      <c r="O37" s="34">
        <f>+IFERROR('Q8'!O38/'Q8'!O33*100-100,0)</f>
        <v>21.240686937344151</v>
      </c>
      <c r="P37" s="34">
        <f>+IFERROR('Q8'!P38/'Q8'!P33*100-100,0)</f>
        <v>20.6091961610841</v>
      </c>
      <c r="Q37" s="34">
        <f>+IFERROR('Q8'!Q38/'Q8'!Q33*100-100,0)</f>
        <v>6.323821110470675</v>
      </c>
      <c r="R37" s="34">
        <f>+IFERROR('Q8'!R38/'Q8'!R33*100-100,0)</f>
        <v>4.7478312640040201</v>
      </c>
      <c r="S37" s="34">
        <f>+IFERROR('Q8'!S38/'Q8'!S33*100-100,0)</f>
        <v>6.3606548789961153</v>
      </c>
      <c r="T37" s="34">
        <f>+IFERROR('Q8'!T38/'Q8'!T33*100-100,0)</f>
        <v>-40.00098742865589</v>
      </c>
      <c r="U37" s="34">
        <f>+IFERROR('Q8'!U38/'Q8'!U33*100-100,0)</f>
        <v>2.9910299821150943</v>
      </c>
    </row>
    <row r="38" spans="1:21" x14ac:dyDescent="0.25">
      <c r="A38" s="95"/>
      <c r="B38" s="99">
        <v>2009</v>
      </c>
      <c r="C38" s="61" t="s">
        <v>28</v>
      </c>
      <c r="D38" s="21">
        <f>+IFERROR('Q8'!D39/'Q8'!D34*100-100,0)</f>
        <v>4.6429292673312972</v>
      </c>
      <c r="E38" s="21">
        <f>+IFERROR('Q8'!E39/'Q8'!E34*100-100,0)</f>
        <v>7.2385446962006057</v>
      </c>
      <c r="F38" s="21">
        <f>+IFERROR('Q8'!F39/'Q8'!F34*100-100,0)</f>
        <v>-7.3165216718675907</v>
      </c>
      <c r="G38" s="21">
        <f>+IFERROR('Q8'!G39/'Q8'!G34*100-100,0)</f>
        <v>-22.742560788427369</v>
      </c>
      <c r="H38" s="21">
        <f>+IFERROR('Q8'!H39/'Q8'!H34*100-100,0)</f>
        <v>7.2577120498650061</v>
      </c>
      <c r="I38" s="21">
        <f>+IFERROR('Q8'!I39/'Q8'!I34*100-100,0)</f>
        <v>-10.37767813199136</v>
      </c>
      <c r="J38" s="21">
        <f>+IFERROR('Q8'!J39/'Q8'!J34*100-100,0)</f>
        <v>4.46534922514752</v>
      </c>
      <c r="K38" s="21">
        <f>+IFERROR('Q8'!K39/'Q8'!K34*100-100,0)</f>
        <v>10.280586654746159</v>
      </c>
      <c r="L38" s="21">
        <f>+IFERROR('Q8'!L39/'Q8'!L34*100-100,0)</f>
        <v>12.048648001997563</v>
      </c>
      <c r="M38" s="21">
        <f>+IFERROR('Q8'!M39/'Q8'!M34*100-100,0)</f>
        <v>8.375475921695255</v>
      </c>
      <c r="N38" s="21">
        <f>+IFERROR('Q8'!N39/'Q8'!N34*100-100,0)</f>
        <v>31.943242794671448</v>
      </c>
      <c r="O38" s="21">
        <f>+IFERROR('Q8'!O39/'Q8'!O34*100-100,0)</f>
        <v>45.178450892799191</v>
      </c>
      <c r="P38" s="21">
        <f>+IFERROR('Q8'!P39/'Q8'!P34*100-100,0)</f>
        <v>31.838421386608275</v>
      </c>
      <c r="Q38" s="21">
        <f>+IFERROR('Q8'!Q39/'Q8'!Q34*100-100,0)</f>
        <v>0.23820383678541646</v>
      </c>
      <c r="R38" s="21">
        <f>+IFERROR('Q8'!R39/'Q8'!R34*100-100,0)</f>
        <v>5.4268569820428638</v>
      </c>
      <c r="S38" s="21">
        <f>+IFERROR('Q8'!S39/'Q8'!S34*100-100,0)</f>
        <v>40.970673248975402</v>
      </c>
      <c r="T38" s="21">
        <f>+IFERROR('Q8'!T39/'Q8'!T34*100-100,0)</f>
        <v>-62.232185479159448</v>
      </c>
      <c r="U38" s="22">
        <f>+IFERROR('Q8'!U39/'Q8'!U34*100-100,0)</f>
        <v>1.4347597454127339</v>
      </c>
    </row>
    <row r="39" spans="1:21" x14ac:dyDescent="0.25">
      <c r="A39" s="95"/>
      <c r="B39" s="100"/>
      <c r="C39" s="19" t="s">
        <v>29</v>
      </c>
      <c r="D39" s="2">
        <f>+IFERROR('Q8'!D40/'Q8'!D35*100-100,0)</f>
        <v>4.5561246433106817</v>
      </c>
      <c r="E39" s="2">
        <f>+IFERROR('Q8'!E40/'Q8'!E35*100-100,0)</f>
        <v>7.8276372488422368</v>
      </c>
      <c r="F39" s="2">
        <f>+IFERROR('Q8'!F40/'Q8'!F35*100-100,0)</f>
        <v>-6.8704553990297939</v>
      </c>
      <c r="G39" s="2">
        <f>+IFERROR('Q8'!G40/'Q8'!G35*100-100,0)</f>
        <v>-5.9114073427765135</v>
      </c>
      <c r="H39" s="2">
        <f>+IFERROR('Q8'!H40/'Q8'!H35*100-100,0)</f>
        <v>8.3616276159521874</v>
      </c>
      <c r="I39" s="2">
        <f>+IFERROR('Q8'!I40/'Q8'!I35*100-100,0)</f>
        <v>7.7425632954174972</v>
      </c>
      <c r="J39" s="2">
        <f>+IFERROR('Q8'!J40/'Q8'!J35*100-100,0)</f>
        <v>4.5179898180176536</v>
      </c>
      <c r="K39" s="2">
        <f>+IFERROR('Q8'!K40/'Q8'!K35*100-100,0)</f>
        <v>9.1503103367402332</v>
      </c>
      <c r="L39" s="2">
        <f>+IFERROR('Q8'!L40/'Q8'!L35*100-100,0)</f>
        <v>12.758583259741613</v>
      </c>
      <c r="M39" s="2">
        <f>+IFERROR('Q8'!M40/'Q8'!M35*100-100,0)</f>
        <v>6.029505953153901</v>
      </c>
      <c r="N39" s="2">
        <f>+IFERROR('Q8'!N40/'Q8'!N35*100-100,0)</f>
        <v>28.349323919419135</v>
      </c>
      <c r="O39" s="2">
        <f>+IFERROR('Q8'!O40/'Q8'!O35*100-100,0)</f>
        <v>36.738888595065504</v>
      </c>
      <c r="P39" s="2">
        <f>+IFERROR('Q8'!P40/'Q8'!P35*100-100,0)</f>
        <v>28.502214775210319</v>
      </c>
      <c r="Q39" s="2">
        <f>+IFERROR('Q8'!Q40/'Q8'!Q35*100-100,0)</f>
        <v>5.2551081329871323</v>
      </c>
      <c r="R39" s="2">
        <f>+IFERROR('Q8'!R40/'Q8'!R35*100-100,0)</f>
        <v>4.7125492927605706</v>
      </c>
      <c r="S39" s="2">
        <f>+IFERROR('Q8'!S40/'Q8'!S35*100-100,0)</f>
        <v>9.6744837308361866</v>
      </c>
      <c r="T39" s="2">
        <f>+IFERROR('Q8'!T40/'Q8'!T35*100-100,0)</f>
        <v>-64.166457424514022</v>
      </c>
      <c r="U39" s="23">
        <f>+IFERROR('Q8'!U40/'Q8'!U35*100-100,0)</f>
        <v>3.9660983834308752</v>
      </c>
    </row>
    <row r="40" spans="1:21" x14ac:dyDescent="0.25">
      <c r="A40" s="95"/>
      <c r="B40" s="100"/>
      <c r="C40" s="19" t="s">
        <v>30</v>
      </c>
      <c r="D40" s="2">
        <f>+IFERROR('Q8'!D41/'Q8'!D36*100-100,0)</f>
        <v>4.7752328235780084</v>
      </c>
      <c r="E40" s="2">
        <f>+IFERROR('Q8'!E41/'Q8'!E36*100-100,0)</f>
        <v>7.8320571615372359</v>
      </c>
      <c r="F40" s="2">
        <f>+IFERROR('Q8'!F41/'Q8'!F36*100-100,0)</f>
        <v>-6.506499759931998</v>
      </c>
      <c r="G40" s="2">
        <f>+IFERROR('Q8'!G41/'Q8'!G36*100-100,0)</f>
        <v>-4.0255131180727375</v>
      </c>
      <c r="H40" s="2">
        <f>+IFERROR('Q8'!H41/'Q8'!H36*100-100,0)</f>
        <v>9.4792306441113112</v>
      </c>
      <c r="I40" s="2">
        <f>+IFERROR('Q8'!I41/'Q8'!I36*100-100,0)</f>
        <v>6.1632514641071907</v>
      </c>
      <c r="J40" s="2">
        <f>+IFERROR('Q8'!J41/'Q8'!J36*100-100,0)</f>
        <v>5.009389424349564</v>
      </c>
      <c r="K40" s="2">
        <f>+IFERROR('Q8'!K41/'Q8'!K36*100-100,0)</f>
        <v>8.2901715287660807</v>
      </c>
      <c r="L40" s="2">
        <f>+IFERROR('Q8'!L41/'Q8'!L36*100-100,0)</f>
        <v>13.122041296545973</v>
      </c>
      <c r="M40" s="2">
        <f>+IFERROR('Q8'!M41/'Q8'!M36*100-100,0)</f>
        <v>4.5125729076167289</v>
      </c>
      <c r="N40" s="2">
        <f>+IFERROR('Q8'!N41/'Q8'!N36*100-100,0)</f>
        <v>24.913333593733867</v>
      </c>
      <c r="O40" s="2">
        <f>+IFERROR('Q8'!O41/'Q8'!O36*100-100,0)</f>
        <v>32.713203070065447</v>
      </c>
      <c r="P40" s="2">
        <f>+IFERROR('Q8'!P41/'Q8'!P36*100-100,0)</f>
        <v>19.344499067592324</v>
      </c>
      <c r="Q40" s="2">
        <f>+IFERROR('Q8'!Q41/'Q8'!Q36*100-100,0)</f>
        <v>7.2664541510499845</v>
      </c>
      <c r="R40" s="2">
        <f>+IFERROR('Q8'!R41/'Q8'!R36*100-100,0)</f>
        <v>4.5311049936126437</v>
      </c>
      <c r="S40" s="2">
        <f>+IFERROR('Q8'!S41/'Q8'!S36*100-100,0)</f>
        <v>3.696715597495853</v>
      </c>
      <c r="T40" s="2">
        <f>+IFERROR('Q8'!T41/'Q8'!T36*100-100,0)</f>
        <v>-62.217969109116936</v>
      </c>
      <c r="U40" s="23">
        <f>+IFERROR('Q8'!U41/'Q8'!U36*100-100,0)</f>
        <v>4.2465191435587144</v>
      </c>
    </row>
    <row r="41" spans="1:21" x14ac:dyDescent="0.25">
      <c r="A41" s="95"/>
      <c r="B41" s="101"/>
      <c r="C41" s="52" t="s">
        <v>31</v>
      </c>
      <c r="D41" s="20">
        <f>+IFERROR('Q8'!D42/'Q8'!D37*100-100,0)</f>
        <v>5.1350108018457234</v>
      </c>
      <c r="E41" s="20">
        <f>+IFERROR('Q8'!E42/'Q8'!E37*100-100,0)</f>
        <v>7.0707604618523732</v>
      </c>
      <c r="F41" s="20">
        <f>+IFERROR('Q8'!F42/'Q8'!F37*100-100,0)</f>
        <v>-6.2164048813682626</v>
      </c>
      <c r="G41" s="20">
        <f>+IFERROR('Q8'!G42/'Q8'!G37*100-100,0)</f>
        <v>4.3115567152619718</v>
      </c>
      <c r="H41" s="20">
        <f>+IFERROR('Q8'!H42/'Q8'!H37*100-100,0)</f>
        <v>9.5084537488309877</v>
      </c>
      <c r="I41" s="20">
        <f>+IFERROR('Q8'!I42/'Q8'!I37*100-100,0)</f>
        <v>5.8900899911991331</v>
      </c>
      <c r="J41" s="20">
        <f>+IFERROR('Q8'!J42/'Q8'!J37*100-100,0)</f>
        <v>5.8771481767393254</v>
      </c>
      <c r="K41" s="20">
        <f>+IFERROR('Q8'!K42/'Q8'!K37*100-100,0)</f>
        <v>7.8013502799159511</v>
      </c>
      <c r="L41" s="20">
        <f>+IFERROR('Q8'!L42/'Q8'!L37*100-100,0)</f>
        <v>13.197919056555634</v>
      </c>
      <c r="M41" s="20">
        <f>+IFERROR('Q8'!M42/'Q8'!M37*100-100,0)</f>
        <v>4.101663988135698</v>
      </c>
      <c r="N41" s="20">
        <f>+IFERROR('Q8'!N42/'Q8'!N37*100-100,0)</f>
        <v>20.74973977669184</v>
      </c>
      <c r="O41" s="20">
        <f>+IFERROR('Q8'!O42/'Q8'!O37*100-100,0)</f>
        <v>5.2168077747237049</v>
      </c>
      <c r="P41" s="20">
        <f>+IFERROR('Q8'!P42/'Q8'!P37*100-100,0)</f>
        <v>16.364681109784158</v>
      </c>
      <c r="Q41" s="20">
        <f>+IFERROR('Q8'!Q42/'Q8'!Q37*100-100,0)</f>
        <v>7.5806983330089395</v>
      </c>
      <c r="R41" s="20">
        <f>+IFERROR('Q8'!R42/'Q8'!R37*100-100,0)</f>
        <v>4.7752143716909785</v>
      </c>
      <c r="S41" s="20">
        <f>+IFERROR('Q8'!S42/'Q8'!S37*100-100,0)</f>
        <v>-1.4210854715202004E-14</v>
      </c>
      <c r="T41" s="20">
        <f>+IFERROR('Q8'!T42/'Q8'!T37*100-100,0)</f>
        <v>0</v>
      </c>
      <c r="U41" s="24">
        <f>+IFERROR('Q8'!U42/'Q8'!U37*100-100,0)</f>
        <v>1.9955890978894644</v>
      </c>
    </row>
    <row r="42" spans="1:21" x14ac:dyDescent="0.25">
      <c r="A42" s="95"/>
      <c r="B42" s="51"/>
      <c r="C42" s="57" t="s">
        <v>51</v>
      </c>
      <c r="D42" s="34">
        <f>+IFERROR('Q8'!D43/'Q8'!D38*100-100,0)</f>
        <v>11.659176324348124</v>
      </c>
      <c r="E42" s="34">
        <f>+IFERROR('Q8'!E43/'Q8'!E38*100-100,0)</f>
        <v>0.68316647853127677</v>
      </c>
      <c r="F42" s="34">
        <f>+IFERROR('Q8'!F43/'Q8'!F38*100-100,0)</f>
        <v>-0.38793055963381562</v>
      </c>
      <c r="G42" s="34">
        <f>+IFERROR('Q8'!G43/'Q8'!G38*100-100,0)</f>
        <v>-3.7246226106822036</v>
      </c>
      <c r="H42" s="34">
        <f>+IFERROR('Q8'!H43/'Q8'!H38*100-100,0)</f>
        <v>8.9637230352811486</v>
      </c>
      <c r="I42" s="34">
        <f>+IFERROR('Q8'!I43/'Q8'!I38*100-100,0)</f>
        <v>11.078217234851294</v>
      </c>
      <c r="J42" s="34">
        <f>+IFERROR('Q8'!J43/'Q8'!J38*100-100,0)</f>
        <v>12.801444624776764</v>
      </c>
      <c r="K42" s="34">
        <f>+IFERROR('Q8'!K43/'Q8'!K38*100-100,0)</f>
        <v>7.9388901625427053</v>
      </c>
      <c r="L42" s="34">
        <f>+IFERROR('Q8'!L43/'Q8'!L38*100-100,0)</f>
        <v>11.573745481205805</v>
      </c>
      <c r="M42" s="34">
        <f>+IFERROR('Q8'!M43/'Q8'!M38*100-100,0)</f>
        <v>8.8782081047166486</v>
      </c>
      <c r="N42" s="34">
        <f>+IFERROR('Q8'!N43/'Q8'!N38*100-100,0)</f>
        <v>2.7343528455662067</v>
      </c>
      <c r="O42" s="34">
        <f>+IFERROR('Q8'!O43/'Q8'!O38*100-100,0)</f>
        <v>-4.6211169866704864</v>
      </c>
      <c r="P42" s="34">
        <f>+IFERROR('Q8'!P43/'Q8'!P38*100-100,0)</f>
        <v>6.433491993161681</v>
      </c>
      <c r="Q42" s="34">
        <f>+IFERROR('Q8'!Q43/'Q8'!Q38*100-100,0)</f>
        <v>8.2293888811384477</v>
      </c>
      <c r="R42" s="34">
        <f>+IFERROR('Q8'!R43/'Q8'!R38*100-100,0)</f>
        <v>10.134370381803222</v>
      </c>
      <c r="S42" s="34">
        <f>+IFERROR('Q8'!S43/'Q8'!S38*100-100,0)</f>
        <v>-3.0782019825351625</v>
      </c>
      <c r="T42" s="34">
        <f>+IFERROR('Q8'!T43/'Q8'!T38*100-100,0)</f>
        <v>-15.576698616289704</v>
      </c>
      <c r="U42" s="34">
        <f>+IFERROR('Q8'!U43/'Q8'!U38*100-100,0)</f>
        <v>7.4117918290546072</v>
      </c>
    </row>
    <row r="43" spans="1:21" x14ac:dyDescent="0.25">
      <c r="A43" s="95"/>
      <c r="B43" s="99">
        <v>2010</v>
      </c>
      <c r="C43" s="61" t="s">
        <v>28</v>
      </c>
      <c r="D43" s="21">
        <f>+IFERROR('Q8'!D44/'Q8'!D39*100-100,0)</f>
        <v>10.686857444181669</v>
      </c>
      <c r="E43" s="21">
        <f>+IFERROR('Q8'!E44/'Q8'!E39*100-100,0)</f>
        <v>0.95955168796149337</v>
      </c>
      <c r="F43" s="21">
        <f>+IFERROR('Q8'!F44/'Q8'!F39*100-100,0)</f>
        <v>1.3722483287355089</v>
      </c>
      <c r="G43" s="21">
        <f>+IFERROR('Q8'!G44/'Q8'!G39*100-100,0)</f>
        <v>25.814783735985159</v>
      </c>
      <c r="H43" s="21">
        <f>+IFERROR('Q8'!H44/'Q8'!H39*100-100,0)</f>
        <v>8.1924180328702505</v>
      </c>
      <c r="I43" s="21">
        <f>+IFERROR('Q8'!I44/'Q8'!I39*100-100,0)</f>
        <v>25.35993432348873</v>
      </c>
      <c r="J43" s="21">
        <f>+IFERROR('Q8'!J44/'Q8'!J39*100-100,0)</f>
        <v>12.320141359213395</v>
      </c>
      <c r="K43" s="21">
        <f>+IFERROR('Q8'!K44/'Q8'!K39*100-100,0)</f>
        <v>6.9085508198654111</v>
      </c>
      <c r="L43" s="21">
        <f>+IFERROR('Q8'!L44/'Q8'!L39*100-100,0)</f>
        <v>12.528247905382983</v>
      </c>
      <c r="M43" s="21">
        <f>+IFERROR('Q8'!M44/'Q8'!M39*100-100,0)</f>
        <v>6.7258094775232991</v>
      </c>
      <c r="N43" s="21">
        <f>+IFERROR('Q8'!N44/'Q8'!N39*100-100,0)</f>
        <v>1.0845020208739413</v>
      </c>
      <c r="O43" s="21">
        <f>+IFERROR('Q8'!O44/'Q8'!O39*100-100,0)</f>
        <v>-14.822767568197222</v>
      </c>
      <c r="P43" s="21">
        <f>+IFERROR('Q8'!P44/'Q8'!P39*100-100,0)</f>
        <v>8.4759385976176986</v>
      </c>
      <c r="Q43" s="21">
        <f>+IFERROR('Q8'!Q44/'Q8'!Q39*100-100,0)</f>
        <v>15.559157098618101</v>
      </c>
      <c r="R43" s="21">
        <f>+IFERROR('Q8'!R44/'Q8'!R39*100-100,0)</f>
        <v>7.743093959909217</v>
      </c>
      <c r="S43" s="21">
        <f>+IFERROR('Q8'!S44/'Q8'!S39*100-100,0)</f>
        <v>-27.628151459650525</v>
      </c>
      <c r="T43" s="21">
        <f>+IFERROR('Q8'!T44/'Q8'!T39*100-100,0)</f>
        <v>-79.78241068105082</v>
      </c>
      <c r="U43" s="22">
        <f>+IFERROR('Q8'!U44/'Q8'!U39*100-100,0)</f>
        <v>7.9656829486961698</v>
      </c>
    </row>
    <row r="44" spans="1:21" x14ac:dyDescent="0.25">
      <c r="A44" s="95"/>
      <c r="B44" s="100"/>
      <c r="C44" s="19" t="s">
        <v>29</v>
      </c>
      <c r="D44" s="2">
        <f>+IFERROR('Q8'!D45/'Q8'!D40*100-100,0)</f>
        <v>11.667474821995299</v>
      </c>
      <c r="E44" s="2">
        <f>+IFERROR('Q8'!E45/'Q8'!E40*100-100,0)</f>
        <v>0.14786354041925165</v>
      </c>
      <c r="F44" s="2">
        <f>+IFERROR('Q8'!F45/'Q8'!F40*100-100,0)</f>
        <v>1.594755337383063</v>
      </c>
      <c r="G44" s="2">
        <f>+IFERROR('Q8'!G45/'Q8'!G40*100-100,0)</f>
        <v>-3.9760977564198896</v>
      </c>
      <c r="H44" s="2">
        <f>+IFERROR('Q8'!H45/'Q8'!H40*100-100,0)</f>
        <v>8.7627032855981213</v>
      </c>
      <c r="I44" s="2">
        <f>+IFERROR('Q8'!I45/'Q8'!I40*100-100,0)</f>
        <v>10.406399445804212</v>
      </c>
      <c r="J44" s="2">
        <f>+IFERROR('Q8'!J45/'Q8'!J40*100-100,0)</f>
        <v>13.029784439443162</v>
      </c>
      <c r="K44" s="2">
        <f>+IFERROR('Q8'!K45/'Q8'!K40*100-100,0)</f>
        <v>7.3150647392745185</v>
      </c>
      <c r="L44" s="2">
        <f>+IFERROR('Q8'!L45/'Q8'!L40*100-100,0)</f>
        <v>12.023074817528894</v>
      </c>
      <c r="M44" s="2">
        <f>+IFERROR('Q8'!M45/'Q8'!M40*100-100,0)</f>
        <v>8.0582567953629649</v>
      </c>
      <c r="N44" s="2">
        <f>+IFERROR('Q8'!N45/'Q8'!N40*100-100,0)</f>
        <v>-0.96936324977774291</v>
      </c>
      <c r="O44" s="2">
        <f>+IFERROR('Q8'!O45/'Q8'!O40*100-100,0)</f>
        <v>-6.5558251437686295</v>
      </c>
      <c r="P44" s="2">
        <f>+IFERROR('Q8'!P45/'Q8'!P40*100-100,0)</f>
        <v>9.7777012731146868</v>
      </c>
      <c r="Q44" s="2">
        <f>+IFERROR('Q8'!Q45/'Q8'!Q40*100-100,0)</f>
        <v>10.361097166675307</v>
      </c>
      <c r="R44" s="2">
        <f>+IFERROR('Q8'!R45/'Q8'!R40*100-100,0)</f>
        <v>9.1707501024973084</v>
      </c>
      <c r="S44" s="2">
        <f>+IFERROR('Q8'!S45/'Q8'!S40*100-100,0)</f>
        <v>-11.580988348848919</v>
      </c>
      <c r="T44" s="2">
        <f>+IFERROR('Q8'!T45/'Q8'!T40*100-100,0)</f>
        <v>-69.762649594755715</v>
      </c>
      <c r="U44" s="23">
        <f>+IFERROR('Q8'!U45/'Q8'!U40*100-100,0)</f>
        <v>9.1736734342947415</v>
      </c>
    </row>
    <row r="45" spans="1:21" x14ac:dyDescent="0.25">
      <c r="A45" s="95"/>
      <c r="B45" s="100"/>
      <c r="C45" s="19" t="s">
        <v>30</v>
      </c>
      <c r="D45" s="2">
        <f>+IFERROR('Q8'!D46/'Q8'!D41*100-100,0)</f>
        <v>11.861917697099983</v>
      </c>
      <c r="E45" s="2">
        <f>+IFERROR('Q8'!E46/'Q8'!E41*100-100,0)</f>
        <v>0.14925211706309938</v>
      </c>
      <c r="F45" s="2">
        <f>+IFERROR('Q8'!F46/'Q8'!F41*100-100,0)</f>
        <v>0.2754354388231377</v>
      </c>
      <c r="G45" s="2">
        <f>+IFERROR('Q8'!G46/'Q8'!G41*100-100,0)</f>
        <v>-6.6447128978498853</v>
      </c>
      <c r="H45" s="2">
        <f>+IFERROR('Q8'!H46/'Q8'!H41*100-100,0)</f>
        <v>9.1233446200730697</v>
      </c>
      <c r="I45" s="2">
        <f>+IFERROR('Q8'!I46/'Q8'!I41*100-100,0)</f>
        <v>8.9086477257629468</v>
      </c>
      <c r="J45" s="2">
        <f>+IFERROR('Q8'!J46/'Q8'!J41*100-100,0)</f>
        <v>13.133720248023593</v>
      </c>
      <c r="K45" s="2">
        <f>+IFERROR('Q8'!K46/'Q8'!K41*100-100,0)</f>
        <v>7.863496090598403</v>
      </c>
      <c r="L45" s="2">
        <f>+IFERROR('Q8'!L46/'Q8'!L41*100-100,0)</f>
        <v>11.620242798109786</v>
      </c>
      <c r="M45" s="2">
        <f>+IFERROR('Q8'!M46/'Q8'!M41*100-100,0)</f>
        <v>9.0740826490137749</v>
      </c>
      <c r="N45" s="2">
        <f>+IFERROR('Q8'!N46/'Q8'!N41*100-100,0)</f>
        <v>0.31970371521452989</v>
      </c>
      <c r="O45" s="2">
        <f>+IFERROR('Q8'!O46/'Q8'!O41*100-100,0)</f>
        <v>-9.6918671565454559</v>
      </c>
      <c r="P45" s="2">
        <f>+IFERROR('Q8'!P46/'Q8'!P41*100-100,0)</f>
        <v>10.391486500250949</v>
      </c>
      <c r="Q45" s="2">
        <f>+IFERROR('Q8'!Q46/'Q8'!Q41*100-100,0)</f>
        <v>7.6920657422250116</v>
      </c>
      <c r="R45" s="2">
        <f>+IFERROR('Q8'!R46/'Q8'!R41*100-100,0)</f>
        <v>10.301229780523286</v>
      </c>
      <c r="S45" s="2">
        <f>+IFERROR('Q8'!S46/'Q8'!S41*100-100,0)</f>
        <v>-1.1896944188940353</v>
      </c>
      <c r="T45" s="2">
        <f>+IFERROR('Q8'!T46/'Q8'!T41*100-100,0)</f>
        <v>-72.902240521566711</v>
      </c>
      <c r="U45" s="23">
        <f>+IFERROR('Q8'!U46/'Q8'!U41*100-100,0)</f>
        <v>8.9214055383523032</v>
      </c>
    </row>
    <row r="46" spans="1:21" x14ac:dyDescent="0.25">
      <c r="A46" s="95"/>
      <c r="B46" s="101"/>
      <c r="C46" s="52" t="s">
        <v>31</v>
      </c>
      <c r="D46" s="20">
        <f>+IFERROR('Q8'!D47/'Q8'!D42*100-100,0)</f>
        <v>11.762347446584556</v>
      </c>
      <c r="E46" s="20">
        <f>+IFERROR('Q8'!E47/'Q8'!E42*100-100,0)</f>
        <v>1.2216129257372188</v>
      </c>
      <c r="F46" s="20">
        <f>+IFERROR('Q8'!F47/'Q8'!F42*100-100,0)</f>
        <v>-2.3148495892156689</v>
      </c>
      <c r="G46" s="20">
        <f>+IFERROR('Q8'!G47/'Q8'!G42*100-100,0)</f>
        <v>-7.1509349515112604</v>
      </c>
      <c r="H46" s="20">
        <f>+IFERROR('Q8'!H47/'Q8'!H42*100-100,0)</f>
        <v>9.1177567213150041</v>
      </c>
      <c r="I46" s="20">
        <f>+IFERROR('Q8'!I47/'Q8'!I42*100-100,0)</f>
        <v>9.8312510287014447</v>
      </c>
      <c r="J46" s="20">
        <f>+IFERROR('Q8'!J47/'Q8'!J42*100-100,0)</f>
        <v>12.563809011657796</v>
      </c>
      <c r="K46" s="20">
        <f>+IFERROR('Q8'!K47/'Q8'!K42*100-100,0)</f>
        <v>8.53061003596045</v>
      </c>
      <c r="L46" s="20">
        <f>+IFERROR('Q8'!L47/'Q8'!L42*100-100,0)</f>
        <v>11.287029908161301</v>
      </c>
      <c r="M46" s="20">
        <f>+IFERROR('Q8'!M47/'Q8'!M42*100-100,0)</f>
        <v>9.5809443735652735</v>
      </c>
      <c r="N46" s="20">
        <f>+IFERROR('Q8'!N47/'Q8'!N42*100-100,0)</f>
        <v>6.6445907530625163</v>
      </c>
      <c r="O46" s="20">
        <f>+IFERROR('Q8'!O47/'Q8'!O42*100-100,0)</f>
        <v>2.3417734487319422</v>
      </c>
      <c r="P46" s="20">
        <f>+IFERROR('Q8'!P47/'Q8'!P42*100-100,0)</f>
        <v>2.0490988365477136</v>
      </c>
      <c r="Q46" s="20">
        <f>+IFERROR('Q8'!Q47/'Q8'!Q42*100-100,0)</f>
        <v>6.0094419381188544</v>
      </c>
      <c r="R46" s="20">
        <f>+IFERROR('Q8'!R47/'Q8'!R42*100-100,0)</f>
        <v>11.018991507780811</v>
      </c>
      <c r="S46" s="20">
        <f>+IFERROR('Q8'!S47/'Q8'!S42*100-100,0)</f>
        <v>6.530312426486276</v>
      </c>
      <c r="T46" s="20">
        <f>+IFERROR('Q8'!T47/'Q8'!T42*100-100,0)</f>
        <v>21.40513770731522</v>
      </c>
      <c r="U46" s="24">
        <f>+IFERROR('Q8'!U47/'Q8'!U42*100-100,0)</f>
        <v>5.2936657282000255</v>
      </c>
    </row>
    <row r="47" spans="1:21" x14ac:dyDescent="0.25">
      <c r="A47" s="95"/>
      <c r="B47" s="51"/>
      <c r="C47" s="57" t="s">
        <v>51</v>
      </c>
      <c r="D47" s="34">
        <f>+IFERROR('Q8'!D48/'Q8'!D43*100-100,0)</f>
        <v>7.2895509205946922</v>
      </c>
      <c r="E47" s="34">
        <f>+IFERROR('Q8'!E48/'Q8'!E43*100-100,0)</f>
        <v>13.695225448431742</v>
      </c>
      <c r="F47" s="34">
        <f>+IFERROR('Q8'!F48/'Q8'!F43*100-100,0)</f>
        <v>-8.44260096408739</v>
      </c>
      <c r="G47" s="34">
        <f>+IFERROR('Q8'!G48/'Q8'!G43*100-100,0)</f>
        <v>1.5862995686723167</v>
      </c>
      <c r="H47" s="34">
        <f>+IFERROR('Q8'!H48/'Q8'!H43*100-100,0)</f>
        <v>10.025976400731793</v>
      </c>
      <c r="I47" s="34">
        <f>+IFERROR('Q8'!I48/'Q8'!I43*100-100,0)</f>
        <v>7.4243937728842013</v>
      </c>
      <c r="J47" s="34">
        <f>+IFERROR('Q8'!J48/'Q8'!J43*100-100,0)</f>
        <v>7.4253257076072572</v>
      </c>
      <c r="K47" s="34">
        <f>+IFERROR('Q8'!K48/'Q8'!K43*100-100,0)</f>
        <v>9.494998450270316</v>
      </c>
      <c r="L47" s="34">
        <f>+IFERROR('Q8'!L48/'Q8'!L43*100-100,0)</f>
        <v>7.415260208303053</v>
      </c>
      <c r="M47" s="34">
        <f>+IFERROR('Q8'!M48/'Q8'!M43*100-100,0)</f>
        <v>10.66166082428515</v>
      </c>
      <c r="N47" s="34">
        <f>+IFERROR('Q8'!N48/'Q8'!N43*100-100,0)</f>
        <v>79.754989522004365</v>
      </c>
      <c r="O47" s="34">
        <f>+IFERROR('Q8'!O48/'Q8'!O43*100-100,0)</f>
        <v>4.8962800697024136</v>
      </c>
      <c r="P47" s="34">
        <f>+IFERROR('Q8'!P48/'Q8'!P43*100-100,0)</f>
        <v>-1.8208032658299942</v>
      </c>
      <c r="Q47" s="34">
        <f>+IFERROR('Q8'!Q48/'Q8'!Q43*100-100,0)</f>
        <v>4.4981719188319005</v>
      </c>
      <c r="R47" s="34">
        <f>+IFERROR('Q8'!R48/'Q8'!R43*100-100,0)</f>
        <v>10.248085853756635</v>
      </c>
      <c r="S47" s="34">
        <f>+IFERROR('Q8'!S48/'Q8'!S43*100-100,0)</f>
        <v>2.7284470815321242</v>
      </c>
      <c r="T47" s="34">
        <f>+IFERROR('Q8'!T48/'Q8'!T43*100-100,0)</f>
        <v>9.2252617303279436</v>
      </c>
      <c r="U47" s="34">
        <f>+IFERROR('Q8'!U48/'Q8'!U43*100-100,0)</f>
        <v>1.8590618431166348</v>
      </c>
    </row>
    <row r="48" spans="1:21" x14ac:dyDescent="0.25">
      <c r="A48" s="95"/>
      <c r="B48" s="99">
        <v>2011</v>
      </c>
      <c r="C48" s="61" t="s">
        <v>28</v>
      </c>
      <c r="D48" s="21">
        <f>+IFERROR('Q8'!D49/'Q8'!D44*100-100,0)</f>
        <v>8.562814740356032</v>
      </c>
      <c r="E48" s="21">
        <f>+IFERROR('Q8'!E49/'Q8'!E44*100-100,0)</f>
        <v>10.350615912134998</v>
      </c>
      <c r="F48" s="21">
        <f>+IFERROR('Q8'!F49/'Q8'!F44*100-100,0)</f>
        <v>-9.4867249795479154</v>
      </c>
      <c r="G48" s="21">
        <f>+IFERROR('Q8'!G49/'Q8'!G44*100-100,0)</f>
        <v>-8.3653929683470665</v>
      </c>
      <c r="H48" s="21">
        <f>+IFERROR('Q8'!H49/'Q8'!H44*100-100,0)</f>
        <v>10.4774492767244</v>
      </c>
      <c r="I48" s="21">
        <f>+IFERROR('Q8'!I49/'Q8'!I44*100-100,0)</f>
        <v>9.9424712382504765</v>
      </c>
      <c r="J48" s="21">
        <f>+IFERROR('Q8'!J49/'Q8'!J44*100-100,0)</f>
        <v>6.8032219211214766</v>
      </c>
      <c r="K48" s="21">
        <f>+IFERROR('Q8'!K49/'Q8'!K44*100-100,0)</f>
        <v>10.528214793478739</v>
      </c>
      <c r="L48" s="21">
        <f>+IFERROR('Q8'!L49/'Q8'!L44*100-100,0)</f>
        <v>10.318948141535444</v>
      </c>
      <c r="M48" s="21">
        <f>+IFERROR('Q8'!M49/'Q8'!M44*100-100,0)</f>
        <v>9.8629977019241579</v>
      </c>
      <c r="N48" s="21">
        <f>+IFERROR('Q8'!N49/'Q8'!N44*100-100,0)</f>
        <v>63.536258770957943</v>
      </c>
      <c r="O48" s="21">
        <f>+IFERROR('Q8'!O49/'Q8'!O44*100-100,0)</f>
        <v>17.80386943849166</v>
      </c>
      <c r="P48" s="21">
        <f>+IFERROR('Q8'!P49/'Q8'!P44*100-100,0)</f>
        <v>1.3981741662768599</v>
      </c>
      <c r="Q48" s="21">
        <f>+IFERROR('Q8'!Q49/'Q8'!Q44*100-100,0)</f>
        <v>4.2764111569305641</v>
      </c>
      <c r="R48" s="21">
        <f>+IFERROR('Q8'!R49/'Q8'!R44*100-100,0)</f>
        <v>12.13019383005205</v>
      </c>
      <c r="S48" s="21">
        <f>+IFERROR('Q8'!S49/'Q8'!S44*100-100,0)</f>
        <v>17.641515609022434</v>
      </c>
      <c r="T48" s="21">
        <f>+IFERROR('Q8'!T49/'Q8'!T44*100-100,0)</f>
        <v>24.576295389917476</v>
      </c>
      <c r="U48" s="22">
        <f>+IFERROR('Q8'!U49/'Q8'!U44*100-100,0)</f>
        <v>1.892441410422748</v>
      </c>
    </row>
    <row r="49" spans="1:21" x14ac:dyDescent="0.25">
      <c r="A49" s="95"/>
      <c r="B49" s="100"/>
      <c r="C49" s="19" t="s">
        <v>29</v>
      </c>
      <c r="D49" s="2">
        <f>+IFERROR('Q8'!D50/'Q8'!D45*100-100,0)</f>
        <v>7.5350380570513522</v>
      </c>
      <c r="E49" s="2">
        <f>+IFERROR('Q8'!E50/'Q8'!E45*100-100,0)</f>
        <v>12.488907657412469</v>
      </c>
      <c r="F49" s="2">
        <f>+IFERROR('Q8'!F50/'Q8'!F45*100-100,0)</f>
        <v>-12.47532778715096</v>
      </c>
      <c r="G49" s="2">
        <f>+IFERROR('Q8'!G50/'Q8'!G45*100-100,0)</f>
        <v>6.0078844115595302</v>
      </c>
      <c r="H49" s="2">
        <f>+IFERROR('Q8'!H50/'Q8'!H45*100-100,0)</f>
        <v>10.309932320906185</v>
      </c>
      <c r="I49" s="2">
        <f>+IFERROR('Q8'!I50/'Q8'!I45*100-100,0)</f>
        <v>11.849006349218854</v>
      </c>
      <c r="J49" s="2">
        <f>+IFERROR('Q8'!J50/'Q8'!J45*100-100,0)</f>
        <v>6.4435677709335124</v>
      </c>
      <c r="K49" s="2">
        <f>+IFERROR('Q8'!K50/'Q8'!K45*100-100,0)</f>
        <v>10.269377527287119</v>
      </c>
      <c r="L49" s="2">
        <f>+IFERROR('Q8'!L50/'Q8'!L45*100-100,0)</f>
        <v>9.5626147171971922</v>
      </c>
      <c r="M49" s="2">
        <f>+IFERROR('Q8'!M50/'Q8'!M45*100-100,0)</f>
        <v>9.926588412951844</v>
      </c>
      <c r="N49" s="2">
        <f>+IFERROR('Q8'!N50/'Q8'!N45*100-100,0)</f>
        <v>78.460768743673725</v>
      </c>
      <c r="O49" s="2">
        <f>+IFERROR('Q8'!O50/'Q8'!O45*100-100,0)</f>
        <v>1.4931750862894546</v>
      </c>
      <c r="P49" s="2">
        <f>+IFERROR('Q8'!P50/'Q8'!P45*100-100,0)</f>
        <v>-5.1977771465882512</v>
      </c>
      <c r="Q49" s="2">
        <f>+IFERROR('Q8'!Q50/'Q8'!Q45*100-100,0)</f>
        <v>3.4661513071441874</v>
      </c>
      <c r="R49" s="2">
        <f>+IFERROR('Q8'!R50/'Q8'!R45*100-100,0)</f>
        <v>11.191750892291893</v>
      </c>
      <c r="S49" s="2">
        <f>+IFERROR('Q8'!S50/'Q8'!S45*100-100,0)</f>
        <v>14.070667146133005</v>
      </c>
      <c r="T49" s="2">
        <f>+IFERROR('Q8'!T50/'Q8'!T45*100-100,0)</f>
        <v>-44.181116377899698</v>
      </c>
      <c r="U49" s="23">
        <f>+IFERROR('Q8'!U50/'Q8'!U45*100-100,0)</f>
        <v>-0.24022629194104184</v>
      </c>
    </row>
    <row r="50" spans="1:21" x14ac:dyDescent="0.25">
      <c r="A50" s="95"/>
      <c r="B50" s="100"/>
      <c r="C50" s="19" t="s">
        <v>30</v>
      </c>
      <c r="D50" s="2">
        <f>+IFERROR('Q8'!D51/'Q8'!D46*100-100,0)</f>
        <v>7.1209647981990969</v>
      </c>
      <c r="E50" s="2">
        <f>+IFERROR('Q8'!E51/'Q8'!E46*100-100,0)</f>
        <v>13.889514201406755</v>
      </c>
      <c r="F50" s="2">
        <f>+IFERROR('Q8'!F51/'Q8'!F46*100-100,0)</f>
        <v>-9.7306601082587321</v>
      </c>
      <c r="G50" s="2">
        <f>+IFERROR('Q8'!G51/'Q8'!G46*100-100,0)</f>
        <v>-0.23185666165750263</v>
      </c>
      <c r="H50" s="2">
        <f>+IFERROR('Q8'!H51/'Q8'!H46*100-100,0)</f>
        <v>10.054820627366979</v>
      </c>
      <c r="I50" s="2">
        <f>+IFERROR('Q8'!I51/'Q8'!I46*100-100,0)</f>
        <v>8.4930370582767267</v>
      </c>
      <c r="J50" s="2">
        <f>+IFERROR('Q8'!J51/'Q8'!J46*100-100,0)</f>
        <v>6.9821980092904141</v>
      </c>
      <c r="K50" s="2">
        <f>+IFERROR('Q8'!K51/'Q8'!K46*100-100,0)</f>
        <v>9.6516001609755477</v>
      </c>
      <c r="L50" s="2">
        <f>+IFERROR('Q8'!L51/'Q8'!L46*100-100,0)</f>
        <v>8.1163227299231977</v>
      </c>
      <c r="M50" s="2">
        <f>+IFERROR('Q8'!M51/'Q8'!M46*100-100,0)</f>
        <v>10.42116382569111</v>
      </c>
      <c r="N50" s="2">
        <f>+IFERROR('Q8'!N51/'Q8'!N46*100-100,0)</f>
        <v>84.939556017257587</v>
      </c>
      <c r="O50" s="2">
        <f>+IFERROR('Q8'!O51/'Q8'!O46*100-100,0)</f>
        <v>7.4109385600812345</v>
      </c>
      <c r="P50" s="2">
        <f>+IFERROR('Q8'!P51/'Q8'!P46*100-100,0)</f>
        <v>-3.7187965445394013</v>
      </c>
      <c r="Q50" s="2">
        <f>+IFERROR('Q8'!Q51/'Q8'!Q46*100-100,0)</f>
        <v>3.89601207288095</v>
      </c>
      <c r="R50" s="2">
        <f>+IFERROR('Q8'!R51/'Q8'!R46*100-100,0)</f>
        <v>10.257084631099289</v>
      </c>
      <c r="S50" s="2">
        <f>+IFERROR('Q8'!S51/'Q8'!S46*100-100,0)</f>
        <v>1.8612106377508155</v>
      </c>
      <c r="T50" s="2">
        <f>+IFERROR('Q8'!T51/'Q8'!T46*100-100,0)</f>
        <v>-25.093760462414693</v>
      </c>
      <c r="U50" s="23">
        <f>+IFERROR('Q8'!U51/'Q8'!U46*100-100,0)</f>
        <v>0.97854816759954133</v>
      </c>
    </row>
    <row r="51" spans="1:21" x14ac:dyDescent="0.25">
      <c r="A51" s="95"/>
      <c r="B51" s="101"/>
      <c r="C51" s="52" t="s">
        <v>31</v>
      </c>
      <c r="D51" s="20">
        <f>+IFERROR('Q8'!D52/'Q8'!D47*100-100,0)</f>
        <v>6.9037062921961052</v>
      </c>
      <c r="E51" s="20">
        <f>+IFERROR('Q8'!E52/'Q8'!E47*100-100,0)</f>
        <v>14.96999999999997</v>
      </c>
      <c r="F51" s="20">
        <f>+IFERROR('Q8'!F52/'Q8'!F47*100-100,0)</f>
        <v>-5.0944430817166335</v>
      </c>
      <c r="G51" s="20">
        <f>+IFERROR('Q8'!G52/'Q8'!G47*100-100,0)</f>
        <v>3.3630657937209634</v>
      </c>
      <c r="H51" s="20">
        <f>+IFERROR('Q8'!H52/'Q8'!H47*100-100,0)</f>
        <v>9.7724123628554622</v>
      </c>
      <c r="I51" s="20">
        <f>+IFERROR('Q8'!I52/'Q8'!I47*100-100,0)</f>
        <v>3.852906146651037</v>
      </c>
      <c r="J51" s="20">
        <f>+IFERROR('Q8'!J52/'Q8'!J47*100-100,0)</f>
        <v>8.3990888755678839</v>
      </c>
      <c r="K51" s="20">
        <f>+IFERROR('Q8'!K52/'Q8'!K47*100-100,0)</f>
        <v>8.7800000000000296</v>
      </c>
      <c r="L51" s="20">
        <f>+IFERROR('Q8'!L52/'Q8'!L47*100-100,0)</f>
        <v>5.9018481526865685</v>
      </c>
      <c r="M51" s="20">
        <f>+IFERROR('Q8'!M52/'Q8'!M47*100-100,0)</f>
        <v>11.333547803879298</v>
      </c>
      <c r="N51" s="20">
        <f>+IFERROR('Q8'!N52/'Q8'!N47*100-100,0)</f>
        <v>80.373137035462207</v>
      </c>
      <c r="O51" s="20">
        <f>+IFERROR('Q8'!O52/'Q8'!O47*100-100,0)</f>
        <v>2.1844663950021328</v>
      </c>
      <c r="P51" s="20">
        <f>+IFERROR('Q8'!P52/'Q8'!P47*100-100,0)</f>
        <v>0.33931629816584064</v>
      </c>
      <c r="Q51" s="20">
        <f>+IFERROR('Q8'!Q52/'Q8'!Q47*100-100,0)</f>
        <v>5.5045058309427759</v>
      </c>
      <c r="R51" s="20">
        <f>+IFERROR('Q8'!R52/'Q8'!R47*100-100,0)</f>
        <v>9.3766789418463787</v>
      </c>
      <c r="S51" s="20">
        <f>+IFERROR('Q8'!S52/'Q8'!S47*100-100,0)</f>
        <v>-4.16164718980869</v>
      </c>
      <c r="T51" s="20">
        <f>+IFERROR('Q8'!T52/'Q8'!T47*100-100,0)</f>
        <v>14.658395296261602</v>
      </c>
      <c r="U51" s="24">
        <f>+IFERROR('Q8'!U52/'Q8'!U47*100-100,0)</f>
        <v>3.5938696024015826</v>
      </c>
    </row>
    <row r="52" spans="1:21" x14ac:dyDescent="0.25">
      <c r="A52" s="95"/>
      <c r="B52" s="51"/>
      <c r="C52" s="57" t="s">
        <v>51</v>
      </c>
      <c r="D52" s="34">
        <f>+IFERROR('Q8'!D53/'Q8'!D48*100-100,0)</f>
        <v>5.9411489072932682</v>
      </c>
      <c r="E52" s="34">
        <f>+IFERROR('Q8'!E53/'Q8'!E48*100-100,0)</f>
        <v>11.203173893949781</v>
      </c>
      <c r="F52" s="34">
        <f>+IFERROR('Q8'!F53/'Q8'!F48*100-100,0)</f>
        <v>10.049145243986032</v>
      </c>
      <c r="G52" s="34">
        <f>+IFERROR('Q8'!G53/'Q8'!G48*100-100,0)</f>
        <v>-2.1092697389840964</v>
      </c>
      <c r="H52" s="34">
        <f>+IFERROR('Q8'!H53/'Q8'!H48*100-100,0)</f>
        <v>7.7549801634796438</v>
      </c>
      <c r="I52" s="34">
        <f>+IFERROR('Q8'!I53/'Q8'!I48*100-100,0)</f>
        <v>9.6998529163793421</v>
      </c>
      <c r="J52" s="34">
        <f>+IFERROR('Q8'!J53/'Q8'!J48*100-100,0)</f>
        <v>23.094415705382048</v>
      </c>
      <c r="K52" s="34">
        <f>+IFERROR('Q8'!K53/'Q8'!K48*100-100,0)</f>
        <v>7.7127464151985521</v>
      </c>
      <c r="L52" s="34">
        <f>+IFERROR('Q8'!L53/'Q8'!L48*100-100,0)</f>
        <v>-7.3607977786903263</v>
      </c>
      <c r="M52" s="34">
        <f>+IFERROR('Q8'!M53/'Q8'!M48*100-100,0)</f>
        <v>13.546863373759479</v>
      </c>
      <c r="N52" s="34">
        <f>+IFERROR('Q8'!N53/'Q8'!N48*100-100,0)</f>
        <v>10.679485449729583</v>
      </c>
      <c r="O52" s="34">
        <f>+IFERROR('Q8'!O53/'Q8'!O48*100-100,0)</f>
        <v>1.5731563635683159</v>
      </c>
      <c r="P52" s="34">
        <f>+IFERROR('Q8'!P53/'Q8'!P48*100-100,0)</f>
        <v>1.6945227572179959</v>
      </c>
      <c r="Q52" s="34">
        <f>+IFERROR('Q8'!Q53/'Q8'!Q48*100-100,0)</f>
        <v>21.116952065894964</v>
      </c>
      <c r="R52" s="34">
        <f>+IFERROR('Q8'!R53/'Q8'!R48*100-100,0)</f>
        <v>7.7543959074492648</v>
      </c>
      <c r="S52" s="34">
        <f>+IFERROR('Q8'!S53/'Q8'!S48*100-100,0)</f>
        <v>-3.0233102678402304</v>
      </c>
      <c r="T52" s="34">
        <f>+IFERROR('Q8'!T53/'Q8'!T48*100-100,0)</f>
        <v>11.723109117657131</v>
      </c>
      <c r="U52" s="34">
        <f>+IFERROR('Q8'!U53/'Q8'!U48*100-100,0)</f>
        <v>8.9802001706120791</v>
      </c>
    </row>
    <row r="53" spans="1:21" x14ac:dyDescent="0.25">
      <c r="A53" s="95"/>
      <c r="B53" s="99">
        <v>2012</v>
      </c>
      <c r="C53" s="61" t="s">
        <v>28</v>
      </c>
      <c r="D53" s="21">
        <f>+IFERROR('Q8'!D54/'Q8'!D49*100-100,0)</f>
        <v>5.7495189198247658</v>
      </c>
      <c r="E53" s="21">
        <f>+IFERROR('Q8'!E54/'Q8'!E49*100-100,0)</f>
        <v>13.935254567353979</v>
      </c>
      <c r="F53" s="21">
        <f>+IFERROR('Q8'!F54/'Q8'!F49*100-100,0)</f>
        <v>10.108350553039486</v>
      </c>
      <c r="G53" s="21">
        <f>+IFERROR('Q8'!G54/'Q8'!G49*100-100,0)</f>
        <v>3.9801515727143908</v>
      </c>
      <c r="H53" s="21">
        <f>+IFERROR('Q8'!H54/'Q8'!H49*100-100,0)</f>
        <v>7.1546023441654256</v>
      </c>
      <c r="I53" s="21">
        <f>+IFERROR('Q8'!I54/'Q8'!I49*100-100,0)</f>
        <v>7.6686526193419269</v>
      </c>
      <c r="J53" s="21">
        <f>+IFERROR('Q8'!J54/'Q8'!J49*100-100,0)</f>
        <v>20.11157302566626</v>
      </c>
      <c r="K53" s="21">
        <f>+IFERROR('Q8'!K54/'Q8'!K49*100-100,0)</f>
        <v>9.1563557895674137</v>
      </c>
      <c r="L53" s="21">
        <f>+IFERROR('Q8'!L54/'Q8'!L49*100-100,0)</f>
        <v>-4.9603292636116691</v>
      </c>
      <c r="M53" s="21">
        <f>+IFERROR('Q8'!M54/'Q8'!M49*100-100,0)</f>
        <v>17.302835407917371</v>
      </c>
      <c r="N53" s="21">
        <f>+IFERROR('Q8'!N54/'Q8'!N49*100-100,0)</f>
        <v>28.787580114220901</v>
      </c>
      <c r="O53" s="21">
        <f>+IFERROR('Q8'!O54/'Q8'!O49*100-100,0)</f>
        <v>-11.743718875698434</v>
      </c>
      <c r="P53" s="21">
        <f>+IFERROR('Q8'!P54/'Q8'!P49*100-100,0)</f>
        <v>-1.3683570684555235</v>
      </c>
      <c r="Q53" s="21">
        <f>+IFERROR('Q8'!Q54/'Q8'!Q49*100-100,0)</f>
        <v>20.218864484498965</v>
      </c>
      <c r="R53" s="21">
        <f>+IFERROR('Q8'!R54/'Q8'!R49*100-100,0)</f>
        <v>9.4730429969339838</v>
      </c>
      <c r="S53" s="21">
        <f>+IFERROR('Q8'!S54/'Q8'!S49*100-100,0)</f>
        <v>-4.6629672081858615</v>
      </c>
      <c r="T53" s="21">
        <f>+IFERROR('Q8'!T54/'Q8'!T49*100-100,0)</f>
        <v>83.431230282929079</v>
      </c>
      <c r="U53" s="22">
        <f>+IFERROR('Q8'!U54/'Q8'!U49*100-100,0)</f>
        <v>7.7985105466242572</v>
      </c>
    </row>
    <row r="54" spans="1:21" x14ac:dyDescent="0.25">
      <c r="A54" s="95"/>
      <c r="B54" s="100"/>
      <c r="C54" s="19" t="s">
        <v>29</v>
      </c>
      <c r="D54" s="2">
        <f>+IFERROR('Q8'!D55/'Q8'!D50*100-100,0)</f>
        <v>5.9024184549873411</v>
      </c>
      <c r="E54" s="2">
        <f>+IFERROR('Q8'!E55/'Q8'!E50*100-100,0)</f>
        <v>12.643962104801318</v>
      </c>
      <c r="F54" s="2">
        <f>+IFERROR('Q8'!F55/'Q8'!F50*100-100,0)</f>
        <v>13.232661282279508</v>
      </c>
      <c r="G54" s="2">
        <f>+IFERROR('Q8'!G55/'Q8'!G50*100-100,0)</f>
        <v>-6.9435401364405465</v>
      </c>
      <c r="H54" s="2">
        <f>+IFERROR('Q8'!H55/'Q8'!H50*100-100,0)</f>
        <v>7.4907097756868239</v>
      </c>
      <c r="I54" s="2">
        <f>+IFERROR('Q8'!I55/'Q8'!I50*100-100,0)</f>
        <v>9.2745460480970081</v>
      </c>
      <c r="J54" s="2">
        <f>+IFERROR('Q8'!J55/'Q8'!J50*100-100,0)</f>
        <v>22.20051060078292</v>
      </c>
      <c r="K54" s="2">
        <f>+IFERROR('Q8'!K55/'Q8'!K50*100-100,0)</f>
        <v>8.4627354650263129</v>
      </c>
      <c r="L54" s="2">
        <f>+IFERROR('Q8'!L55/'Q8'!L50*100-100,0)</f>
        <v>-7.8807845599098414</v>
      </c>
      <c r="M54" s="2">
        <f>+IFERROR('Q8'!M55/'Q8'!M50*100-100,0)</f>
        <v>16.806607092590468</v>
      </c>
      <c r="N54" s="2">
        <f>+IFERROR('Q8'!N55/'Q8'!N50*100-100,0)</f>
        <v>16.576273585488636</v>
      </c>
      <c r="O54" s="2">
        <f>+IFERROR('Q8'!O55/'Q8'!O50*100-100,0)</f>
        <v>2.4112387142067604</v>
      </c>
      <c r="P54" s="2">
        <f>+IFERROR('Q8'!P55/'Q8'!P50*100-100,0)</f>
        <v>-1.923614356930571</v>
      </c>
      <c r="Q54" s="2">
        <f>+IFERROR('Q8'!Q55/'Q8'!Q50*100-100,0)</f>
        <v>21.641368521278579</v>
      </c>
      <c r="R54" s="2">
        <f>+IFERROR('Q8'!R55/'Q8'!R50*100-100,0)</f>
        <v>8.7346588563040655</v>
      </c>
      <c r="S54" s="2">
        <f>+IFERROR('Q8'!S55/'Q8'!S50*100-100,0)</f>
        <v>-2.4244695898251223</v>
      </c>
      <c r="T54" s="2">
        <f>+IFERROR('Q8'!T55/'Q8'!T50*100-100,0)</f>
        <v>81.440606891455616</v>
      </c>
      <c r="U54" s="23">
        <f>+IFERROR('Q8'!U55/'Q8'!U50*100-100,0)</f>
        <v>10.551632618780587</v>
      </c>
    </row>
    <row r="55" spans="1:21" x14ac:dyDescent="0.25">
      <c r="A55" s="95"/>
      <c r="B55" s="100"/>
      <c r="C55" s="19" t="s">
        <v>30</v>
      </c>
      <c r="D55" s="2">
        <f>+IFERROR('Q8'!D56/'Q8'!D51*100-100,0)</f>
        <v>5.9688700762776392</v>
      </c>
      <c r="E55" s="2">
        <f>+IFERROR('Q8'!E56/'Q8'!E51*100-100,0)</f>
        <v>11.431349277429064</v>
      </c>
      <c r="F55" s="2">
        <f>+IFERROR('Q8'!F56/'Q8'!F51*100-100,0)</f>
        <v>10.074020354291861</v>
      </c>
      <c r="G55" s="2">
        <f>+IFERROR('Q8'!G56/'Q8'!G51*100-100,0)</f>
        <v>-0.64232809873804797</v>
      </c>
      <c r="H55" s="2">
        <f>+IFERROR('Q8'!H56/'Q8'!H51*100-100,0)</f>
        <v>7.7636983001474533</v>
      </c>
      <c r="I55" s="2">
        <f>+IFERROR('Q8'!I56/'Q8'!I51*100-100,0)</f>
        <v>9.9774724978546345</v>
      </c>
      <c r="J55" s="2">
        <f>+IFERROR('Q8'!J56/'Q8'!J51*100-100,0)</f>
        <v>23.574104519009737</v>
      </c>
      <c r="K55" s="2">
        <f>+IFERROR('Q8'!K56/'Q8'!K51*100-100,0)</f>
        <v>7.7316225861520138</v>
      </c>
      <c r="L55" s="2">
        <f>+IFERROR('Q8'!L56/'Q8'!L51*100-100,0)</f>
        <v>-8.4021742467141394</v>
      </c>
      <c r="M55" s="2">
        <f>+IFERROR('Q8'!M56/'Q8'!M51*100-100,0)</f>
        <v>14.527985795585124</v>
      </c>
      <c r="N55" s="2">
        <f>+IFERROR('Q8'!N56/'Q8'!N51*100-100,0)</f>
        <v>9.1421701000908371</v>
      </c>
      <c r="O55" s="2">
        <f>+IFERROR('Q8'!O56/'Q8'!O51*100-100,0)</f>
        <v>6.9045661868932626</v>
      </c>
      <c r="P55" s="2">
        <f>+IFERROR('Q8'!P56/'Q8'!P51*100-100,0)</f>
        <v>2.271692392704395</v>
      </c>
      <c r="Q55" s="2">
        <f>+IFERROR('Q8'!Q56/'Q8'!Q51*100-100,0)</f>
        <v>21.747898484541281</v>
      </c>
      <c r="R55" s="2">
        <f>+IFERROR('Q8'!R56/'Q8'!R51*100-100,0)</f>
        <v>7.7915456589406489</v>
      </c>
      <c r="S55" s="2">
        <f>+IFERROR('Q8'!S56/'Q8'!S51*100-100,0)</f>
        <v>-4.1935557855428698</v>
      </c>
      <c r="T55" s="2">
        <f>+IFERROR('Q8'!T56/'Q8'!T51*100-100,0)</f>
        <v>34.78394760102347</v>
      </c>
      <c r="U55" s="23">
        <f>+IFERROR('Q8'!U56/'Q8'!U51*100-100,0)</f>
        <v>8.9778159018621579</v>
      </c>
    </row>
    <row r="56" spans="1:21" x14ac:dyDescent="0.25">
      <c r="A56" s="95"/>
      <c r="B56" s="101"/>
      <c r="C56" s="52" t="s">
        <v>31</v>
      </c>
      <c r="D56" s="20">
        <f>+IFERROR('Q8'!D57/'Q8'!D52*100-100,0)</f>
        <v>5.9993302764764564</v>
      </c>
      <c r="E56" s="20">
        <f>+IFERROR('Q8'!E57/'Q8'!E52*100-100,0)</f>
        <v>9.7379308637543858</v>
      </c>
      <c r="F56" s="20">
        <f>+IFERROR('Q8'!F57/'Q8'!F52*100-100,0)</f>
        <v>8.4989387091339239</v>
      </c>
      <c r="G56" s="20">
        <f>+IFERROR('Q8'!G57/'Q8'!G52*100-100,0)</f>
        <v>-2.109571203133882</v>
      </c>
      <c r="H56" s="20">
        <f>+IFERROR('Q8'!H57/'Q8'!H52*100-100,0)</f>
        <v>8.0074698807560196</v>
      </c>
      <c r="I56" s="20">
        <f>+IFERROR('Q8'!I57/'Q8'!I52*100-100,0)</f>
        <v>10.255634546407919</v>
      </c>
      <c r="J56" s="20">
        <f>+IFERROR('Q8'!J57/'Q8'!J52*100-100,0)</f>
        <v>23.917149529441346</v>
      </c>
      <c r="K56" s="20">
        <f>+IFERROR('Q8'!K57/'Q8'!K52*100-100,0)</f>
        <v>7.0050092209245065</v>
      </c>
      <c r="L56" s="20">
        <f>+IFERROR('Q8'!L57/'Q8'!L52*100-100,0)</f>
        <v>-6.7529867845526041</v>
      </c>
      <c r="M56" s="20">
        <f>+IFERROR('Q8'!M57/'Q8'!M52*100-100,0)</f>
        <v>10.617621404677863</v>
      </c>
      <c r="N56" s="20">
        <f>+IFERROR('Q8'!N57/'Q8'!N52*100-100,0)</f>
        <v>5.5353379005719745</v>
      </c>
      <c r="O56" s="20">
        <f>+IFERROR('Q8'!O57/'Q8'!O52*100-100,0)</f>
        <v>0.41498123667676623</v>
      </c>
      <c r="P56" s="20">
        <f>+IFERROR('Q8'!P57/'Q8'!P52*100-100,0)</f>
        <v>3.531626373164201</v>
      </c>
      <c r="Q56" s="20">
        <f>+IFERROR('Q8'!Q57/'Q8'!Q52*100-100,0)</f>
        <v>20.615600183583751</v>
      </c>
      <c r="R56" s="20">
        <f>+IFERROR('Q8'!R57/'Q8'!R52*100-100,0)</f>
        <v>6.8629855886289164</v>
      </c>
      <c r="S56" s="20">
        <f>+IFERROR('Q8'!S57/'Q8'!S52*100-100,0)</f>
        <v>-2.0652981697128752</v>
      </c>
      <c r="T56" s="20">
        <f>+IFERROR('Q8'!T57/'Q8'!T52*100-100,0)</f>
        <v>7.7140031232626853</v>
      </c>
      <c r="U56" s="24">
        <f>+IFERROR('Q8'!U57/'Q8'!U52*100-100,0)</f>
        <v>8.5031228386666555</v>
      </c>
    </row>
    <row r="57" spans="1:21" x14ac:dyDescent="0.25">
      <c r="A57" s="95"/>
      <c r="B57" s="51"/>
      <c r="C57" s="57" t="s">
        <v>51</v>
      </c>
      <c r="D57" s="34">
        <f>+IFERROR('Q8'!D58/'Q8'!D53*100-100,0)</f>
        <v>5.4802219594436679</v>
      </c>
      <c r="E57" s="34">
        <f>+IFERROR('Q8'!E58/'Q8'!E53*100-100,0)</f>
        <v>3.109417184780412</v>
      </c>
      <c r="F57" s="34">
        <f>+IFERROR('Q8'!F58/'Q8'!F53*100-100,0)</f>
        <v>-9.7707368918946713E-2</v>
      </c>
      <c r="G57" s="34">
        <f>+IFERROR('Q8'!G58/'Q8'!G53*100-100,0)</f>
        <v>2.9050133443685411</v>
      </c>
      <c r="H57" s="34">
        <f>+IFERROR('Q8'!H58/'Q8'!H53*100-100,0)</f>
        <v>8.7339987091907574</v>
      </c>
      <c r="I57" s="34">
        <f>+IFERROR('Q8'!I58/'Q8'!I53*100-100,0)</f>
        <v>23.844199379317189</v>
      </c>
      <c r="J57" s="34">
        <f>+IFERROR('Q8'!J58/'Q8'!J53*100-100,0)</f>
        <v>17.968662946126003</v>
      </c>
      <c r="K57" s="34">
        <f>+IFERROR('Q8'!K58/'Q8'!K53*100-100,0)</f>
        <v>5.1405412227845062</v>
      </c>
      <c r="L57" s="34">
        <f>+IFERROR('Q8'!L58/'Q8'!L53*100-100,0)</f>
        <v>16.940089558688911</v>
      </c>
      <c r="M57" s="34">
        <f>+IFERROR('Q8'!M58/'Q8'!M53*100-100,0)</f>
        <v>11.812445826099477</v>
      </c>
      <c r="N57" s="34">
        <f>+IFERROR('Q8'!N58/'Q8'!N53*100-100,0)</f>
        <v>15.945315964960955</v>
      </c>
      <c r="O57" s="34">
        <f>+IFERROR('Q8'!O58/'Q8'!O53*100-100,0)</f>
        <v>-6.2736410276660024</v>
      </c>
      <c r="P57" s="34">
        <f>+IFERROR('Q8'!P58/'Q8'!P53*100-100,0)</f>
        <v>9.0836563007213869</v>
      </c>
      <c r="Q57" s="34">
        <f>+IFERROR('Q8'!Q58/'Q8'!Q53*100-100,0)</f>
        <v>5.23651269171161</v>
      </c>
      <c r="R57" s="34">
        <f>+IFERROR('Q8'!R58/'Q8'!R53*100-100,0)</f>
        <v>3.3395261464500123</v>
      </c>
      <c r="S57" s="34">
        <f>+IFERROR('Q8'!S58/'Q8'!S53*100-100,0)</f>
        <v>15.461319299251542</v>
      </c>
      <c r="T57" s="34">
        <f>+IFERROR('Q8'!T58/'Q8'!T53*100-100,0)</f>
        <v>87.927588714224072</v>
      </c>
      <c r="U57" s="34">
        <f>+IFERROR('Q8'!U58/'Q8'!U53*100-100,0)</f>
        <v>6.3003703962862545</v>
      </c>
    </row>
    <row r="58" spans="1:21" x14ac:dyDescent="0.25">
      <c r="A58" s="95"/>
      <c r="B58" s="99">
        <v>2013</v>
      </c>
      <c r="C58" s="61" t="s">
        <v>28</v>
      </c>
      <c r="D58" s="21">
        <f>+IFERROR('Q8'!D59/'Q8'!D54*100-100,0)</f>
        <v>6.5831806788863929</v>
      </c>
      <c r="E58" s="21">
        <f>+IFERROR('Q8'!E59/'Q8'!E54*100-100,0)</f>
        <v>4.5324299094603191</v>
      </c>
      <c r="F58" s="21">
        <f>+IFERROR('Q8'!F59/'Q8'!F54*100-100,0)</f>
        <v>-2.1825080509602515</v>
      </c>
      <c r="G58" s="21">
        <f>+IFERROR('Q8'!G59/'Q8'!G54*100-100,0)</f>
        <v>-0.97153192472632099</v>
      </c>
      <c r="H58" s="21">
        <f>+IFERROR('Q8'!H59/'Q8'!H54*100-100,0)</f>
        <v>9.8379496816544787</v>
      </c>
      <c r="I58" s="21">
        <f>+IFERROR('Q8'!I59/'Q8'!I54*100-100,0)</f>
        <v>20.144735678065587</v>
      </c>
      <c r="J58" s="21">
        <f>+IFERROR('Q8'!J59/'Q8'!J54*100-100,0)</f>
        <v>21.600839853863278</v>
      </c>
      <c r="K58" s="21">
        <f>+IFERROR('Q8'!K59/'Q8'!K54*100-100,0)</f>
        <v>4.6175372134426453</v>
      </c>
      <c r="L58" s="21">
        <f>+IFERROR('Q8'!L59/'Q8'!L54*100-100,0)</f>
        <v>8.241925395780612</v>
      </c>
      <c r="M58" s="21">
        <f>+IFERROR('Q8'!M59/'Q8'!M54*100-100,0)</f>
        <v>20.497407655157772</v>
      </c>
      <c r="N58" s="21">
        <f>+IFERROR('Q8'!N59/'Q8'!N54*100-100,0)</f>
        <v>8.9623112868467274</v>
      </c>
      <c r="O58" s="21">
        <f>+IFERROR('Q8'!O59/'Q8'!O54*100-100,0)</f>
        <v>-12.645495436994253</v>
      </c>
      <c r="P58" s="21">
        <f>+IFERROR('Q8'!P59/'Q8'!P54*100-100,0)</f>
        <v>15.461235035353454</v>
      </c>
      <c r="Q58" s="21">
        <f>+IFERROR('Q8'!Q59/'Q8'!Q54*100-100,0)</f>
        <v>10.447684138542797</v>
      </c>
      <c r="R58" s="21">
        <f>+IFERROR('Q8'!R59/'Q8'!R54*100-100,0)</f>
        <v>2.1385840751358103</v>
      </c>
      <c r="S58" s="21">
        <f>+IFERROR('Q8'!S59/'Q8'!S54*100-100,0)</f>
        <v>19.542464159453715</v>
      </c>
      <c r="T58" s="21">
        <f>+IFERROR('Q8'!T59/'Q8'!T54*100-100,0)</f>
        <v>-25.314303112620834</v>
      </c>
      <c r="U58" s="22">
        <f>+IFERROR('Q8'!U59/'Q8'!U54*100-100,0)</f>
        <v>12.294074177048799</v>
      </c>
    </row>
    <row r="59" spans="1:21" x14ac:dyDescent="0.25">
      <c r="A59" s="95"/>
      <c r="B59" s="100"/>
      <c r="C59" s="19" t="s">
        <v>29</v>
      </c>
      <c r="D59" s="2">
        <f>+IFERROR('Q8'!D60/'Q8'!D55*100-100,0)</f>
        <v>6.0607978816393739</v>
      </c>
      <c r="E59" s="2">
        <f>+IFERROR('Q8'!E60/'Q8'!E55*100-100,0)</f>
        <v>3.8051766160409386</v>
      </c>
      <c r="F59" s="2">
        <f>+IFERROR('Q8'!F60/'Q8'!F55*100-100,0)</f>
        <v>0.36618819216886322</v>
      </c>
      <c r="G59" s="2">
        <f>+IFERROR('Q8'!G60/'Q8'!G55*100-100,0)</f>
        <v>1.5849816208231289</v>
      </c>
      <c r="H59" s="2">
        <f>+IFERROR('Q8'!H60/'Q8'!H55*100-100,0)</f>
        <v>9.6692840632310606</v>
      </c>
      <c r="I59" s="2">
        <f>+IFERROR('Q8'!I60/'Q8'!I55*100-100,0)</f>
        <v>25.443508526361299</v>
      </c>
      <c r="J59" s="2">
        <f>+IFERROR('Q8'!J60/'Q8'!J55*100-100,0)</f>
        <v>19.911558934464324</v>
      </c>
      <c r="K59" s="2">
        <f>+IFERROR('Q8'!K60/'Q8'!K55*100-100,0)</f>
        <v>4.6339788736897418</v>
      </c>
      <c r="L59" s="2">
        <f>+IFERROR('Q8'!L60/'Q8'!L55*100-100,0)</f>
        <v>14.514216551329184</v>
      </c>
      <c r="M59" s="2">
        <f>+IFERROR('Q8'!M60/'Q8'!M55*100-100,0)</f>
        <v>19.384428767295802</v>
      </c>
      <c r="N59" s="2">
        <f>+IFERROR('Q8'!N60/'Q8'!N55*100-100,0)</f>
        <v>13.738895389312702</v>
      </c>
      <c r="O59" s="2">
        <f>+IFERROR('Q8'!O60/'Q8'!O55*100-100,0)</f>
        <v>-7.1572209196209826</v>
      </c>
      <c r="P59" s="2">
        <f>+IFERROR('Q8'!P60/'Q8'!P55*100-100,0)</f>
        <v>13.73732920056203</v>
      </c>
      <c r="Q59" s="2">
        <f>+IFERROR('Q8'!Q60/'Q8'!Q55*100-100,0)</f>
        <v>7.5467620456319793</v>
      </c>
      <c r="R59" s="2">
        <f>+IFERROR('Q8'!R60/'Q8'!R55*100-100,0)</f>
        <v>2.2449933969142677</v>
      </c>
      <c r="S59" s="2">
        <f>+IFERROR('Q8'!S60/'Q8'!S55*100-100,0)</f>
        <v>11.028277483900339</v>
      </c>
      <c r="T59" s="2">
        <f>+IFERROR('Q8'!T60/'Q8'!T55*100-100,0)</f>
        <v>64.569162384587997</v>
      </c>
      <c r="U59" s="23">
        <f>+IFERROR('Q8'!U60/'Q8'!U55*100-100,0)</f>
        <v>9.9917341039444523</v>
      </c>
    </row>
    <row r="60" spans="1:21" x14ac:dyDescent="0.25">
      <c r="A60" s="95"/>
      <c r="B60" s="100"/>
      <c r="C60" s="19" t="s">
        <v>30</v>
      </c>
      <c r="D60" s="2">
        <f>+IFERROR('Q8'!D61/'Q8'!D56*100-100,0)</f>
        <v>5.4476559821251129</v>
      </c>
      <c r="E60" s="2">
        <f>+IFERROR('Q8'!E61/'Q8'!E56*100-100,0)</f>
        <v>3.1803339554045351</v>
      </c>
      <c r="F60" s="2">
        <f>+IFERROR('Q8'!F61/'Q8'!F56*100-100,0)</f>
        <v>1.2956662712954028</v>
      </c>
      <c r="G60" s="2">
        <f>+IFERROR('Q8'!G61/'Q8'!G56*100-100,0)</f>
        <v>3.5113685210765198</v>
      </c>
      <c r="H60" s="2">
        <f>+IFERROR('Q8'!H61/'Q8'!H56*100-100,0)</f>
        <v>9.00808745474923</v>
      </c>
      <c r="I60" s="2">
        <f>+IFERROR('Q8'!I61/'Q8'!I56*100-100,0)</f>
        <v>22.124098800880773</v>
      </c>
      <c r="J60" s="2">
        <f>+IFERROR('Q8'!J61/'Q8'!J56*100-100,0)</f>
        <v>17.987064069820448</v>
      </c>
      <c r="K60" s="2">
        <f>+IFERROR('Q8'!K61/'Q8'!K56*100-100,0)</f>
        <v>5.0036501418240249</v>
      </c>
      <c r="L60" s="2">
        <f>+IFERROR('Q8'!L61/'Q8'!L56*100-100,0)</f>
        <v>17.701446398007434</v>
      </c>
      <c r="M60" s="2">
        <f>+IFERROR('Q8'!M61/'Q8'!M56*100-100,0)</f>
        <v>12.615538529034851</v>
      </c>
      <c r="N60" s="2">
        <f>+IFERROR('Q8'!N61/'Q8'!N56*100-100,0)</f>
        <v>16.889614407811578</v>
      </c>
      <c r="O60" s="2">
        <f>+IFERROR('Q8'!O61/'Q8'!O56*100-100,0)</f>
        <v>-8.0895447307920563</v>
      </c>
      <c r="P60" s="2">
        <f>+IFERROR('Q8'!P61/'Q8'!P56*100-100,0)</f>
        <v>8.4552688967672651</v>
      </c>
      <c r="Q60" s="2">
        <f>+IFERROR('Q8'!Q61/'Q8'!Q56*100-100,0)</f>
        <v>5.0852358945855087</v>
      </c>
      <c r="R60" s="2">
        <f>+IFERROR('Q8'!R61/'Q8'!R56*100-100,0)</f>
        <v>3.0468639061154335</v>
      </c>
      <c r="S60" s="2">
        <f>+IFERROR('Q8'!S61/'Q8'!S56*100-100,0)</f>
        <v>13.287069099964441</v>
      </c>
      <c r="T60" s="2">
        <f>+IFERROR('Q8'!T61/'Q8'!T56*100-100,0)</f>
        <v>1273.1761292594354</v>
      </c>
      <c r="U60" s="23">
        <f>+IFERROR('Q8'!U61/'Q8'!U56*100-100,0)</f>
        <v>3.7665365140899638</v>
      </c>
    </row>
    <row r="61" spans="1:21" x14ac:dyDescent="0.25">
      <c r="A61" s="95"/>
      <c r="B61" s="101"/>
      <c r="C61" s="52" t="s">
        <v>31</v>
      </c>
      <c r="D61" s="20">
        <f>+IFERROR('Q8'!D62/'Q8'!D57*100-100,0)</f>
        <v>4.7968605777442264</v>
      </c>
      <c r="E61" s="20">
        <f>+IFERROR('Q8'!E62/'Q8'!E57*100-100,0)</f>
        <v>2.38024070293379</v>
      </c>
      <c r="F61" s="20">
        <f>+IFERROR('Q8'!F62/'Q8'!F57*100-100,0)</f>
        <v>-0.83284022305288374</v>
      </c>
      <c r="G61" s="20">
        <f>+IFERROR('Q8'!G62/'Q8'!G57*100-100,0)</f>
        <v>4.0659313183615211</v>
      </c>
      <c r="H61" s="20">
        <f>+IFERROR('Q8'!H62/'Q8'!H57*100-100,0)</f>
        <v>7.8571077439421941</v>
      </c>
      <c r="I61" s="20">
        <f>+IFERROR('Q8'!I62/'Q8'!I57*100-100,0)</f>
        <v>25.29389948673068</v>
      </c>
      <c r="J61" s="20">
        <f>+IFERROR('Q8'!J62/'Q8'!J57*100-100,0)</f>
        <v>16.14847992449657</v>
      </c>
      <c r="K61" s="20">
        <f>+IFERROR('Q8'!K62/'Q8'!K57*100-100,0)</f>
        <v>5.6106703012080317</v>
      </c>
      <c r="L61" s="20">
        <f>+IFERROR('Q8'!L62/'Q8'!L57*100-100,0)</f>
        <v>18.299683461504188</v>
      </c>
      <c r="M61" s="20">
        <f>+IFERROR('Q8'!M62/'Q8'!M57*100-100,0)</f>
        <v>5.7526702989175078</v>
      </c>
      <c r="N61" s="20">
        <f>+IFERROR('Q8'!N62/'Q8'!N57*100-100,0)</f>
        <v>18.040357166688409</v>
      </c>
      <c r="O61" s="20">
        <f>+IFERROR('Q8'!O62/'Q8'!O57*100-100,0)</f>
        <v>-3.3535144404296346</v>
      </c>
      <c r="P61" s="20">
        <f>+IFERROR('Q8'!P62/'Q8'!P57*100-100,0)</f>
        <v>6.2757467993915412</v>
      </c>
      <c r="Q61" s="20">
        <f>+IFERROR('Q8'!Q62/'Q8'!Q57*100-100,0)</f>
        <v>2.9999331025370992</v>
      </c>
      <c r="R61" s="20">
        <f>+IFERROR('Q8'!R62/'Q8'!R57*100-100,0)</f>
        <v>4.3797921041589092</v>
      </c>
      <c r="S61" s="20">
        <f>+IFERROR('Q8'!S62/'Q8'!S57*100-100,0)</f>
        <v>18.307684519590921</v>
      </c>
      <c r="T61" s="20">
        <f>+IFERROR('Q8'!T62/'Q8'!T57*100-100,0)</f>
        <v>14.794753581561082</v>
      </c>
      <c r="U61" s="24">
        <f>+IFERROR('Q8'!U62/'Q8'!U57*100-100,0)</f>
        <v>4.8830612968838949</v>
      </c>
    </row>
    <row r="62" spans="1:21" x14ac:dyDescent="0.25">
      <c r="A62" s="95"/>
      <c r="B62" s="51"/>
      <c r="C62" s="57" t="s">
        <v>51</v>
      </c>
      <c r="D62" s="34">
        <f>+IFERROR('Q8'!D63/'Q8'!D58*100-100,0)</f>
        <v>5.7765047304627615</v>
      </c>
      <c r="E62" s="34">
        <f>+IFERROR('Q8'!E63/'Q8'!E58*100-100,0)</f>
        <v>31.810356006189352</v>
      </c>
      <c r="F62" s="34">
        <f>+IFERROR('Q8'!F63/'Q8'!F58*100-100,0)</f>
        <v>-5.2322899169257937</v>
      </c>
      <c r="G62" s="34">
        <f>+IFERROR('Q8'!G63/'Q8'!G58*100-100,0)</f>
        <v>0.43806816222262057</v>
      </c>
      <c r="H62" s="34">
        <f>+IFERROR('Q8'!H63/'Q8'!H58*100-100,0)</f>
        <v>-9.7386787162470227</v>
      </c>
      <c r="I62" s="34">
        <f>+IFERROR('Q8'!I63/'Q8'!I58*100-100,0)</f>
        <v>3.2651627906409999</v>
      </c>
      <c r="J62" s="34">
        <f>+IFERROR('Q8'!J63/'Q8'!J58*100-100,0)</f>
        <v>-2.17017720021218</v>
      </c>
      <c r="K62" s="34">
        <f>+IFERROR('Q8'!K63/'Q8'!K58*100-100,0)</f>
        <v>21.563308594880468</v>
      </c>
      <c r="L62" s="34">
        <f>+IFERROR('Q8'!L63/'Q8'!L58*100-100,0)</f>
        <v>18.688751596187345</v>
      </c>
      <c r="M62" s="34">
        <f>+IFERROR('Q8'!M63/'Q8'!M58*100-100,0)</f>
        <v>12.725512351036741</v>
      </c>
      <c r="N62" s="34">
        <f>+IFERROR('Q8'!N63/'Q8'!N58*100-100,0)</f>
        <v>10.32382392113837</v>
      </c>
      <c r="O62" s="34">
        <f>+IFERROR('Q8'!O63/'Q8'!O58*100-100,0)</f>
        <v>-13.08192655367651</v>
      </c>
      <c r="P62" s="34">
        <f>+IFERROR('Q8'!P63/'Q8'!P58*100-100,0)</f>
        <v>9.0389685023923647</v>
      </c>
      <c r="Q62" s="34">
        <f>+IFERROR('Q8'!Q63/'Q8'!Q58*100-100,0)</f>
        <v>-3.3010731269655196</v>
      </c>
      <c r="R62" s="34">
        <f>+IFERROR('Q8'!R63/'Q8'!R58*100-100,0)</f>
        <v>16.995126791729589</v>
      </c>
      <c r="S62" s="34">
        <f>+IFERROR('Q8'!S63/'Q8'!S58*100-100,0)</f>
        <v>17.049480277885436</v>
      </c>
      <c r="T62" s="34">
        <f>+IFERROR('Q8'!T63/'Q8'!T58*100-100,0)</f>
        <v>65.127538867298796</v>
      </c>
      <c r="U62" s="34">
        <f>+IFERROR('Q8'!U63/'Q8'!U58*100-100,0)</f>
        <v>0.14558960109329178</v>
      </c>
    </row>
    <row r="63" spans="1:21" x14ac:dyDescent="0.25">
      <c r="A63" s="95"/>
      <c r="B63" s="99">
        <v>2014</v>
      </c>
      <c r="C63" s="61" t="s">
        <v>28</v>
      </c>
      <c r="D63" s="21">
        <f>+IFERROR('Q8'!D64/'Q8'!D59*100-100,0)</f>
        <v>5.7081252636352673</v>
      </c>
      <c r="E63" s="21">
        <f>+IFERROR('Q8'!E64/'Q8'!E59*100-100,0)</f>
        <v>37.952593744647032</v>
      </c>
      <c r="F63" s="21">
        <f>+IFERROR('Q8'!F64/'Q8'!F59*100-100,0)</f>
        <v>-9.7482307044213314</v>
      </c>
      <c r="G63" s="21">
        <f>+IFERROR('Q8'!G64/'Q8'!G59*100-100,0)</f>
        <v>-4.9727492101640109</v>
      </c>
      <c r="H63" s="21">
        <f>+IFERROR('Q8'!H64/'Q8'!H59*100-100,0)</f>
        <v>-12.803190457629668</v>
      </c>
      <c r="I63" s="21">
        <f>+IFERROR('Q8'!I64/'Q8'!I59*100-100,0)</f>
        <v>12.445496734043672</v>
      </c>
      <c r="J63" s="21">
        <f>+IFERROR('Q8'!J64/'Q8'!J59*100-100,0)</f>
        <v>1.2959232754224104</v>
      </c>
      <c r="K63" s="21">
        <f>+IFERROR('Q8'!K64/'Q8'!K59*100-100,0)</f>
        <v>17.286313908612883</v>
      </c>
      <c r="L63" s="21">
        <f>+IFERROR('Q8'!L64/'Q8'!L59*100-100,0)</f>
        <v>56.975636591600306</v>
      </c>
      <c r="M63" s="21">
        <f>+IFERROR('Q8'!M64/'Q8'!M59*100-100,0)</f>
        <v>12.930961518445457</v>
      </c>
      <c r="N63" s="21">
        <f>+IFERROR('Q8'!N64/'Q8'!N59*100-100,0)</f>
        <v>14.997760845286194</v>
      </c>
      <c r="O63" s="21">
        <f>+IFERROR('Q8'!O64/'Q8'!O59*100-100,0)</f>
        <v>-1.9879194655674723</v>
      </c>
      <c r="P63" s="21">
        <f>+IFERROR('Q8'!P64/'Q8'!P59*100-100,0)</f>
        <v>9.595581724413023</v>
      </c>
      <c r="Q63" s="21">
        <f>+IFERROR('Q8'!Q64/'Q8'!Q59*100-100,0)</f>
        <v>-2.2676445926372963</v>
      </c>
      <c r="R63" s="21">
        <f>+IFERROR('Q8'!R64/'Q8'!R59*100-100,0)</f>
        <v>24.510970301462919</v>
      </c>
      <c r="S63" s="21">
        <f>+IFERROR('Q8'!S64/'Q8'!S59*100-100,0)</f>
        <v>14.090844790990204</v>
      </c>
      <c r="T63" s="21">
        <f>+IFERROR('Q8'!T64/'Q8'!T59*100-100,0)</f>
        <v>2296.8306120195548</v>
      </c>
      <c r="U63" s="22">
        <f>+IFERROR('Q8'!U64/'Q8'!U59*100-100,0)</f>
        <v>-8.3882648909933408</v>
      </c>
    </row>
    <row r="64" spans="1:21" x14ac:dyDescent="0.25">
      <c r="A64" s="95"/>
      <c r="B64" s="100"/>
      <c r="C64" s="19" t="s">
        <v>29</v>
      </c>
      <c r="D64" s="2">
        <f>+IFERROR('Q8'!D65/'Q8'!D60*100-100,0)</f>
        <v>6.003785391591407</v>
      </c>
      <c r="E64" s="2">
        <f>+IFERROR('Q8'!E65/'Q8'!E60*100-100,0)</f>
        <v>31.433107942961783</v>
      </c>
      <c r="F64" s="2">
        <f>+IFERROR('Q8'!F65/'Q8'!F60*100-100,0)</f>
        <v>-8.2467556805576265</v>
      </c>
      <c r="G64" s="2">
        <f>+IFERROR('Q8'!G65/'Q8'!G60*100-100,0)</f>
        <v>-0.22237722063249521</v>
      </c>
      <c r="H64" s="2">
        <f>+IFERROR('Q8'!H65/'Q8'!H60*100-100,0)</f>
        <v>-13.099289063155084</v>
      </c>
      <c r="I64" s="2">
        <f>+IFERROR('Q8'!I65/'Q8'!I60*100-100,0)</f>
        <v>0.1630988645698892</v>
      </c>
      <c r="J64" s="2">
        <f>+IFERROR('Q8'!J65/'Q8'!J60*100-100,0)</f>
        <v>-9.8375638428305052</v>
      </c>
      <c r="K64" s="2">
        <f>+IFERROR('Q8'!K65/'Q8'!K60*100-100,0)</f>
        <v>18.44374912041846</v>
      </c>
      <c r="L64" s="2">
        <f>+IFERROR('Q8'!L65/'Q8'!L60*100-100,0)</f>
        <v>59.745603828691202</v>
      </c>
      <c r="M64" s="2">
        <f>+IFERROR('Q8'!M65/'Q8'!M60*100-100,0)</f>
        <v>13.61219970044057</v>
      </c>
      <c r="N64" s="2">
        <f>+IFERROR('Q8'!N65/'Q8'!N60*100-100,0)</f>
        <v>10.587385972803688</v>
      </c>
      <c r="O64" s="2">
        <f>+IFERROR('Q8'!O65/'Q8'!O60*100-100,0)</f>
        <v>-8.0536329370132478</v>
      </c>
      <c r="P64" s="2">
        <f>+IFERROR('Q8'!P65/'Q8'!P60*100-100,0)</f>
        <v>9.5261799842920141</v>
      </c>
      <c r="Q64" s="2">
        <f>+IFERROR('Q8'!Q65/'Q8'!Q60*100-100,0)</f>
        <v>-3.0828199246522132</v>
      </c>
      <c r="R64" s="2">
        <f>+IFERROR('Q8'!R65/'Q8'!R60*100-100,0)</f>
        <v>19.061124916389076</v>
      </c>
      <c r="S64" s="2">
        <f>+IFERROR('Q8'!S65/'Q8'!S60*100-100,0)</f>
        <v>25.220786016781105</v>
      </c>
      <c r="T64" s="2">
        <f>+IFERROR('Q8'!T65/'Q8'!T60*100-100,0)</f>
        <v>1050.0375213300911</v>
      </c>
      <c r="U64" s="23">
        <f>+IFERROR('Q8'!U65/'Q8'!U60*100-100,0)</f>
        <v>-6.6632196649422042</v>
      </c>
    </row>
    <row r="65" spans="1:21" x14ac:dyDescent="0.25">
      <c r="A65" s="95"/>
      <c r="B65" s="100"/>
      <c r="C65" s="19" t="s">
        <v>30</v>
      </c>
      <c r="D65" s="2">
        <f>+IFERROR('Q8'!D66/'Q8'!D61*100-100,0)</f>
        <v>5.9705478716395959</v>
      </c>
      <c r="E65" s="2">
        <f>+IFERROR('Q8'!E66/'Q8'!E61*100-100,0)</f>
        <v>31.44197309993541</v>
      </c>
      <c r="F65" s="2">
        <f>+IFERROR('Q8'!F66/'Q8'!F61*100-100,0)</f>
        <v>-5.3750464099795749</v>
      </c>
      <c r="G65" s="2">
        <f>+IFERROR('Q8'!G66/'Q8'!G61*100-100,0)</f>
        <v>2.282386532680647</v>
      </c>
      <c r="H65" s="2">
        <f>+IFERROR('Q8'!H66/'Q8'!H61*100-100,0)</f>
        <v>-11.780629232839885</v>
      </c>
      <c r="I65" s="2">
        <f>+IFERROR('Q8'!I66/'Q8'!I61*100-100,0)</f>
        <v>1.8817716073144481</v>
      </c>
      <c r="J65" s="2">
        <f>+IFERROR('Q8'!J66/'Q8'!J61*100-100,0)</f>
        <v>-3.0849705927677036</v>
      </c>
      <c r="K65" s="2">
        <f>+IFERROR('Q8'!K66/'Q8'!K61*100-100,0)</f>
        <v>21.083397542567226</v>
      </c>
      <c r="L65" s="2">
        <f>+IFERROR('Q8'!L66/'Q8'!L61*100-100,0)</f>
        <v>18.204158957220201</v>
      </c>
      <c r="M65" s="2">
        <f>+IFERROR('Q8'!M66/'Q8'!M61*100-100,0)</f>
        <v>12.567144132546602</v>
      </c>
      <c r="N65" s="2">
        <f>+IFERROR('Q8'!N66/'Q8'!N61*100-100,0)</f>
        <v>10.835789762387279</v>
      </c>
      <c r="O65" s="2">
        <f>+IFERROR('Q8'!O66/'Q8'!O61*100-100,0)</f>
        <v>-21.291913508156327</v>
      </c>
      <c r="P65" s="2">
        <f>+IFERROR('Q8'!P66/'Q8'!P61*100-100,0)</f>
        <v>9.4319199473720658</v>
      </c>
      <c r="Q65" s="2">
        <f>+IFERROR('Q8'!Q66/'Q8'!Q61*100-100,0)</f>
        <v>-3.5037576158731127</v>
      </c>
      <c r="R65" s="2">
        <f>+IFERROR('Q8'!R66/'Q8'!R61*100-100,0)</f>
        <v>16.020454337780279</v>
      </c>
      <c r="S65" s="2">
        <f>+IFERROR('Q8'!S66/'Q8'!S61*100-100,0)</f>
        <v>26.281982675566823</v>
      </c>
      <c r="T65" s="2">
        <f>+IFERROR('Q8'!T66/'Q8'!T61*100-100,0)</f>
        <v>19.412085556057406</v>
      </c>
      <c r="U65" s="23">
        <f>+IFERROR('Q8'!U66/'Q8'!U61*100-100,0)</f>
        <v>1.900522673981996</v>
      </c>
    </row>
    <row r="66" spans="1:21" x14ac:dyDescent="0.25">
      <c r="A66" s="95"/>
      <c r="B66" s="101"/>
      <c r="C66" s="52" t="s">
        <v>31</v>
      </c>
      <c r="D66" s="20">
        <f>+IFERROR('Q8'!D67/'Q8'!D62*100-100,0)</f>
        <v>5.4734156816108452</v>
      </c>
      <c r="E66" s="20">
        <f>+IFERROR('Q8'!E67/'Q8'!E62*100-100,0)</f>
        <v>30.658927464637571</v>
      </c>
      <c r="F66" s="20">
        <f>+IFERROR('Q8'!F67/'Q8'!F62*100-100,0)</f>
        <v>-2.4757429900539023</v>
      </c>
      <c r="G66" s="20">
        <f>+IFERROR('Q8'!G67/'Q8'!G62*100-100,0)</f>
        <v>0.67099999999997806</v>
      </c>
      <c r="H66" s="20">
        <f>+IFERROR('Q8'!H67/'Q8'!H62*100-100,0)</f>
        <v>-5.9797612434442442</v>
      </c>
      <c r="I66" s="20">
        <f>+IFERROR('Q8'!I67/'Q8'!I62*100-100,0)</f>
        <v>3.5979524433576131</v>
      </c>
      <c r="J66" s="20">
        <f>+IFERROR('Q8'!J67/'Q8'!J62*100-100,0)</f>
        <v>1.3918770188864187</v>
      </c>
      <c r="K66" s="20">
        <f>+IFERROR('Q8'!K67/'Q8'!K62*100-100,0)</f>
        <v>24.416038564408211</v>
      </c>
      <c r="L66" s="20">
        <f>+IFERROR('Q8'!L67/'Q8'!L62*100-100,0)</f>
        <v>0.93026448604447864</v>
      </c>
      <c r="M66" s="20">
        <f>+IFERROR('Q8'!M67/'Q8'!M62*100-100,0)</f>
        <v>12.332710332875934</v>
      </c>
      <c r="N66" s="20">
        <f>+IFERROR('Q8'!N67/'Q8'!N62*100-100,0)</f>
        <v>8.7800000000000153</v>
      </c>
      <c r="O66" s="20">
        <f>+IFERROR('Q8'!O67/'Q8'!O62*100-100,0)</f>
        <v>-11.193198111767018</v>
      </c>
      <c r="P66" s="20">
        <f>+IFERROR('Q8'!P67/'Q8'!P62*100-100,0)</f>
        <v>8.4351799538861911</v>
      </c>
      <c r="Q66" s="20">
        <f>+IFERROR('Q8'!Q67/'Q8'!Q62*100-100,0)</f>
        <v>-3.520025984420343</v>
      </c>
      <c r="R66" s="20">
        <f>+IFERROR('Q8'!R67/'Q8'!R62*100-100,0)</f>
        <v>15.026610808307169</v>
      </c>
      <c r="S66" s="20">
        <f>+IFERROR('Q8'!S67/'Q8'!S62*100-100,0)</f>
        <v>7.4983954372278276</v>
      </c>
      <c r="T66" s="20">
        <f>+IFERROR('Q8'!T67/'Q8'!T62*100-100,0)</f>
        <v>4.1561954267412347</v>
      </c>
      <c r="U66" s="24">
        <f>+IFERROR('Q8'!U67/'Q8'!U62*100-100,0)</f>
        <v>4.6557235631555329</v>
      </c>
    </row>
    <row r="67" spans="1:21" x14ac:dyDescent="0.25">
      <c r="A67" s="95"/>
      <c r="B67" s="51"/>
      <c r="C67" s="57" t="s">
        <v>51</v>
      </c>
      <c r="D67" s="34">
        <f>+IFERROR('Q8'!D68/'Q8'!D63*100-100,0)</f>
        <v>1.9363412947402452</v>
      </c>
      <c r="E67" s="34">
        <f>+IFERROR('Q8'!E68/'Q8'!E63*100-100,0)</f>
        <v>15.177363633063635</v>
      </c>
      <c r="F67" s="34">
        <f>+IFERROR('Q8'!F68/'Q8'!F63*100-100,0)</f>
        <v>12.9199593659187</v>
      </c>
      <c r="G67" s="34">
        <f>+IFERROR('Q8'!G68/'Q8'!G63*100-100,0)</f>
        <v>5.3560843261717395</v>
      </c>
      <c r="H67" s="34">
        <f>+IFERROR('Q8'!H68/'Q8'!H63*100-100,0)</f>
        <v>10.762096833402367</v>
      </c>
      <c r="I67" s="34">
        <f>+IFERROR('Q8'!I68/'Q8'!I63*100-100,0)</f>
        <v>10.056894501452376</v>
      </c>
      <c r="J67" s="34">
        <f>+IFERROR('Q8'!J68/'Q8'!J63*100-100,0)</f>
        <v>-13.362325108047429</v>
      </c>
      <c r="K67" s="34">
        <f>+IFERROR('Q8'!K68/'Q8'!K63*100-100,0)</f>
        <v>-0.32159277422928767</v>
      </c>
      <c r="L67" s="34">
        <f>+IFERROR('Q8'!L68/'Q8'!L63*100-100,0)</f>
        <v>3.9530954474452216</v>
      </c>
      <c r="M67" s="34">
        <f>+IFERROR('Q8'!M68/'Q8'!M63*100-100,0)</f>
        <v>7.7881700425153468</v>
      </c>
      <c r="N67" s="34">
        <f>+IFERROR('Q8'!N68/'Q8'!N63*100-100,0)</f>
        <v>-0.96606342236253795</v>
      </c>
      <c r="O67" s="34">
        <f>+IFERROR('Q8'!O68/'Q8'!O63*100-100,0)</f>
        <v>29.559051970158947</v>
      </c>
      <c r="P67" s="34">
        <f>+IFERROR('Q8'!P68/'Q8'!P63*100-100,0)</f>
        <v>-0.87476099952375819</v>
      </c>
      <c r="Q67" s="34">
        <f>+IFERROR('Q8'!Q68/'Q8'!Q63*100-100,0)</f>
        <v>-0.23049955849006665</v>
      </c>
      <c r="R67" s="34">
        <f>+IFERROR('Q8'!R68/'Q8'!R63*100-100,0)</f>
        <v>-6.7519144133738109</v>
      </c>
      <c r="S67" s="34">
        <f>+IFERROR('Q8'!S68/'Q8'!S63*100-100,0)</f>
        <v>-19.775524469590991</v>
      </c>
      <c r="T67" s="34">
        <f>+IFERROR('Q8'!T68/'Q8'!T63*100-100,0)</f>
        <v>2.9753602279066058</v>
      </c>
      <c r="U67" s="34">
        <f>+IFERROR('Q8'!U68/'Q8'!U63*100-100,0)</f>
        <v>4.1146490574341072</v>
      </c>
    </row>
    <row r="68" spans="1:21" x14ac:dyDescent="0.25">
      <c r="A68" s="95"/>
      <c r="B68" s="99">
        <v>2015</v>
      </c>
      <c r="C68" s="61" t="s">
        <v>28</v>
      </c>
      <c r="D68" s="21">
        <f>+IFERROR('Q8'!D69/'Q8'!D64*100-100,0)</f>
        <v>1.2075320606256668</v>
      </c>
      <c r="E68" s="21">
        <f>+IFERROR('Q8'!E69/'Q8'!E64*100-100,0)</f>
        <v>20.967361497989032</v>
      </c>
      <c r="F68" s="21">
        <f>+IFERROR('Q8'!F69/'Q8'!F64*100-100,0)</f>
        <v>16.096338542846752</v>
      </c>
      <c r="G68" s="21">
        <f>+IFERROR('Q8'!G69/'Q8'!G64*100-100,0)</f>
        <v>5.3776845210143449</v>
      </c>
      <c r="H68" s="21">
        <f>+IFERROR('Q8'!H69/'Q8'!H64*100-100,0)</f>
        <v>24.989320999218407</v>
      </c>
      <c r="I68" s="21">
        <f>+IFERROR('Q8'!I69/'Q8'!I64*100-100,0)</f>
        <v>5.9272929516435084</v>
      </c>
      <c r="J68" s="21">
        <f>+IFERROR('Q8'!J69/'Q8'!J64*100-100,0)</f>
        <v>-24.009872804525756</v>
      </c>
      <c r="K68" s="21">
        <f>+IFERROR('Q8'!K69/'Q8'!K64*100-100,0)</f>
        <v>6.5007449333507168</v>
      </c>
      <c r="L68" s="21">
        <f>+IFERROR('Q8'!L69/'Q8'!L64*100-100,0)</f>
        <v>7.9045074334258771</v>
      </c>
      <c r="M68" s="21">
        <f>+IFERROR('Q8'!M69/'Q8'!M64*100-100,0)</f>
        <v>6.0380632597025965</v>
      </c>
      <c r="N68" s="21">
        <f>+IFERROR('Q8'!N69/'Q8'!N64*100-100,0)</f>
        <v>-3.4673946540642362</v>
      </c>
      <c r="O68" s="21">
        <f>+IFERROR('Q8'!O69/'Q8'!O64*100-100,0)</f>
        <v>46.466619031773661</v>
      </c>
      <c r="P68" s="21">
        <f>+IFERROR('Q8'!P69/'Q8'!P64*100-100,0)</f>
        <v>3.0669647667723439</v>
      </c>
      <c r="Q68" s="21">
        <f>+IFERROR('Q8'!Q69/'Q8'!Q64*100-100,0)</f>
        <v>-1.7681155202991903</v>
      </c>
      <c r="R68" s="21">
        <f>+IFERROR('Q8'!R69/'Q8'!R64*100-100,0)</f>
        <v>2.9413546850784087</v>
      </c>
      <c r="S68" s="21">
        <f>+IFERROR('Q8'!S69/'Q8'!S64*100-100,0)</f>
        <v>-8.1048545830737879</v>
      </c>
      <c r="T68" s="21">
        <f>+IFERROR('Q8'!T69/'Q8'!T64*100-100,0)</f>
        <v>59.880398368613044</v>
      </c>
      <c r="U68" s="22">
        <f>+IFERROR('Q8'!U69/'Q8'!U64*100-100,0)</f>
        <v>7.2883062559017304</v>
      </c>
    </row>
    <row r="69" spans="1:21" x14ac:dyDescent="0.25">
      <c r="A69" s="95"/>
      <c r="B69" s="100"/>
      <c r="C69" s="19" t="s">
        <v>29</v>
      </c>
      <c r="D69" s="2">
        <f>+IFERROR('Q8'!D70/'Q8'!D65*100-100,0)</f>
        <v>1.7753386102688467</v>
      </c>
      <c r="E69" s="2">
        <f>+IFERROR('Q8'!E70/'Q8'!E65*100-100,0)</f>
        <v>12.815220003118895</v>
      </c>
      <c r="F69" s="2">
        <f>+IFERROR('Q8'!F70/'Q8'!F65*100-100,0)</f>
        <v>15.509071935284808</v>
      </c>
      <c r="G69" s="2">
        <f>+IFERROR('Q8'!G70/'Q8'!G65*100-100,0)</f>
        <v>5.6409152113849927</v>
      </c>
      <c r="H69" s="2">
        <f>+IFERROR('Q8'!H70/'Q8'!H65*100-100,0)</f>
        <v>17.59981941560163</v>
      </c>
      <c r="I69" s="2">
        <f>+IFERROR('Q8'!I70/'Q8'!I65*100-100,0)</f>
        <v>10.706707006650788</v>
      </c>
      <c r="J69" s="2">
        <f>+IFERROR('Q8'!J70/'Q8'!J65*100-100,0)</f>
        <v>-15.202835726737732</v>
      </c>
      <c r="K69" s="2">
        <f>+IFERROR('Q8'!K70/'Q8'!K65*100-100,0)</f>
        <v>3.1315990334926198</v>
      </c>
      <c r="L69" s="2">
        <f>+IFERROR('Q8'!L70/'Q8'!L65*100-100,0)</f>
        <v>7.7703926958981242</v>
      </c>
      <c r="M69" s="2">
        <f>+IFERROR('Q8'!M70/'Q8'!M65*100-100,0)</f>
        <v>5.2002648231868278</v>
      </c>
      <c r="N69" s="2">
        <f>+IFERROR('Q8'!N70/'Q8'!N65*100-100,0)</f>
        <v>-1.1081777820984939</v>
      </c>
      <c r="O69" s="2">
        <f>+IFERROR('Q8'!O70/'Q8'!O65*100-100,0)</f>
        <v>37.410080328545035</v>
      </c>
      <c r="P69" s="2">
        <f>+IFERROR('Q8'!P70/'Q8'!P65*100-100,0)</f>
        <v>3.2282307516906599</v>
      </c>
      <c r="Q69" s="2">
        <f>+IFERROR('Q8'!Q70/'Q8'!Q65*100-100,0)</f>
        <v>-0.88895347261944835</v>
      </c>
      <c r="R69" s="2">
        <f>+IFERROR('Q8'!R70/'Q8'!R65*100-100,0)</f>
        <v>-4.6726192302777605</v>
      </c>
      <c r="S69" s="2">
        <f>+IFERROR('Q8'!S70/'Q8'!S65*100-100,0)</f>
        <v>-26.651494594560091</v>
      </c>
      <c r="T69" s="2">
        <f>+IFERROR('Q8'!T70/'Q8'!T65*100-100,0)</f>
        <v>-9.1034428737570039</v>
      </c>
      <c r="U69" s="23">
        <f>+IFERROR('Q8'!U70/'Q8'!U65*100-100,0)</f>
        <v>8.2613381379225643</v>
      </c>
    </row>
    <row r="70" spans="1:21" x14ac:dyDescent="0.25">
      <c r="A70" s="95"/>
      <c r="B70" s="100"/>
      <c r="C70" s="19" t="s">
        <v>30</v>
      </c>
      <c r="D70" s="2">
        <f>+IFERROR('Q8'!D71/'Q8'!D66*100-100,0)</f>
        <v>1.7074788566626893</v>
      </c>
      <c r="E70" s="2">
        <f>+IFERROR('Q8'!E71/'Q8'!E66*100-100,0)</f>
        <v>15.966141325226175</v>
      </c>
      <c r="F70" s="2">
        <f>+IFERROR('Q8'!F71/'Q8'!F66*100-100,0)</f>
        <v>12.880544247656729</v>
      </c>
      <c r="G70" s="2">
        <f>+IFERROR('Q8'!G71/'Q8'!G66*100-100,0)</f>
        <v>3.583204484438312</v>
      </c>
      <c r="H70" s="2">
        <f>+IFERROR('Q8'!H71/'Q8'!H66*100-100,0)</f>
        <v>10.859850730925331</v>
      </c>
      <c r="I70" s="2">
        <f>+IFERROR('Q8'!I71/'Q8'!I66*100-100,0)</f>
        <v>11.042309719658888</v>
      </c>
      <c r="J70" s="2">
        <f>+IFERROR('Q8'!J71/'Q8'!J66*100-100,0)</f>
        <v>-10.912307328861132</v>
      </c>
      <c r="K70" s="2">
        <f>+IFERROR('Q8'!K71/'Q8'!K66*100-100,0)</f>
        <v>-0.42873447313236568</v>
      </c>
      <c r="L70" s="2">
        <f>+IFERROR('Q8'!L71/'Q8'!L66*100-100,0)</f>
        <v>4.6268232441653083</v>
      </c>
      <c r="M70" s="2">
        <f>+IFERROR('Q8'!M71/'Q8'!M66*100-100,0)</f>
        <v>9.8748787393836182</v>
      </c>
      <c r="N70" s="2">
        <f>+IFERROR('Q8'!N71/'Q8'!N66*100-100,0)</f>
        <v>-1.0384365500525377</v>
      </c>
      <c r="O70" s="2">
        <f>+IFERROR('Q8'!O71/'Q8'!O66*100-100,0)</f>
        <v>39.252731671114816</v>
      </c>
      <c r="P70" s="2">
        <f>+IFERROR('Q8'!P71/'Q8'!P66*100-100,0)</f>
        <v>-0.84193383083788831</v>
      </c>
      <c r="Q70" s="2">
        <f>+IFERROR('Q8'!Q71/'Q8'!Q66*100-100,0)</f>
        <v>-0.15397354492236559</v>
      </c>
      <c r="R70" s="2">
        <f>+IFERROR('Q8'!R71/'Q8'!R66*100-100,0)</f>
        <v>-8.3686551847470412</v>
      </c>
      <c r="S70" s="2">
        <f>+IFERROR('Q8'!S71/'Q8'!S66*100-100,0)</f>
        <v>-30.396439979445475</v>
      </c>
      <c r="T70" s="2">
        <f>+IFERROR('Q8'!T71/'Q8'!T66*100-100,0)</f>
        <v>-23.515358143428216</v>
      </c>
      <c r="U70" s="23">
        <f>+IFERROR('Q8'!U71/'Q8'!U66*100-100,0)</f>
        <v>5.0611210929162525</v>
      </c>
    </row>
    <row r="71" spans="1:21" x14ac:dyDescent="0.25">
      <c r="A71" s="95"/>
      <c r="B71" s="101"/>
      <c r="C71" s="52" t="s">
        <v>31</v>
      </c>
      <c r="D71" s="20">
        <f>+IFERROR('Q8'!D72/'Q8'!D67*100-100,0)</f>
        <v>2.4652658730068566</v>
      </c>
      <c r="E71" s="20">
        <f>+IFERROR('Q8'!E72/'Q8'!E67*100-100,0)</f>
        <v>14.197348336996839</v>
      </c>
      <c r="F71" s="20">
        <f>+IFERROR('Q8'!F72/'Q8'!F67*100-100,0)</f>
        <v>10.986597721602706</v>
      </c>
      <c r="G71" s="20">
        <f>+IFERROR('Q8'!G72/'Q8'!G67*100-100,0)</f>
        <v>6.5469699873913214</v>
      </c>
      <c r="H71" s="20">
        <f>+IFERROR('Q8'!H72/'Q8'!H67*100-100,0)</f>
        <v>4.7051866053279525</v>
      </c>
      <c r="I71" s="20">
        <f>+IFERROR('Q8'!I72/'Q8'!I67*100-100,0)</f>
        <v>10.136998821376579</v>
      </c>
      <c r="J71" s="20">
        <f>+IFERROR('Q8'!J72/'Q8'!J67*100-100,0)</f>
        <v>-11.61315385066159</v>
      </c>
      <c r="K71" s="20">
        <f>+IFERROR('Q8'!K72/'Q8'!K67*100-100,0)</f>
        <v>-3.3332833562344177</v>
      </c>
      <c r="L71" s="20">
        <f>+IFERROR('Q8'!L72/'Q8'!L67*100-100,0)</f>
        <v>0.72705099450716659</v>
      </c>
      <c r="M71" s="20">
        <f>+IFERROR('Q8'!M72/'Q8'!M67*100-100,0)</f>
        <v>7.9644258535793711</v>
      </c>
      <c r="N71" s="20">
        <f>+IFERROR('Q8'!N72/'Q8'!N67*100-100,0)</f>
        <v>-0.249483959876585</v>
      </c>
      <c r="O71" s="20">
        <f>+IFERROR('Q8'!O72/'Q8'!O67*100-100,0)</f>
        <v>17.096447828430868</v>
      </c>
      <c r="P71" s="20">
        <f>+IFERROR('Q8'!P72/'Q8'!P67*100-100,0)</f>
        <v>-3.604036399402105</v>
      </c>
      <c r="Q71" s="20">
        <f>+IFERROR('Q8'!Q72/'Q8'!Q67*100-100,0)</f>
        <v>0.44032661730344103</v>
      </c>
      <c r="R71" s="20">
        <f>+IFERROR('Q8'!R72/'Q8'!R67*100-100,0)</f>
        <v>-8.9437009323218319</v>
      </c>
      <c r="S71" s="20">
        <f>+IFERROR('Q8'!S72/'Q8'!S67*100-100,0)</f>
        <v>-10.170930427609505</v>
      </c>
      <c r="T71" s="20">
        <f>+IFERROR('Q8'!T72/'Q8'!T67*100-100,0)</f>
        <v>15.424275013620985</v>
      </c>
      <c r="U71" s="24">
        <f>+IFERROR('Q8'!U72/'Q8'!U67*100-100,0)</f>
        <v>0.76317771091503062</v>
      </c>
    </row>
    <row r="72" spans="1:21" x14ac:dyDescent="0.25">
      <c r="A72" s="95"/>
      <c r="B72" s="51"/>
      <c r="C72" s="57" t="s">
        <v>51</v>
      </c>
      <c r="D72" s="34">
        <f>+IFERROR('Q8'!D73/'Q8'!D68*100-100,0)</f>
        <v>2.4860490959112838</v>
      </c>
      <c r="E72" s="34">
        <f>+IFERROR('Q8'!E73/'Q8'!E68*100-100,0)</f>
        <v>-2.2708543477876475</v>
      </c>
      <c r="F72" s="34">
        <f>+IFERROR('Q8'!F73/'Q8'!F68*100-100,0)</f>
        <v>-0.29151420219287161</v>
      </c>
      <c r="G72" s="34">
        <f>+IFERROR('Q8'!G73/'Q8'!G68*100-100,0)</f>
        <v>1.7171995738977301</v>
      </c>
      <c r="H72" s="34">
        <f>+IFERROR('Q8'!H73/'Q8'!H68*100-100,0)</f>
        <v>4.2998980076818043</v>
      </c>
      <c r="I72" s="34">
        <f>+IFERROR('Q8'!I73/'Q8'!I68*100-100,0)</f>
        <v>8.9933884874707388</v>
      </c>
      <c r="J72" s="34">
        <f>+IFERROR('Q8'!J73/'Q8'!J68*100-100,0)</f>
        <v>6.1244485499974246</v>
      </c>
      <c r="K72" s="34">
        <f>+IFERROR('Q8'!K73/'Q8'!K68*100-100,0)</f>
        <v>-2.4148109951607921</v>
      </c>
      <c r="L72" s="34">
        <f>+IFERROR('Q8'!L73/'Q8'!L68*100-100,0)</f>
        <v>-2.114060122609402</v>
      </c>
      <c r="M72" s="34">
        <f>+IFERROR('Q8'!M73/'Q8'!M68*100-100,0)</f>
        <v>3.4660817106666855</v>
      </c>
      <c r="N72" s="34">
        <f>+IFERROR('Q8'!N73/'Q8'!N68*100-100,0)</f>
        <v>-2.4862062309191941</v>
      </c>
      <c r="O72" s="34">
        <f>+IFERROR('Q8'!O73/'Q8'!O68*100-100,0)</f>
        <v>1.7046483523704552</v>
      </c>
      <c r="P72" s="34">
        <f>+IFERROR('Q8'!P73/'Q8'!P68*100-100,0)</f>
        <v>-14.932601855418852</v>
      </c>
      <c r="Q72" s="34">
        <f>+IFERROR('Q8'!Q73/'Q8'!Q68*100-100,0)</f>
        <v>2.814095833058488</v>
      </c>
      <c r="R72" s="34">
        <f>+IFERROR('Q8'!R73/'Q8'!R68*100-100,0)</f>
        <v>7.1230020980071203</v>
      </c>
      <c r="S72" s="34">
        <f>+IFERROR('Q8'!S73/'Q8'!S68*100-100,0)</f>
        <v>3.5357128071705546</v>
      </c>
      <c r="T72" s="34">
        <f>+IFERROR('Q8'!T73/'Q8'!T68*100-100,0)</f>
        <v>-77.820427377352374</v>
      </c>
      <c r="U72" s="34">
        <f>+IFERROR('Q8'!U73/'Q8'!U68*100-100,0)</f>
        <v>1.0805436617134774</v>
      </c>
    </row>
    <row r="73" spans="1:21" x14ac:dyDescent="0.25">
      <c r="A73" s="95"/>
      <c r="B73" s="99">
        <v>2016</v>
      </c>
      <c r="C73" s="61" t="s">
        <v>28</v>
      </c>
      <c r="D73" s="21">
        <f>+IFERROR('Q8'!D74/'Q8'!D69*100-100,0)</f>
        <v>2.0236752210212501</v>
      </c>
      <c r="E73" s="21">
        <f>+IFERROR('Q8'!E74/'Q8'!E69*100-100,0)</f>
        <v>-24.183395917607157</v>
      </c>
      <c r="F73" s="21">
        <f>+IFERROR('Q8'!F74/'Q8'!F69*100-100,0)</f>
        <v>4.5739869031220337</v>
      </c>
      <c r="G73" s="21">
        <f>+IFERROR('Q8'!G74/'Q8'!G69*100-100,0)</f>
        <v>11.105520019061359</v>
      </c>
      <c r="H73" s="21">
        <f>+IFERROR('Q8'!H74/'Q8'!H69*100-100,0)</f>
        <v>2.6451880269100059</v>
      </c>
      <c r="I73" s="21">
        <f>+IFERROR('Q8'!I74/'Q8'!I69*100-100,0)</f>
        <v>8.0955817721960273</v>
      </c>
      <c r="J73" s="21">
        <f>+IFERROR('Q8'!J74/'Q8'!J69*100-100,0)</f>
        <v>20.02622441853859</v>
      </c>
      <c r="K73" s="21">
        <f>+IFERROR('Q8'!K74/'Q8'!K69*100-100,0)</f>
        <v>3.2537762158558934</v>
      </c>
      <c r="L73" s="21">
        <f>+IFERROR('Q8'!L74/'Q8'!L69*100-100,0)</f>
        <v>6.1117665900918752</v>
      </c>
      <c r="M73" s="21">
        <f>+IFERROR('Q8'!M74/'Q8'!M69*100-100,0)</f>
        <v>3.0529675365759061</v>
      </c>
      <c r="N73" s="21">
        <f>+IFERROR('Q8'!N74/'Q8'!N69*100-100,0)</f>
        <v>2.456479904863258</v>
      </c>
      <c r="O73" s="21">
        <f>+IFERROR('Q8'!O74/'Q8'!O69*100-100,0)</f>
        <v>3.4111403278609345</v>
      </c>
      <c r="P73" s="21">
        <f>+IFERROR('Q8'!P74/'Q8'!P69*100-100,0)</f>
        <v>-12.040303291494865</v>
      </c>
      <c r="Q73" s="21">
        <f>+IFERROR('Q8'!Q74/'Q8'!Q69*100-100,0)</f>
        <v>2.4114044145299545</v>
      </c>
      <c r="R73" s="21">
        <f>+IFERROR('Q8'!R74/'Q8'!R69*100-100,0)</f>
        <v>2.0695474194274226</v>
      </c>
      <c r="S73" s="21">
        <f>+IFERROR('Q8'!S74/'Q8'!S69*100-100,0)</f>
        <v>-10.821684054464143</v>
      </c>
      <c r="T73" s="21">
        <f>+IFERROR('Q8'!T74/'Q8'!T69*100-100,0)</f>
        <v>-94.989434613745559</v>
      </c>
      <c r="U73" s="22">
        <f>+IFERROR('Q8'!U74/'Q8'!U69*100-100,0)</f>
        <v>5.228642738118964</v>
      </c>
    </row>
    <row r="74" spans="1:21" x14ac:dyDescent="0.25">
      <c r="A74" s="95"/>
      <c r="B74" s="100"/>
      <c r="C74" s="19" t="s">
        <v>29</v>
      </c>
      <c r="D74" s="2">
        <f>+IFERROR('Q8'!D75/'Q8'!D70*100-100,0)</f>
        <v>2.8361279224193225</v>
      </c>
      <c r="E74" s="2">
        <f>+IFERROR('Q8'!E75/'Q8'!E70*100-100,0)</f>
        <v>-12.883118862733866</v>
      </c>
      <c r="F74" s="2">
        <f>+IFERROR('Q8'!F75/'Q8'!F70*100-100,0)</f>
        <v>1.6165515128828503</v>
      </c>
      <c r="G74" s="2">
        <f>+IFERROR('Q8'!G75/'Q8'!G70*100-100,0)</f>
        <v>0.23532927485945265</v>
      </c>
      <c r="H74" s="2">
        <f>+IFERROR('Q8'!H75/'Q8'!H70*100-100,0)</f>
        <v>2.8732082118467304</v>
      </c>
      <c r="I74" s="2">
        <f>+IFERROR('Q8'!I75/'Q8'!I70*100-100,0)</f>
        <v>8.9143313483198057</v>
      </c>
      <c r="J74" s="2">
        <f>+IFERROR('Q8'!J75/'Q8'!J70*100-100,0)</f>
        <v>15.497093892473984</v>
      </c>
      <c r="K74" s="2">
        <f>+IFERROR('Q8'!K75/'Q8'!K70*100-100,0)</f>
        <v>0.13602499031144077</v>
      </c>
      <c r="L74" s="2">
        <f>+IFERROR('Q8'!L75/'Q8'!L70*100-100,0)</f>
        <v>-6.9872771757650014</v>
      </c>
      <c r="M74" s="2">
        <f>+IFERROR('Q8'!M75/'Q8'!M70*100-100,0)</f>
        <v>1.9996710341659849</v>
      </c>
      <c r="N74" s="2">
        <f>+IFERROR('Q8'!N75/'Q8'!N70*100-100,0)</f>
        <v>-2.3253007420180438E-2</v>
      </c>
      <c r="O74" s="2">
        <f>+IFERROR('Q8'!O75/'Q8'!O70*100-100,0)</f>
        <v>2.5500643027190222</v>
      </c>
      <c r="P74" s="2">
        <f>+IFERROR('Q8'!P75/'Q8'!P70*100-100,0)</f>
        <v>-15.675180100570728</v>
      </c>
      <c r="Q74" s="2">
        <f>+IFERROR('Q8'!Q75/'Q8'!Q70*100-100,0)</f>
        <v>2.6306987683864236</v>
      </c>
      <c r="R74" s="2">
        <f>+IFERROR('Q8'!R75/'Q8'!R70*100-100,0)</f>
        <v>4.1568803780168224</v>
      </c>
      <c r="S74" s="2">
        <f>+IFERROR('Q8'!S75/'Q8'!S70*100-100,0)</f>
        <v>4.7282500687658313</v>
      </c>
      <c r="T74" s="2">
        <f>+IFERROR('Q8'!T75/'Q8'!T70*100-100,0)</f>
        <v>-80.096807009400962</v>
      </c>
      <c r="U74" s="23">
        <f>+IFERROR('Q8'!U75/'Q8'!U70*100-100,0)</f>
        <v>2.3920605239685671</v>
      </c>
    </row>
    <row r="75" spans="1:21" x14ac:dyDescent="0.25">
      <c r="A75" s="95"/>
      <c r="B75" s="100"/>
      <c r="C75" s="19" t="s">
        <v>30</v>
      </c>
      <c r="D75" s="2">
        <f>+IFERROR('Q8'!D76/'Q8'!D71*100-100,0)</f>
        <v>3.1967426420651321</v>
      </c>
      <c r="E75" s="2">
        <f>+IFERROR('Q8'!E76/'Q8'!E71*100-100,0)</f>
        <v>-1.3897519122480162E-2</v>
      </c>
      <c r="F75" s="2">
        <f>+IFERROR('Q8'!F76/'Q8'!F71*100-100,0)</f>
        <v>-0.11193733310379628</v>
      </c>
      <c r="G75" s="2">
        <f>+IFERROR('Q8'!G76/'Q8'!G71*100-100,0)</f>
        <v>2.1491756094959698</v>
      </c>
      <c r="H75" s="2">
        <f>+IFERROR('Q8'!H76/'Q8'!H71*100-100,0)</f>
        <v>4.793997878161349</v>
      </c>
      <c r="I75" s="2">
        <f>+IFERROR('Q8'!I76/'Q8'!I71*100-100,0)</f>
        <v>9.0767744674902389</v>
      </c>
      <c r="J75" s="2">
        <f>+IFERROR('Q8'!J76/'Q8'!J71*100-100,0)</f>
        <v>1.4647361264468231</v>
      </c>
      <c r="K75" s="2">
        <f>+IFERROR('Q8'!K76/'Q8'!K71*100-100,0)</f>
        <v>-2.1054354826707709</v>
      </c>
      <c r="L75" s="2">
        <f>+IFERROR('Q8'!L76/'Q8'!L71*100-100,0)</f>
        <v>-4.106983693670756</v>
      </c>
      <c r="M75" s="2">
        <f>+IFERROR('Q8'!M76/'Q8'!M71*100-100,0)</f>
        <v>4.3317142829420732</v>
      </c>
      <c r="N75" s="2">
        <f>+IFERROR('Q8'!N76/'Q8'!N71*100-100,0)</f>
        <v>-2.1206760857458136</v>
      </c>
      <c r="O75" s="2">
        <f>+IFERROR('Q8'!O76/'Q8'!O71*100-100,0)</f>
        <v>0.34220907100636566</v>
      </c>
      <c r="P75" s="2">
        <f>+IFERROR('Q8'!P76/'Q8'!P71*100-100,0)</f>
        <v>-14.462583315613614</v>
      </c>
      <c r="Q75" s="2">
        <f>+IFERROR('Q8'!Q76/'Q8'!Q71*100-100,0)</f>
        <v>2.8233799572156926</v>
      </c>
      <c r="R75" s="2">
        <f>+IFERROR('Q8'!R76/'Q8'!R71*100-100,0)</f>
        <v>6.6766665958618603</v>
      </c>
      <c r="S75" s="2">
        <f>+IFERROR('Q8'!S76/'Q8'!S71*100-100,0)</f>
        <v>11.349591586369726</v>
      </c>
      <c r="T75" s="2">
        <f>+IFERROR('Q8'!T76/'Q8'!T71*100-100,0)</f>
        <v>-68.627437025607804</v>
      </c>
      <c r="U75" s="23">
        <f>+IFERROR('Q8'!U76/'Q8'!U71*100-100,0)</f>
        <v>0.60084350838288003</v>
      </c>
    </row>
    <row r="76" spans="1:21" x14ac:dyDescent="0.25">
      <c r="A76" s="95"/>
      <c r="B76" s="101"/>
      <c r="C76" s="52" t="s">
        <v>31</v>
      </c>
      <c r="D76" s="20">
        <f>+IFERROR('Q8'!D77/'Q8'!D72*100-100,0)</f>
        <v>1.7659919651882063</v>
      </c>
      <c r="E76" s="20">
        <f>+IFERROR('Q8'!E77/'Q8'!E72*100-100,0)</f>
        <v>7.4540368590520814</v>
      </c>
      <c r="F76" s="20">
        <f>+IFERROR('Q8'!F77/'Q8'!F72*100-100,0)</f>
        <v>-2.5457987053749207</v>
      </c>
      <c r="G76" s="20">
        <f>+IFERROR('Q8'!G77/'Q8'!G72*100-100,0)</f>
        <v>2.7999959024029408E-2</v>
      </c>
      <c r="H76" s="20">
        <f>+IFERROR('Q8'!H77/'Q8'!H72*100-100,0)</f>
        <v>5.0610463232490446</v>
      </c>
      <c r="I76" s="20">
        <f>+IFERROR('Q8'!I77/'Q8'!I72*100-100,0)</f>
        <v>9.2074298987245555</v>
      </c>
      <c r="J76" s="20">
        <f>+IFERROR('Q8'!J77/'Q8'!J72*100-100,0)</f>
        <v>2.5457290781414059</v>
      </c>
      <c r="K76" s="20">
        <f>+IFERROR('Q8'!K77/'Q8'!K72*100-100,0)</f>
        <v>-5.2686149181836726</v>
      </c>
      <c r="L76" s="20">
        <f>+IFERROR('Q8'!L77/'Q8'!L72*100-100,0)</f>
        <v>0.84430791074852607</v>
      </c>
      <c r="M76" s="20">
        <f>+IFERROR('Q8'!M77/'Q8'!M72*100-100,0)</f>
        <v>3.6332192275263111</v>
      </c>
      <c r="N76" s="20">
        <f>+IFERROR('Q8'!N77/'Q8'!N72*100-100,0)</f>
        <v>-5.0539285579980202</v>
      </c>
      <c r="O76" s="20">
        <f>+IFERROR('Q8'!O77/'Q8'!O72*100-100,0)</f>
        <v>1.9053257099957079</v>
      </c>
      <c r="P76" s="20">
        <f>+IFERROR('Q8'!P77/'Q8'!P72*100-100,0)</f>
        <v>-15.622734850476249</v>
      </c>
      <c r="Q76" s="20">
        <f>+IFERROR('Q8'!Q77/'Q8'!Q72*100-100,0)</f>
        <v>3.0000000000000284</v>
      </c>
      <c r="R76" s="20">
        <f>+IFERROR('Q8'!R77/'Q8'!R72*100-100,0)</f>
        <v>10.416178948859283</v>
      </c>
      <c r="S76" s="20">
        <f>+IFERROR('Q8'!S77/'Q8'!S72*100-100,0)</f>
        <v>1.5783901870596111</v>
      </c>
      <c r="T76" s="20">
        <f>+IFERROR('Q8'!T77/'Q8'!T72*100-100,0)</f>
        <v>-73.770212520218479</v>
      </c>
      <c r="U76" s="24">
        <f>+IFERROR('Q8'!U77/'Q8'!U72*100-100,0)</f>
        <v>-0.23307695480531265</v>
      </c>
    </row>
    <row r="77" spans="1:21" x14ac:dyDescent="0.25">
      <c r="A77" s="95"/>
      <c r="B77" s="51"/>
      <c r="C77" s="57" t="s">
        <v>51</v>
      </c>
      <c r="D77" s="34">
        <f>+IFERROR('Q8'!D78/'Q8'!D73*100-100,0)</f>
        <v>-0.58053882500463772</v>
      </c>
      <c r="E77" s="34">
        <f>+IFERROR('Q8'!E78/'Q8'!E73*100-100,0)</f>
        <v>5.9676639803807348</v>
      </c>
      <c r="F77" s="34">
        <f>+IFERROR('Q8'!F78/'Q8'!F73*100-100,0)</f>
        <v>-9.8561464907486283</v>
      </c>
      <c r="G77" s="34">
        <f>+IFERROR('Q8'!G78/'Q8'!G73*100-100,0)</f>
        <v>-0.13226815849712636</v>
      </c>
      <c r="H77" s="34">
        <f>+IFERROR('Q8'!H78/'Q8'!H73*100-100,0)</f>
        <v>2.3255204550876982</v>
      </c>
      <c r="I77" s="34">
        <f>+IFERROR('Q8'!I78/'Q8'!I73*100-100,0)</f>
        <v>-2.0418695646778389</v>
      </c>
      <c r="J77" s="34">
        <f>+IFERROR('Q8'!J78/'Q8'!J73*100-100,0)</f>
        <v>-3.9423463303410244</v>
      </c>
      <c r="K77" s="34">
        <f>+IFERROR('Q8'!K78/'Q8'!K73*100-100,0)</f>
        <v>-1.2781764523721222</v>
      </c>
      <c r="L77" s="34">
        <f>+IFERROR('Q8'!L78/'Q8'!L73*100-100,0)</f>
        <v>0.20823584337141199</v>
      </c>
      <c r="M77" s="34">
        <f>+IFERROR('Q8'!M78/'Q8'!M73*100-100,0)</f>
        <v>1.956339958267165</v>
      </c>
      <c r="N77" s="34">
        <f>+IFERROR('Q8'!N78/'Q8'!N73*100-100,0)</f>
        <v>0.86542535559533462</v>
      </c>
      <c r="O77" s="34">
        <f>+IFERROR('Q8'!O78/'Q8'!O73*100-100,0)</f>
        <v>-10.104865690434011</v>
      </c>
      <c r="P77" s="34">
        <f>+IFERROR('Q8'!P78/'Q8'!P73*100-100,0)</f>
        <v>-2.4168098409786012</v>
      </c>
      <c r="Q77" s="34">
        <f>+IFERROR('Q8'!Q78/'Q8'!Q73*100-100,0)</f>
        <v>3.2308620967434649</v>
      </c>
      <c r="R77" s="34">
        <f>+IFERROR('Q8'!R78/'Q8'!R73*100-100,0)</f>
        <v>11.259808739648761</v>
      </c>
      <c r="S77" s="34">
        <f>+IFERROR('Q8'!S78/'Q8'!S73*100-100,0)</f>
        <v>7.4560843568092849</v>
      </c>
      <c r="T77" s="34">
        <f>+IFERROR('Q8'!T78/'Q8'!T73*100-100,0)</f>
        <v>-35.678650259527259</v>
      </c>
      <c r="U77" s="34">
        <f>+IFERROR('Q8'!U78/'Q8'!U73*100-100,0)</f>
        <v>-1.3505030317737408</v>
      </c>
    </row>
    <row r="78" spans="1:21" x14ac:dyDescent="0.25">
      <c r="A78" s="95"/>
      <c r="B78" s="99">
        <v>2017</v>
      </c>
      <c r="C78" s="61" t="s">
        <v>28</v>
      </c>
      <c r="D78" s="21">
        <f>+IFERROR('Q8'!D79/'Q8'!D74*100-100,0)</f>
        <v>-2.8320446562814112</v>
      </c>
      <c r="E78" s="21">
        <f>+IFERROR('Q8'!E79/'Q8'!E74*100-100,0)</f>
        <v>11.876102922036381</v>
      </c>
      <c r="F78" s="21">
        <f>+IFERROR('Q8'!F79/'Q8'!F74*100-100,0)</f>
        <v>-12.125784302635978</v>
      </c>
      <c r="G78" s="21">
        <f>+IFERROR('Q8'!G79/'Q8'!G74*100-100,0)</f>
        <v>1.3547520014192997</v>
      </c>
      <c r="H78" s="21">
        <f>+IFERROR('Q8'!H79/'Q8'!H74*100-100,0)</f>
        <v>5.2916191986259804</v>
      </c>
      <c r="I78" s="21">
        <f>+IFERROR('Q8'!I79/'Q8'!I74*100-100,0)</f>
        <v>-0.94534070421428851</v>
      </c>
      <c r="J78" s="21">
        <f>+IFERROR('Q8'!J79/'Q8'!J74*100-100,0)</f>
        <v>-18.051336247981936</v>
      </c>
      <c r="K78" s="21">
        <f>+IFERROR('Q8'!K79/'Q8'!K74*100-100,0)</f>
        <v>-6.1283352161812417</v>
      </c>
      <c r="L78" s="21">
        <f>+IFERROR('Q8'!L79/'Q8'!L74*100-100,0)</f>
        <v>-5.9016941676448909</v>
      </c>
      <c r="M78" s="21">
        <f>+IFERROR('Q8'!M79/'Q8'!M74*100-100,0)</f>
        <v>-3.492709524269344E-2</v>
      </c>
      <c r="N78" s="21">
        <f>+IFERROR('Q8'!N79/'Q8'!N74*100-100,0)</f>
        <v>0.81068043872789985</v>
      </c>
      <c r="O78" s="21">
        <f>+IFERROR('Q8'!O79/'Q8'!O74*100-100,0)</f>
        <v>-11.414511810702663</v>
      </c>
      <c r="P78" s="21">
        <f>+IFERROR('Q8'!P79/'Q8'!P74*100-100,0)</f>
        <v>-8.5119929163601995</v>
      </c>
      <c r="Q78" s="21">
        <f>+IFERROR('Q8'!Q79/'Q8'!Q74*100-100,0)</f>
        <v>3.4895242061069354</v>
      </c>
      <c r="R78" s="21">
        <f>+IFERROR('Q8'!R79/'Q8'!R74*100-100,0)</f>
        <v>13.150893462497933</v>
      </c>
      <c r="S78" s="21">
        <f>+IFERROR('Q8'!S79/'Q8'!S74*100-100,0)</f>
        <v>12.862443743376502</v>
      </c>
      <c r="T78" s="21">
        <f>+IFERROR('Q8'!T79/'Q8'!T74*100-100,0)</f>
        <v>-46.379889491715922</v>
      </c>
      <c r="U78" s="22">
        <f>+IFERROR('Q8'!U79/'Q8'!U74*100-100,0)</f>
        <v>-4.9650598349639523</v>
      </c>
    </row>
    <row r="79" spans="1:21" x14ac:dyDescent="0.25">
      <c r="A79" s="95"/>
      <c r="B79" s="100"/>
      <c r="C79" s="19" t="s">
        <v>29</v>
      </c>
      <c r="D79" s="2">
        <f>+IFERROR('Q8'!D80/'Q8'!D75*100-100,0)</f>
        <v>-0.81905928223307001</v>
      </c>
      <c r="E79" s="2">
        <f>+IFERROR('Q8'!E80/'Q8'!E75*100-100,0)</f>
        <v>15.845597200194845</v>
      </c>
      <c r="F79" s="2">
        <f>+IFERROR('Q8'!F80/'Q8'!F75*100-100,0)</f>
        <v>-11.180605968815726</v>
      </c>
      <c r="G79" s="2">
        <f>+IFERROR('Q8'!G80/'Q8'!G75*100-100,0)</f>
        <v>6.0250459319227616</v>
      </c>
      <c r="H79" s="2">
        <f>+IFERROR('Q8'!H80/'Q8'!H75*100-100,0)</f>
        <v>2.5672603912500591</v>
      </c>
      <c r="I79" s="2">
        <f>+IFERROR('Q8'!I80/'Q8'!I75*100-100,0)</f>
        <v>-3.6110790114522757</v>
      </c>
      <c r="J79" s="2">
        <f>+IFERROR('Q8'!J80/'Q8'!J75*100-100,0)</f>
        <v>-14.80027575965012</v>
      </c>
      <c r="K79" s="2">
        <f>+IFERROR('Q8'!K80/'Q8'!K75*100-100,0)</f>
        <v>-2.2266171723228041</v>
      </c>
      <c r="L79" s="2">
        <f>+IFERROR('Q8'!L80/'Q8'!L75*100-100,0)</f>
        <v>2.5474574734451352</v>
      </c>
      <c r="M79" s="2">
        <f>+IFERROR('Q8'!M80/'Q8'!M75*100-100,0)</f>
        <v>0.61960646752834236</v>
      </c>
      <c r="N79" s="2">
        <f>+IFERROR('Q8'!N80/'Q8'!N75*100-100,0)</f>
        <v>0.43426118904503141</v>
      </c>
      <c r="O79" s="2">
        <f>+IFERROR('Q8'!O80/'Q8'!O75*100-100,0)</f>
        <v>-10.32720957755447</v>
      </c>
      <c r="P79" s="2">
        <f>+IFERROR('Q8'!P80/'Q8'!P75*100-100,0)</f>
        <v>-5.3402870222801795</v>
      </c>
      <c r="Q79" s="2">
        <f>+IFERROR('Q8'!Q80/'Q8'!Q75*100-100,0)</f>
        <v>3.45877077339793</v>
      </c>
      <c r="R79" s="2">
        <f>+IFERROR('Q8'!R80/'Q8'!R75*100-100,0)</f>
        <v>12.75928653170925</v>
      </c>
      <c r="S79" s="2">
        <f>+IFERROR('Q8'!S80/'Q8'!S75*100-100,0)</f>
        <v>17.173511456396696</v>
      </c>
      <c r="T79" s="2">
        <f>+IFERROR('Q8'!T80/'Q8'!T75*100-100,0)</f>
        <v>-37.060132737040789</v>
      </c>
      <c r="U79" s="23">
        <f>+IFERROR('Q8'!U80/'Q8'!U75*100-100,0)</f>
        <v>-2.9200335615437183</v>
      </c>
    </row>
    <row r="80" spans="1:21" x14ac:dyDescent="0.25">
      <c r="A80" s="95"/>
      <c r="B80" s="100"/>
      <c r="C80" s="19" t="s">
        <v>30</v>
      </c>
      <c r="D80" s="2">
        <f>+IFERROR('Q8'!D81/'Q8'!D76*100-100,0)</f>
        <v>-0.37155512817541592</v>
      </c>
      <c r="E80" s="2">
        <f>+IFERROR('Q8'!E81/'Q8'!E76*100-100,0)</f>
        <v>9.2622712592477967</v>
      </c>
      <c r="F80" s="2">
        <f>+IFERROR('Q8'!F81/'Q8'!F76*100-100,0)</f>
        <v>-9.8435077408835099</v>
      </c>
      <c r="G80" s="2">
        <f>+IFERROR('Q8'!G81/'Q8'!G76*100-100,0)</f>
        <v>-3.6527748774121278</v>
      </c>
      <c r="H80" s="2">
        <f>+IFERROR('Q8'!H81/'Q8'!H76*100-100,0)</f>
        <v>2.1245596507578171</v>
      </c>
      <c r="I80" s="2">
        <f>+IFERROR('Q8'!I81/'Q8'!I76*100-100,0)</f>
        <v>-1.8365430908232554</v>
      </c>
      <c r="J80" s="2">
        <f>+IFERROR('Q8'!J81/'Q8'!J76*100-100,0)</f>
        <v>-0.76880568514233971</v>
      </c>
      <c r="K80" s="2">
        <f>+IFERROR('Q8'!K81/'Q8'!K76*100-100,0)</f>
        <v>-0.79467496997715159</v>
      </c>
      <c r="L80" s="2">
        <f>+IFERROR('Q8'!L81/'Q8'!L76*100-100,0)</f>
        <v>1.3800667582459738</v>
      </c>
      <c r="M80" s="2">
        <f>+IFERROR('Q8'!M81/'Q8'!M76*100-100,0)</f>
        <v>2.6336592555330895</v>
      </c>
      <c r="N80" s="2">
        <f>+IFERROR('Q8'!N81/'Q8'!N76*100-100,0)</f>
        <v>1.1700696814226745</v>
      </c>
      <c r="O80" s="2">
        <f>+IFERROR('Q8'!O81/'Q8'!O76*100-100,0)</f>
        <v>-8.729010137550631</v>
      </c>
      <c r="P80" s="2">
        <f>+IFERROR('Q8'!P81/'Q8'!P76*100-100,0)</f>
        <v>-2.0756325322952307</v>
      </c>
      <c r="Q80" s="2">
        <f>+IFERROR('Q8'!Q81/'Q8'!Q76*100-100,0)</f>
        <v>3.2938838395204897</v>
      </c>
      <c r="R80" s="2">
        <f>+IFERROR('Q8'!R81/'Q8'!R76*100-100,0)</f>
        <v>11.848589809902109</v>
      </c>
      <c r="S80" s="2">
        <f>+IFERROR('Q8'!S81/'Q8'!S76*100-100,0)</f>
        <v>10.826019164527992</v>
      </c>
      <c r="T80" s="2">
        <f>+IFERROR('Q8'!T81/'Q8'!T76*100-100,0)</f>
        <v>-28.73570143305507</v>
      </c>
      <c r="U80" s="23">
        <f>+IFERROR('Q8'!U81/'Q8'!U76*100-100,0)</f>
        <v>-0.61662919497604207</v>
      </c>
    </row>
    <row r="81" spans="1:21" x14ac:dyDescent="0.25">
      <c r="A81" s="95"/>
      <c r="B81" s="101"/>
      <c r="C81" s="52" t="s">
        <v>31</v>
      </c>
      <c r="D81" s="20">
        <f>+IFERROR('Q8'!D82/'Q8'!D77*100-100,0)</f>
        <v>6.4576317750166368E-2</v>
      </c>
      <c r="E81" s="20">
        <f>+IFERROR('Q8'!E82/'Q8'!E77*100-100,0)</f>
        <v>-1.0910506490118053</v>
      </c>
      <c r="F81" s="20">
        <f>+IFERROR('Q8'!F82/'Q8'!F77*100-100,0)</f>
        <v>-8.5947161274466453</v>
      </c>
      <c r="G81" s="20">
        <f>+IFERROR('Q8'!G82/'Q8'!G77*100-100,0)</f>
        <v>-0.77964307271557232</v>
      </c>
      <c r="H81" s="20">
        <f>+IFERROR('Q8'!H82/'Q8'!H77*100-100,0)</f>
        <v>1.620882059690814</v>
      </c>
      <c r="I81" s="20">
        <f>+IFERROR('Q8'!I82/'Q8'!I77*100-100,0)</f>
        <v>-1.687075000667221</v>
      </c>
      <c r="J81" s="20">
        <f>+IFERROR('Q8'!J82/'Q8'!J77*100-100,0)</f>
        <v>2.5057290781410018</v>
      </c>
      <c r="K81" s="20">
        <f>+IFERROR('Q8'!K82/'Q8'!K77*100-100,0)</f>
        <v>0.13420701962847659</v>
      </c>
      <c r="L81" s="20">
        <f>+IFERROR('Q8'!L82/'Q8'!L77*100-100,0)</f>
        <v>-0.79674599032776428</v>
      </c>
      <c r="M81" s="20">
        <f>+IFERROR('Q8'!M82/'Q8'!M77*100-100,0)</f>
        <v>2.5887435375309735</v>
      </c>
      <c r="N81" s="20">
        <f>+IFERROR('Q8'!N82/'Q8'!N77*100-100,0)</f>
        <v>0.86604057023703263</v>
      </c>
      <c r="O81" s="20">
        <f>+IFERROR('Q8'!O82/'Q8'!O77*100-100,0)</f>
        <v>-10.687108054241207</v>
      </c>
      <c r="P81" s="20">
        <f>+IFERROR('Q8'!P82/'Q8'!P77*100-100,0)</f>
        <v>0.27406567144096527</v>
      </c>
      <c r="Q81" s="20">
        <f>+IFERROR('Q8'!Q82/'Q8'!Q77*100-100,0)</f>
        <v>3.005388245229156</v>
      </c>
      <c r="R81" s="20">
        <f>+IFERROR('Q8'!R82/'Q8'!R77*100-100,0)</f>
        <v>9.6015656978900807</v>
      </c>
      <c r="S81" s="20">
        <f>+IFERROR('Q8'!S82/'Q8'!S77*100-100,0)</f>
        <v>-0.45601017504819197</v>
      </c>
      <c r="T81" s="20">
        <f>+IFERROR('Q8'!T82/'Q8'!T77*100-100,0)</f>
        <v>-39.008632464991045</v>
      </c>
      <c r="U81" s="24">
        <f>+IFERROR('Q8'!U82/'Q8'!U77*100-100,0)</f>
        <v>-0.16468865696147361</v>
      </c>
    </row>
    <row r="82" spans="1:21" x14ac:dyDescent="0.25">
      <c r="A82" s="95"/>
      <c r="B82" s="51"/>
      <c r="C82" s="57" t="s">
        <v>51</v>
      </c>
      <c r="D82" s="34">
        <f>+IFERROR('Q8'!D83/'Q8'!D78*100-100,0)</f>
        <v>-0.1494229801629956</v>
      </c>
      <c r="E82" s="34">
        <f>+IFERROR('Q8'!E83/'Q8'!E78*100-100,0)</f>
        <v>-1.4603556535938651</v>
      </c>
      <c r="F82" s="34">
        <f>+IFERROR('Q8'!F83/'Q8'!F78*100-100,0)</f>
        <v>-8.4575496473114526</v>
      </c>
      <c r="G82" s="34">
        <f>+IFERROR('Q8'!G83/'Q8'!G78*100-100,0)</f>
        <v>-3.9165591600892071</v>
      </c>
      <c r="H82" s="34">
        <f>+IFERROR('Q8'!H83/'Q8'!H78*100-100,0)</f>
        <v>0.23221777221722562</v>
      </c>
      <c r="I82" s="34">
        <f>+IFERROR('Q8'!I83/'Q8'!I78*100-100,0)</f>
        <v>4.6619331519436571</v>
      </c>
      <c r="J82" s="34">
        <f>+IFERROR('Q8'!J83/'Q8'!J78*100-100,0)</f>
        <v>-8.5774044099487838</v>
      </c>
      <c r="K82" s="34">
        <f>+IFERROR('Q8'!K83/'Q8'!K78*100-100,0)</f>
        <v>-0.84700878785577061</v>
      </c>
      <c r="L82" s="34">
        <f>+IFERROR('Q8'!L83/'Q8'!L78*100-100,0)</f>
        <v>0.33628879288470159</v>
      </c>
      <c r="M82" s="34">
        <f>+IFERROR('Q8'!M83/'Q8'!M78*100-100,0)</f>
        <v>0.84874821427966651</v>
      </c>
      <c r="N82" s="34">
        <f>+IFERROR('Q8'!N83/'Q8'!N78*100-100,0)</f>
        <v>1.3140309107153314</v>
      </c>
      <c r="O82" s="34">
        <f>+IFERROR('Q8'!O83/'Q8'!O78*100-100,0)</f>
        <v>21.341690465265572</v>
      </c>
      <c r="P82" s="34">
        <f>+IFERROR('Q8'!P83/'Q8'!P78*100-100,0)</f>
        <v>2.8048629779710836</v>
      </c>
      <c r="Q82" s="34">
        <f>+IFERROR('Q8'!Q83/'Q8'!Q78*100-100,0)</f>
        <v>0.35175830696705646</v>
      </c>
      <c r="R82" s="34">
        <f>+IFERROR('Q8'!R83/'Q8'!R78*100-100,0)</f>
        <v>0.20856372323177652</v>
      </c>
      <c r="S82" s="34">
        <f>+IFERROR('Q8'!S83/'Q8'!S78*100-100,0)</f>
        <v>2.7667986458637586</v>
      </c>
      <c r="T82" s="34">
        <f>+IFERROR('Q8'!T83/'Q8'!T78*100-100,0)</f>
        <v>-54.605813354628197</v>
      </c>
      <c r="U82" s="34">
        <f>+IFERROR('Q8'!U83/'Q8'!U78*100-100,0)</f>
        <v>-1.3502443878343371</v>
      </c>
    </row>
    <row r="83" spans="1:21" x14ac:dyDescent="0.25">
      <c r="A83" s="95"/>
      <c r="B83" s="99">
        <v>2018</v>
      </c>
      <c r="C83" s="61" t="s">
        <v>28</v>
      </c>
      <c r="D83" s="21">
        <f>+IFERROR('Q8'!D84/'Q8'!D79*100-100,0)</f>
        <v>1.8805901046047495</v>
      </c>
      <c r="E83" s="21">
        <f>+IFERROR('Q8'!E84/'Q8'!E79*100-100,0)</f>
        <v>1.605855905211385</v>
      </c>
      <c r="F83" s="21">
        <f>+IFERROR('Q8'!F84/'Q8'!F79*100-100,0)</f>
        <v>-6.7934788228590293</v>
      </c>
      <c r="G83" s="21">
        <f>+IFERROR('Q8'!G84/'Q8'!G79*100-100,0)</f>
        <v>-3.0905866024868942</v>
      </c>
      <c r="H83" s="21">
        <f>+IFERROR('Q8'!H84/'Q8'!H79*100-100,0)</f>
        <v>1.2515404308918647</v>
      </c>
      <c r="I83" s="21">
        <f>+IFERROR('Q8'!I84/'Q8'!I79*100-100,0)</f>
        <v>5.111613771384981</v>
      </c>
      <c r="J83" s="21">
        <f>+IFERROR('Q8'!J84/'Q8'!J79*100-100,0)</f>
        <v>-27.309672951656268</v>
      </c>
      <c r="K83" s="21">
        <f>+IFERROR('Q8'!K84/'Q8'!K79*100-100,0)</f>
        <v>1.1408175686112259</v>
      </c>
      <c r="L83" s="21">
        <f>+IFERROR('Q8'!L84/'Q8'!L79*100-100,0)</f>
        <v>1.8771139830034258</v>
      </c>
      <c r="M83" s="21">
        <f>+IFERROR('Q8'!M84/'Q8'!M79*100-100,0)</f>
        <v>2.8589519426727321</v>
      </c>
      <c r="N83" s="21">
        <f>+IFERROR('Q8'!N84/'Q8'!N79*100-100,0)</f>
        <v>-0.9856440479252484</v>
      </c>
      <c r="O83" s="21">
        <f>+IFERROR('Q8'!O84/'Q8'!O79*100-100,0)</f>
        <v>17.993443886984892</v>
      </c>
      <c r="P83" s="21">
        <f>+IFERROR('Q8'!P84/'Q8'!P79*100-100,0)</f>
        <v>6.7853876764310712</v>
      </c>
      <c r="Q83" s="21">
        <f>+IFERROR('Q8'!Q84/'Q8'!Q79*100-100,0)</f>
        <v>0.65177077667482308</v>
      </c>
      <c r="R83" s="21">
        <f>+IFERROR('Q8'!R84/'Q8'!R79*100-100,0)</f>
        <v>2.9221086205648845</v>
      </c>
      <c r="S83" s="21">
        <f>+IFERROR('Q8'!S84/'Q8'!S79*100-100,0)</f>
        <v>8.2190328289952106</v>
      </c>
      <c r="T83" s="21">
        <f>+IFERROR('Q8'!T84/'Q8'!T79*100-100,0)</f>
        <v>-99.979627710053975</v>
      </c>
      <c r="U83" s="22">
        <f>+IFERROR('Q8'!U84/'Q8'!U79*100-100,0)</f>
        <v>-1.4473618896704039</v>
      </c>
    </row>
    <row r="84" spans="1:21" x14ac:dyDescent="0.25">
      <c r="A84" s="95"/>
      <c r="B84" s="100"/>
      <c r="C84" s="19" t="s">
        <v>29</v>
      </c>
      <c r="D84" s="2">
        <f>+IFERROR('Q8'!D85/'Q8'!D80*100-100,0)</f>
        <v>-0.27567251284648364</v>
      </c>
      <c r="E84" s="2">
        <f>+IFERROR('Q8'!E85/'Q8'!E80*100-100,0)</f>
        <v>4.3215496626409333</v>
      </c>
      <c r="F84" s="2">
        <f>+IFERROR('Q8'!F85/'Q8'!F80*100-100,0)</f>
        <v>-7.1796714988493022</v>
      </c>
      <c r="G84" s="2">
        <f>+IFERROR('Q8'!G85/'Q8'!G80*100-100,0)</f>
        <v>-2.9559635977339127</v>
      </c>
      <c r="H84" s="2">
        <f>+IFERROR('Q8'!H85/'Q8'!H80*100-100,0)</f>
        <v>-0.57720210698879271</v>
      </c>
      <c r="I84" s="2">
        <f>+IFERROR('Q8'!I85/'Q8'!I80*100-100,0)</f>
        <v>8.3314944811856861</v>
      </c>
      <c r="J84" s="2">
        <f>+IFERROR('Q8'!J85/'Q8'!J80*100-100,0)</f>
        <v>-18.135607830778369</v>
      </c>
      <c r="K84" s="2">
        <f>+IFERROR('Q8'!K85/'Q8'!K80*100-100,0)</f>
        <v>-1.4757771909447399</v>
      </c>
      <c r="L84" s="2">
        <f>+IFERROR('Q8'!L85/'Q8'!L80*100-100,0)</f>
        <v>0.51119487271682829</v>
      </c>
      <c r="M84" s="2">
        <f>+IFERROR('Q8'!M85/'Q8'!M80*100-100,0)</f>
        <v>2.9151015825867717</v>
      </c>
      <c r="N84" s="2">
        <f>+IFERROR('Q8'!N85/'Q8'!N80*100-100,0)</f>
        <v>1.5182018074654735</v>
      </c>
      <c r="O84" s="2">
        <f>+IFERROR('Q8'!O85/'Q8'!O80*100-100,0)</f>
        <v>16.588546345417882</v>
      </c>
      <c r="P84" s="2">
        <f>+IFERROR('Q8'!P85/'Q8'!P80*100-100,0)</f>
        <v>1.9474292395487396</v>
      </c>
      <c r="Q84" s="2">
        <f>+IFERROR('Q8'!Q85/'Q8'!Q80*100-100,0)</f>
        <v>0.36437172447485011</v>
      </c>
      <c r="R84" s="2">
        <f>+IFERROR('Q8'!R85/'Q8'!R80*100-100,0)</f>
        <v>-1.4699124603223623</v>
      </c>
      <c r="S84" s="2">
        <f>+IFERROR('Q8'!S85/'Q8'!S80*100-100,0)</f>
        <v>-1.415618993321516</v>
      </c>
      <c r="T84" s="2">
        <f>+IFERROR('Q8'!T85/'Q8'!T80*100-100,0)</f>
        <v>-68.420590788045985</v>
      </c>
      <c r="U84" s="23">
        <f>+IFERROR('Q8'!U85/'Q8'!U80*100-100,0)</f>
        <v>-2.0156487519955988</v>
      </c>
    </row>
    <row r="85" spans="1:21" x14ac:dyDescent="0.25">
      <c r="A85" s="95"/>
      <c r="B85" s="100"/>
      <c r="C85" s="19" t="s">
        <v>30</v>
      </c>
      <c r="D85" s="2">
        <f>+IFERROR('Q8'!D86/'Q8'!D81*100-100,0)</f>
        <v>-0.58261945785666569</v>
      </c>
      <c r="E85" s="2">
        <f>+IFERROR('Q8'!E86/'Q8'!E81*100-100,0)</f>
        <v>-2.8515880914696226</v>
      </c>
      <c r="F85" s="2">
        <f>+IFERROR('Q8'!F86/'Q8'!F81*100-100,0)</f>
        <v>-8.8839839115464088</v>
      </c>
      <c r="G85" s="2">
        <f>+IFERROR('Q8'!G86/'Q8'!G81*100-100,0)</f>
        <v>-6.01802687665554</v>
      </c>
      <c r="H85" s="2">
        <f>+IFERROR('Q8'!H86/'Q8'!H81*100-100,0)</f>
        <v>-0.92826084794302233</v>
      </c>
      <c r="I85" s="2">
        <f>+IFERROR('Q8'!I86/'Q8'!I81*100-100,0)</f>
        <v>4.2038093332686515</v>
      </c>
      <c r="J85" s="2">
        <f>+IFERROR('Q8'!J86/'Q8'!J81*100-100,0)</f>
        <v>-10.006116252120151</v>
      </c>
      <c r="K85" s="2">
        <f>+IFERROR('Q8'!K86/'Q8'!K81*100-100,0)</f>
        <v>-1.8128748941391422</v>
      </c>
      <c r="L85" s="2">
        <f>+IFERROR('Q8'!L86/'Q8'!L81*100-100,0)</f>
        <v>0.24569807272693822</v>
      </c>
      <c r="M85" s="2">
        <f>+IFERROR('Q8'!M86/'Q8'!M81*100-100,0)</f>
        <v>0.19906505001810615</v>
      </c>
      <c r="N85" s="2">
        <f>+IFERROR('Q8'!N86/'Q8'!N81*100-100,0)</f>
        <v>3.7200829328126304</v>
      </c>
      <c r="O85" s="2">
        <f>+IFERROR('Q8'!O86/'Q8'!O81*100-100,0)</f>
        <v>15.723718532305725</v>
      </c>
      <c r="P85" s="2">
        <f>+IFERROR('Q8'!P86/'Q8'!P81*100-100,0)</f>
        <v>3.0517572216905933</v>
      </c>
      <c r="Q85" s="2">
        <f>+IFERROR('Q8'!Q86/'Q8'!Q81*100-100,0)</f>
        <v>0.25712258547316935</v>
      </c>
      <c r="R85" s="2">
        <f>+IFERROR('Q8'!R86/'Q8'!R81*100-100,0)</f>
        <v>8.1497698578061772E-2</v>
      </c>
      <c r="S85" s="2">
        <f>+IFERROR('Q8'!S86/'Q8'!S81*100-100,0)</f>
        <v>0.51503396725034634</v>
      </c>
      <c r="T85" s="2">
        <f>+IFERROR('Q8'!T86/'Q8'!T81*100-100,0)</f>
        <v>-74.845193256412571</v>
      </c>
      <c r="U85" s="23">
        <f>+IFERROR('Q8'!U86/'Q8'!U81*100-100,0)</f>
        <v>-1.9937882053119296</v>
      </c>
    </row>
    <row r="86" spans="1:21" x14ac:dyDescent="0.25">
      <c r="A86" s="95"/>
      <c r="B86" s="101"/>
      <c r="C86" s="52" t="s">
        <v>31</v>
      </c>
      <c r="D86" s="20">
        <f>+IFERROR('Q8'!D87/'Q8'!D82*100-100,0)</f>
        <v>-0.26663931118335427</v>
      </c>
      <c r="E86" s="20">
        <f>+IFERROR('Q8'!E87/'Q8'!E82*100-100,0)</f>
        <v>-3.7590263626551916</v>
      </c>
      <c r="F86" s="20">
        <f>+IFERROR('Q8'!F87/'Q8'!F82*100-100,0)</f>
        <v>-9.1895044919489237</v>
      </c>
      <c r="G86" s="20">
        <f>+IFERROR('Q8'!G87/'Q8'!G82*100-100,0)</f>
        <v>-3.0869814119276526</v>
      </c>
      <c r="H86" s="20">
        <f>+IFERROR('Q8'!H87/'Q8'!H82*100-100,0)</f>
        <v>1.1977985999745044</v>
      </c>
      <c r="I86" s="20">
        <f>+IFERROR('Q8'!I87/'Q8'!I82*100-100,0)</f>
        <v>3.06830529341741</v>
      </c>
      <c r="J86" s="20">
        <f>+IFERROR('Q8'!J87/'Q8'!J82*100-100,0)</f>
        <v>-5.3010531497079683E-3</v>
      </c>
      <c r="K86" s="20">
        <f>+IFERROR('Q8'!K87/'Q8'!K82*100-100,0)</f>
        <v>-0.30070270683378908</v>
      </c>
      <c r="L86" s="20">
        <f>+IFERROR('Q8'!L87/'Q8'!L82*100-100,0)</f>
        <v>3.9903689749138493E-2</v>
      </c>
      <c r="M86" s="20">
        <f>+IFERROR('Q8'!M87/'Q8'!M82*100-100,0)</f>
        <v>-0.14851805580347843</v>
      </c>
      <c r="N86" s="20">
        <f>+IFERROR('Q8'!N87/'Q8'!N82*100-100,0)</f>
        <v>-1.6730307857145021E-2</v>
      </c>
      <c r="O86" s="20">
        <f>+IFERROR('Q8'!O87/'Q8'!O82*100-100,0)</f>
        <v>28.635628674710773</v>
      </c>
      <c r="P86" s="20">
        <f>+IFERROR('Q8'!P87/'Q8'!P82*100-100,0)</f>
        <v>2.0848927949704432</v>
      </c>
      <c r="Q86" s="20">
        <f>+IFERROR('Q8'!Q87/'Q8'!Q82*100-100,0)</f>
        <v>0.34135733287111236</v>
      </c>
      <c r="R86" s="20">
        <f>+IFERROR('Q8'!R87/'Q8'!R82*100-100,0)</f>
        <v>0.4396408141749788</v>
      </c>
      <c r="S86" s="20">
        <f>+IFERROR('Q8'!S87/'Q8'!S82*100-100,0)</f>
        <v>5.4015252015555006</v>
      </c>
      <c r="T86" s="20">
        <f>+IFERROR('Q8'!T87/'Q8'!T82*100-100,0)</f>
        <v>-28.302808629130027</v>
      </c>
      <c r="U86" s="24">
        <f>+IFERROR('Q8'!U87/'Q8'!U82*100-100,0)</f>
        <v>-0.50669754361614139</v>
      </c>
    </row>
    <row r="87" spans="1:21" x14ac:dyDescent="0.25">
      <c r="A87" s="95"/>
      <c r="B87" s="51"/>
      <c r="C87" s="57" t="s">
        <v>51</v>
      </c>
      <c r="D87" s="34">
        <f>+IFERROR('Q8'!D88/'Q8'!D83*100-100,0)</f>
        <v>1.5209678710164383</v>
      </c>
      <c r="E87" s="34">
        <f>+IFERROR('Q8'!E88/'Q8'!E83*100-100,0)</f>
        <v>-10.779837616970951</v>
      </c>
      <c r="F87" s="34">
        <f>+IFERROR('Q8'!F88/'Q8'!F83*100-100,0)</f>
        <v>-7.2325817885030261</v>
      </c>
      <c r="G87" s="34">
        <f>+IFERROR('Q8'!G88/'Q8'!G83*100-100,0)</f>
        <v>6.1143895793078116</v>
      </c>
      <c r="H87" s="34">
        <f>+IFERROR('Q8'!H88/'Q8'!H83*100-100,0)</f>
        <v>-4.092862831784629</v>
      </c>
      <c r="I87" s="34">
        <f>+IFERROR('Q8'!I88/'Q8'!I83*100-100,0)</f>
        <v>2.7989499929622639</v>
      </c>
      <c r="J87" s="34">
        <f>+IFERROR('Q8'!J88/'Q8'!J83*100-100,0)</f>
        <v>13.456812508656128</v>
      </c>
      <c r="K87" s="34">
        <f>+IFERROR('Q8'!K88/'Q8'!K83*100-100,0)</f>
        <v>2.1657820064203435</v>
      </c>
      <c r="L87" s="34">
        <f>+IFERROR('Q8'!L88/'Q8'!L83*100-100,0)</f>
        <v>-5.3128868312754207E-2</v>
      </c>
      <c r="M87" s="34">
        <f>+IFERROR('Q8'!M88/'Q8'!M83*100-100,0)</f>
        <v>2.064140218240567</v>
      </c>
      <c r="N87" s="34">
        <f>+IFERROR('Q8'!N88/'Q8'!N83*100-100,0)</f>
        <v>-1.2126051288708624</v>
      </c>
      <c r="O87" s="34">
        <f>+IFERROR('Q8'!O88/'Q8'!O83*100-100,0)</f>
        <v>-10.876530700647649</v>
      </c>
      <c r="P87" s="34">
        <f>+IFERROR('Q8'!P88/'Q8'!P83*100-100,0)</f>
        <v>2.5107028034835395</v>
      </c>
      <c r="Q87" s="34">
        <f>+IFERROR('Q8'!Q88/'Q8'!Q83*100-100,0)</f>
        <v>2.1957650442481622</v>
      </c>
      <c r="R87" s="34">
        <f>+IFERROR('Q8'!R88/'Q8'!R83*100-100,0)</f>
        <v>3.1654929113282861</v>
      </c>
      <c r="S87" s="34">
        <f>+IFERROR('Q8'!S88/'Q8'!S83*100-100,0)</f>
        <v>-34.597285514278369</v>
      </c>
      <c r="T87" s="34">
        <f>+IFERROR('Q8'!T88/'Q8'!T83*100-100,0)</f>
        <v>0.6366367943173401</v>
      </c>
      <c r="U87" s="34">
        <f>+IFERROR('Q8'!U88/'Q8'!U83*100-100,0)</f>
        <v>-0.56961338067141298</v>
      </c>
    </row>
    <row r="88" spans="1:21" x14ac:dyDescent="0.25">
      <c r="A88" s="95"/>
      <c r="B88" s="99">
        <v>2019</v>
      </c>
      <c r="C88" s="61" t="s">
        <v>28</v>
      </c>
      <c r="D88" s="21">
        <f>+IFERROR('Q8'!D89/'Q8'!D84*100-100,0)</f>
        <v>1.4034246283649168</v>
      </c>
      <c r="E88" s="21">
        <f>+IFERROR('Q8'!E89/'Q8'!E84*100-100,0)</f>
        <v>6.3862812919091851</v>
      </c>
      <c r="F88" s="21">
        <f>+IFERROR('Q8'!F89/'Q8'!F84*100-100,0)</f>
        <v>-7.5270111156971922</v>
      </c>
      <c r="G88" s="21">
        <f>+IFERROR('Q8'!G89/'Q8'!G84*100-100,0)</f>
        <v>3.6462932739422342</v>
      </c>
      <c r="H88" s="21">
        <f>+IFERROR('Q8'!H89/'Q8'!H84*100-100,0)</f>
        <v>-9.4659259599482652</v>
      </c>
      <c r="I88" s="21">
        <f>+IFERROR('Q8'!I89/'Q8'!I84*100-100,0)</f>
        <v>1.1487746759922146</v>
      </c>
      <c r="J88" s="21">
        <f>+IFERROR('Q8'!J89/'Q8'!J84*100-100,0)</f>
        <v>61.963259376026599</v>
      </c>
      <c r="K88" s="21">
        <f>+IFERROR('Q8'!K89/'Q8'!K84*100-100,0)</f>
        <v>1.4301477495836963</v>
      </c>
      <c r="L88" s="21">
        <f>+IFERROR('Q8'!L89/'Q8'!L84*100-100,0)</f>
        <v>0.93635817918620035</v>
      </c>
      <c r="M88" s="21">
        <f>+IFERROR('Q8'!M89/'Q8'!M84*100-100,0)</f>
        <v>-0.4002274333555107</v>
      </c>
      <c r="N88" s="21">
        <f>+IFERROR('Q8'!N89/'Q8'!N84*100-100,0)</f>
        <v>0.88820196696941878</v>
      </c>
      <c r="O88" s="21">
        <f>+IFERROR('Q8'!O89/'Q8'!O84*100-100,0)</f>
        <v>-6.2381325869418163</v>
      </c>
      <c r="P88" s="21">
        <f>+IFERROR('Q8'!P89/'Q8'!P84*100-100,0)</f>
        <v>2.0099296426780029</v>
      </c>
      <c r="Q88" s="21">
        <f>+IFERROR('Q8'!Q89/'Q8'!Q84*100-100,0)</f>
        <v>1.4408668699224449</v>
      </c>
      <c r="R88" s="21">
        <f>+IFERROR('Q8'!R89/'Q8'!R84*100-100,0)</f>
        <v>-6.2891142730380523</v>
      </c>
      <c r="S88" s="21">
        <f>+IFERROR('Q8'!S89/'Q8'!S84*100-100,0)</f>
        <v>-39.637429952570983</v>
      </c>
      <c r="T88" s="21">
        <f>+IFERROR('Q8'!T89/'Q8'!T84*100-100,0)</f>
        <v>-17.629403788584014</v>
      </c>
      <c r="U88" s="22">
        <f>+IFERROR('Q8'!U89/'Q8'!U84*100-100,0)</f>
        <v>2.0022813584470214</v>
      </c>
    </row>
    <row r="89" spans="1:21" x14ac:dyDescent="0.25">
      <c r="A89" s="95"/>
      <c r="B89" s="100"/>
      <c r="C89" s="19" t="s">
        <v>29</v>
      </c>
      <c r="D89" s="2">
        <f>+IFERROR('Q8'!D90/'Q8'!D85*100-100,0)</f>
        <v>1.6125115494725009</v>
      </c>
      <c r="E89" s="2">
        <f>+IFERROR('Q8'!E90/'Q8'!E85*100-100,0)</f>
        <v>-7.2742573991520203</v>
      </c>
      <c r="F89" s="2">
        <f>+IFERROR('Q8'!F90/'Q8'!F85*100-100,0)</f>
        <v>-7.0366568236786406</v>
      </c>
      <c r="G89" s="2">
        <f>+IFERROR('Q8'!G90/'Q8'!G85*100-100,0)</f>
        <v>0.96832130651982595</v>
      </c>
      <c r="H89" s="2">
        <f>+IFERROR('Q8'!H90/'Q8'!H85*100-100,0)</f>
        <v>-4.1936269404164506</v>
      </c>
      <c r="I89" s="2">
        <f>+IFERROR('Q8'!I90/'Q8'!I85*100-100,0)</f>
        <v>0.98429954455778557</v>
      </c>
      <c r="J89" s="2">
        <f>+IFERROR('Q8'!J90/'Q8'!J85*100-100,0)</f>
        <v>21.616365318000248</v>
      </c>
      <c r="K89" s="2">
        <f>+IFERROR('Q8'!K90/'Q8'!K85*100-100,0)</f>
        <v>2.386769478768386</v>
      </c>
      <c r="L89" s="2">
        <f>+IFERROR('Q8'!L90/'Q8'!L85*100-100,0)</f>
        <v>-0.95205807272708398</v>
      </c>
      <c r="M89" s="2">
        <f>+IFERROR('Q8'!M90/'Q8'!M85*100-100,0)</f>
        <v>-1.551084081825806</v>
      </c>
      <c r="N89" s="2">
        <f>+IFERROR('Q8'!N90/'Q8'!N85*100-100,0)</f>
        <v>-0.90145292278894829</v>
      </c>
      <c r="O89" s="2">
        <f>+IFERROR('Q8'!O90/'Q8'!O85*100-100,0)</f>
        <v>-11.258487095596792</v>
      </c>
      <c r="P89" s="2">
        <f>+IFERROR('Q8'!P90/'Q8'!P85*100-100,0)</f>
        <v>1.7362755267017889</v>
      </c>
      <c r="Q89" s="2">
        <f>+IFERROR('Q8'!Q90/'Q8'!Q85*100-100,0)</f>
        <v>1.8962065644414707</v>
      </c>
      <c r="R89" s="2">
        <f>+IFERROR('Q8'!R90/'Q8'!R85*100-100,0)</f>
        <v>2.2589666848770804</v>
      </c>
      <c r="S89" s="2">
        <f>+IFERROR('Q8'!S90/'Q8'!S85*100-100,0)</f>
        <v>-39.700192912120016</v>
      </c>
      <c r="T89" s="2">
        <f>+IFERROR('Q8'!T90/'Q8'!T85*100-100,0)</f>
        <v>50.340607924280675</v>
      </c>
      <c r="U89" s="23">
        <f>+IFERROR('Q8'!U90/'Q8'!U85*100-100,0)</f>
        <v>-0.19551638291484608</v>
      </c>
    </row>
    <row r="90" spans="1:21" x14ac:dyDescent="0.25">
      <c r="A90" s="95"/>
      <c r="B90" s="100"/>
      <c r="C90" s="19" t="s">
        <v>30</v>
      </c>
      <c r="D90" s="2">
        <f>+IFERROR('Q8'!D91/'Q8'!D86*100-100,0)</f>
        <v>1.6793442550894042</v>
      </c>
      <c r="E90" s="2">
        <f>+IFERROR('Q8'!E91/'Q8'!E86*100-100,0)</f>
        <v>-13.362616321819715</v>
      </c>
      <c r="F90" s="2">
        <f>+IFERROR('Q8'!F91/'Q8'!F86*100-100,0)</f>
        <v>-7.312898636910063</v>
      </c>
      <c r="G90" s="2">
        <f>+IFERROR('Q8'!G91/'Q8'!G86*100-100,0)</f>
        <v>12.893053707215543</v>
      </c>
      <c r="H90" s="2">
        <f>+IFERROR('Q8'!H91/'Q8'!H86*100-100,0)</f>
        <v>-3.8929359165650084</v>
      </c>
      <c r="I90" s="2">
        <f>+IFERROR('Q8'!I91/'Q8'!I86*100-100,0)</f>
        <v>2.3664249040262035</v>
      </c>
      <c r="J90" s="2">
        <f>+IFERROR('Q8'!J91/'Q8'!J86*100-100,0)</f>
        <v>12.057213059355831</v>
      </c>
      <c r="K90" s="2">
        <f>+IFERROR('Q8'!K91/'Q8'!K86*100-100,0)</f>
        <v>2.6580573219349333</v>
      </c>
      <c r="L90" s="2">
        <f>+IFERROR('Q8'!L91/'Q8'!L86*100-100,0)</f>
        <v>-0.37074864543255615</v>
      </c>
      <c r="M90" s="2">
        <f>+IFERROR('Q8'!M91/'Q8'!M86*100-100,0)</f>
        <v>-0.95641288159782789</v>
      </c>
      <c r="N90" s="2">
        <f>+IFERROR('Q8'!N91/'Q8'!N86*100-100,0)</f>
        <v>-1.4361259703983222</v>
      </c>
      <c r="O90" s="2">
        <f>+IFERROR('Q8'!O91/'Q8'!O86*100-100,0)</f>
        <v>-17.428533202250591</v>
      </c>
      <c r="P90" s="2">
        <f>+IFERROR('Q8'!P91/'Q8'!P86*100-100,0)</f>
        <v>3.3132041984943896</v>
      </c>
      <c r="Q90" s="2">
        <f>+IFERROR('Q8'!Q91/'Q8'!Q86*100-100,0)</f>
        <v>2.2457019426540938</v>
      </c>
      <c r="R90" s="2">
        <f>+IFERROR('Q8'!R91/'Q8'!R86*100-100,0)</f>
        <v>3.9642411783088249</v>
      </c>
      <c r="S90" s="2">
        <f>+IFERROR('Q8'!S91/'Q8'!S86*100-100,0)</f>
        <v>-38.746734541140384</v>
      </c>
      <c r="T90" s="2">
        <f>+IFERROR('Q8'!T91/'Q8'!T86*100-100,0)</f>
        <v>101.45036753505286</v>
      </c>
      <c r="U90" s="23">
        <f>+IFERROR('Q8'!U91/'Q8'!U86*100-100,0)</f>
        <v>-1.0070490498185478</v>
      </c>
    </row>
    <row r="91" spans="1:21" x14ac:dyDescent="0.25">
      <c r="A91" s="95"/>
      <c r="B91" s="101"/>
      <c r="C91" s="52" t="s">
        <v>31</v>
      </c>
      <c r="D91" s="20">
        <f>+IFERROR('Q8'!D92/'Q8'!D87*100-100,0)</f>
        <v>1.3544906970559936</v>
      </c>
      <c r="E91" s="20">
        <f>+IFERROR('Q8'!E92/'Q8'!E87*100-100,0)</f>
        <v>-14.788288676057832</v>
      </c>
      <c r="F91" s="20">
        <f>+IFERROR('Q8'!F92/'Q8'!F87*100-100,0)</f>
        <v>-7.1960940609897648</v>
      </c>
      <c r="G91" s="20">
        <f>+IFERROR('Q8'!G92/'Q8'!G87*100-100,0)</f>
        <v>4.5741133225345436</v>
      </c>
      <c r="H91" s="20">
        <f>+IFERROR('Q8'!H92/'Q8'!H87*100-100,0)</f>
        <v>-2.8096626731023804</v>
      </c>
      <c r="I91" s="20">
        <f>+IFERROR('Q8'!I92/'Q8'!I87*100-100,0)</f>
        <v>4.5023241371721099</v>
      </c>
      <c r="J91" s="20">
        <f>+IFERROR('Q8'!J92/'Q8'!J87*100-100,0)</f>
        <v>4.4932392630848454</v>
      </c>
      <c r="K91" s="20">
        <f>+IFERROR('Q8'!K92/'Q8'!K87*100-100,0)</f>
        <v>1.8775996662374013</v>
      </c>
      <c r="L91" s="20">
        <f>+IFERROR('Q8'!L92/'Q8'!L87*100-100,0)</f>
        <v>0.51416225534602233</v>
      </c>
      <c r="M91" s="20">
        <f>+IFERROR('Q8'!M92/'Q8'!M87*100-100,0)</f>
        <v>6.9947496731560079</v>
      </c>
      <c r="N91" s="20">
        <f>+IFERROR('Q8'!N92/'Q8'!N87*100-100,0)</f>
        <v>-1.7128516309174984</v>
      </c>
      <c r="O91" s="20">
        <f>+IFERROR('Q8'!O92/'Q8'!O87*100-100,0)</f>
        <v>-7.326103617749169</v>
      </c>
      <c r="P91" s="20">
        <f>+IFERROR('Q8'!P92/'Q8'!P87*100-100,0)</f>
        <v>2.413602145772046</v>
      </c>
      <c r="Q91" s="20">
        <f>+IFERROR('Q8'!Q92/'Q8'!Q87*100-100,0)</f>
        <v>2.4982246556189978</v>
      </c>
      <c r="R91" s="20">
        <f>+IFERROR('Q8'!R92/'Q8'!R87*100-100,0)</f>
        <v>5.5811804633997326</v>
      </c>
      <c r="S91" s="20">
        <f>+IFERROR('Q8'!S92/'Q8'!S87*100-100,0)</f>
        <v>-27.713443244256794</v>
      </c>
      <c r="T91" s="20">
        <f>+IFERROR('Q8'!T92/'Q8'!T87*100-100,0)</f>
        <v>-37.992920003056931</v>
      </c>
      <c r="U91" s="24">
        <f>+IFERROR('Q8'!U92/'Q8'!U87*100-100,0)</f>
        <v>-1.0552341449430003</v>
      </c>
    </row>
    <row r="92" spans="1:21" x14ac:dyDescent="0.25">
      <c r="A92" s="95"/>
      <c r="B92" s="51"/>
      <c r="C92" s="57" t="s">
        <v>51</v>
      </c>
      <c r="D92" s="34">
        <f>+IFERROR('Q8'!D93/'Q8'!D88*100-100,0)</f>
        <v>4.4883714481034787</v>
      </c>
      <c r="E92" s="34">
        <f>+IFERROR('Q8'!E93/'Q8'!E88*100-100,0)</f>
        <v>-7.765960360246666</v>
      </c>
      <c r="F92" s="34">
        <f>+IFERROR('Q8'!F93/'Q8'!F88*100-100,0)</f>
        <v>-5.4279520823235288</v>
      </c>
      <c r="G92" s="34">
        <f>+IFERROR('Q8'!G93/'Q8'!G88*100-100,0)</f>
        <v>-12.006040666816233</v>
      </c>
      <c r="H92" s="34">
        <f>+IFERROR('Q8'!H93/'Q8'!H88*100-100,0)</f>
        <v>4.1755831827553465</v>
      </c>
      <c r="I92" s="34">
        <f>+IFERROR('Q8'!I93/'Q8'!I88*100-100,0)</f>
        <v>4.3623369349146515</v>
      </c>
      <c r="J92" s="34">
        <f>+IFERROR('Q8'!J93/'Q8'!J88*100-100,0)</f>
        <v>-24.407895611714835</v>
      </c>
      <c r="K92" s="34">
        <f>+IFERROR('Q8'!K93/'Q8'!K88*100-100,0)</f>
        <v>-2.6556730161246378E-2</v>
      </c>
      <c r="L92" s="34">
        <f>+IFERROR('Q8'!L93/'Q8'!L88*100-100,0)</f>
        <v>0.23386340359499513</v>
      </c>
      <c r="M92" s="34">
        <f>+IFERROR('Q8'!M93/'Q8'!M88*100-100,0)</f>
        <v>-39.289276381318253</v>
      </c>
      <c r="N92" s="34">
        <f>+IFERROR('Q8'!N93/'Q8'!N88*100-100,0)</f>
        <v>-10.606141329592418</v>
      </c>
      <c r="O92" s="34">
        <f>+IFERROR('Q8'!O93/'Q8'!O88*100-100,0)</f>
        <v>23.157889565053409</v>
      </c>
      <c r="P92" s="34">
        <f>+IFERROR('Q8'!P93/'Q8'!P88*100-100,0)</f>
        <v>-3.9014371429267243</v>
      </c>
      <c r="Q92" s="34">
        <f>+IFERROR('Q8'!Q93/'Q8'!Q88*100-100,0)</f>
        <v>-5.242466781268476</v>
      </c>
      <c r="R92" s="34">
        <f>+IFERROR('Q8'!R93/'Q8'!R88*100-100,0)</f>
        <v>4.9409083990682063</v>
      </c>
      <c r="S92" s="34">
        <f>+IFERROR('Q8'!S93/'Q8'!S88*100-100,0)</f>
        <v>68.350895365454903</v>
      </c>
      <c r="T92" s="34">
        <f>+IFERROR('Q8'!T93/'Q8'!T88*100-100,0)</f>
        <v>1323.1232548406877</v>
      </c>
      <c r="U92" s="34">
        <f>+IFERROR('Q8'!U93/'Q8'!U88*100-100,0)</f>
        <v>-4.5445612484090248</v>
      </c>
    </row>
    <row r="93" spans="1:21" x14ac:dyDescent="0.25">
      <c r="A93" s="95"/>
      <c r="B93" s="99">
        <v>2020</v>
      </c>
      <c r="C93" s="61" t="s">
        <v>28</v>
      </c>
      <c r="D93" s="21">
        <f>+IFERROR('Q8'!D94/'Q8'!D89*100-100,0)</f>
        <v>6.5073881937299092</v>
      </c>
      <c r="E93" s="21">
        <f>+IFERROR('Q8'!E94/'Q8'!E89*100-100,0)</f>
        <v>-2.3394501591064056</v>
      </c>
      <c r="F93" s="21">
        <f>+IFERROR('Q8'!F94/'Q8'!F89*100-100,0)</f>
        <v>-1.2255482850667931</v>
      </c>
      <c r="G93" s="21">
        <f>+IFERROR('Q8'!G94/'Q8'!G89*100-100,0)</f>
        <v>-5.7789583434861527</v>
      </c>
      <c r="H93" s="21">
        <f>+IFERROR('Q8'!H94/'Q8'!H89*100-100,0)</f>
        <v>8.2750135615543599</v>
      </c>
      <c r="I93" s="21">
        <f>+IFERROR('Q8'!I94/'Q8'!I89*100-100,0)</f>
        <v>5.6850729280339465</v>
      </c>
      <c r="J93" s="21">
        <f>+IFERROR('Q8'!J94/'Q8'!J89*100-100,0)</f>
        <v>-18.896109900241981</v>
      </c>
      <c r="K93" s="21">
        <f>+IFERROR('Q8'!K94/'Q8'!K89*100-100,0)</f>
        <v>2.5252060420245499</v>
      </c>
      <c r="L93" s="21">
        <f>+IFERROR('Q8'!L94/'Q8'!L89*100-100,0)</f>
        <v>-0.89722830073164062</v>
      </c>
      <c r="M93" s="21">
        <f>+IFERROR('Q8'!M94/'Q8'!M89*100-100,0)</f>
        <v>-1.8690168630487278</v>
      </c>
      <c r="N93" s="21">
        <f>+IFERROR('Q8'!N94/'Q8'!N89*100-100,0)</f>
        <v>-10.771693228209628</v>
      </c>
      <c r="O93" s="21">
        <f>+IFERROR('Q8'!O94/'Q8'!O89*100-100,0)</f>
        <v>71.816505246362681</v>
      </c>
      <c r="P93" s="21">
        <f>+IFERROR('Q8'!P94/'Q8'!P89*100-100,0)</f>
        <v>-1.3280239158845575E-2</v>
      </c>
      <c r="Q93" s="21">
        <f>+IFERROR('Q8'!Q94/'Q8'!Q89*100-100,0)</f>
        <v>2.9554935748246578</v>
      </c>
      <c r="R93" s="21">
        <f>+IFERROR('Q8'!R94/'Q8'!R89*100-100,0)</f>
        <v>22.170734567097242</v>
      </c>
      <c r="S93" s="21">
        <f>+IFERROR('Q8'!S94/'Q8'!S89*100-100,0)</f>
        <v>78.641170581257427</v>
      </c>
      <c r="T93" s="21">
        <f>+IFERROR('Q8'!T94/'Q8'!T89*100-100,0)</f>
        <v>15240810.338093096</v>
      </c>
      <c r="U93" s="22">
        <f>+IFERROR('Q8'!U94/'Q8'!U89*100-100,0)</f>
        <v>1.0934140664197827</v>
      </c>
    </row>
    <row r="94" spans="1:21" x14ac:dyDescent="0.25">
      <c r="A94" s="95"/>
      <c r="B94" s="100"/>
      <c r="C94" s="19" t="s">
        <v>29</v>
      </c>
      <c r="D94" s="2">
        <f>+IFERROR('Q8'!D95/'Q8'!D90*100-100,0)</f>
        <v>3.1154038761973055</v>
      </c>
      <c r="E94" s="2">
        <f>+IFERROR('Q8'!E95/'Q8'!E90*100-100,0)</f>
        <v>-9.4894311421143271</v>
      </c>
      <c r="F94" s="2">
        <f>+IFERROR('Q8'!F95/'Q8'!F90*100-100,0)</f>
        <v>-5.1351172390659769</v>
      </c>
      <c r="G94" s="2">
        <f>+IFERROR('Q8'!G95/'Q8'!G90*100-100,0)</f>
        <v>-11.169698418433342</v>
      </c>
      <c r="H94" s="2">
        <f>+IFERROR('Q8'!H95/'Q8'!H90*100-100,0)</f>
        <v>1.5850893027387798</v>
      </c>
      <c r="I94" s="2">
        <f>+IFERROR('Q8'!I95/'Q8'!I90*100-100,0)</f>
        <v>5.723516538190438</v>
      </c>
      <c r="J94" s="2">
        <f>+IFERROR('Q8'!J95/'Q8'!J90*100-100,0)</f>
        <v>-22.235099497782926</v>
      </c>
      <c r="K94" s="2">
        <f>+IFERROR('Q8'!K95/'Q8'!K90*100-100,0)</f>
        <v>-4.9984530715592257</v>
      </c>
      <c r="L94" s="2">
        <f>+IFERROR('Q8'!L95/'Q8'!L90*100-100,0)</f>
        <v>0.79017829233596615</v>
      </c>
      <c r="M94" s="2">
        <f>+IFERROR('Q8'!M95/'Q8'!M90*100-100,0)</f>
        <v>-40.756908770988268</v>
      </c>
      <c r="N94" s="2">
        <f>+IFERROR('Q8'!N95/'Q8'!N90*100-100,0)</f>
        <v>-10.647619203924492</v>
      </c>
      <c r="O94" s="2">
        <f>+IFERROR('Q8'!O95/'Q8'!O90*100-100,0)</f>
        <v>49.820668999969143</v>
      </c>
      <c r="P94" s="2">
        <f>+IFERROR('Q8'!P95/'Q8'!P90*100-100,0)</f>
        <v>-3.2125980050194016</v>
      </c>
      <c r="Q94" s="2">
        <f>+IFERROR('Q8'!Q95/'Q8'!Q90*100-100,0)</f>
        <v>-7.3365566532604163</v>
      </c>
      <c r="R94" s="2">
        <f>+IFERROR('Q8'!R95/'Q8'!R90*100-100,0)</f>
        <v>2.6328846902164287</v>
      </c>
      <c r="S94" s="2">
        <f>+IFERROR('Q8'!S95/'Q8'!S90*100-100,0)</f>
        <v>76.859003640568716</v>
      </c>
      <c r="T94" s="2">
        <f>+IFERROR('Q8'!T95/'Q8'!T90*100-100,0)</f>
        <v>1280.3564642666731</v>
      </c>
      <c r="U94" s="23">
        <f>+IFERROR('Q8'!U95/'Q8'!U90*100-100,0)</f>
        <v>-4.6482865276187653</v>
      </c>
    </row>
    <row r="95" spans="1:21" x14ac:dyDescent="0.25">
      <c r="A95" s="95"/>
      <c r="B95" s="100"/>
      <c r="C95" s="19" t="s">
        <v>30</v>
      </c>
      <c r="D95" s="2">
        <f>+IFERROR('Q8'!D96/'Q8'!D91*100-100,0)</f>
        <v>3.7478078823912568</v>
      </c>
      <c r="E95" s="2">
        <f>+IFERROR('Q8'!E96/'Q8'!E91*100-100,0)</f>
        <v>-11.112187484310681</v>
      </c>
      <c r="F95" s="2">
        <f>+IFERROR('Q8'!F96/'Q8'!F91*100-100,0)</f>
        <v>-5.3257969909159044</v>
      </c>
      <c r="G95" s="2">
        <f>+IFERROR('Q8'!G96/'Q8'!G91*100-100,0)</f>
        <v>-15.89998563790607</v>
      </c>
      <c r="H95" s="2">
        <f>+IFERROR('Q8'!H96/'Q8'!H91*100-100,0)</f>
        <v>3.5715118402104906</v>
      </c>
      <c r="I95" s="2">
        <f>+IFERROR('Q8'!I96/'Q8'!I91*100-100,0)</f>
        <v>4.943962283678772</v>
      </c>
      <c r="J95" s="2">
        <f>+IFERROR('Q8'!J96/'Q8'!J91*100-100,0)</f>
        <v>-25.474857996705168</v>
      </c>
      <c r="K95" s="2">
        <f>+IFERROR('Q8'!K96/'Q8'!K91*100-100,0)</f>
        <v>-2.2595234757756657</v>
      </c>
      <c r="L95" s="2">
        <f>+IFERROR('Q8'!L96/'Q8'!L91*100-100,0)</f>
        <v>0.47743658558721336</v>
      </c>
      <c r="M95" s="2">
        <f>+IFERROR('Q8'!M96/'Q8'!M91*100-100,0)</f>
        <v>-50.814559946273391</v>
      </c>
      <c r="N95" s="2">
        <f>+IFERROR('Q8'!N96/'Q8'!N91*100-100,0)</f>
        <v>-11.584379416616343</v>
      </c>
      <c r="O95" s="2">
        <f>+IFERROR('Q8'!O96/'Q8'!O91*100-100,0)</f>
        <v>33.321078402502565</v>
      </c>
      <c r="P95" s="2">
        <f>+IFERROR('Q8'!P96/'Q8'!P91*100-100,0)</f>
        <v>-4.0269741293951</v>
      </c>
      <c r="Q95" s="2">
        <f>+IFERROR('Q8'!Q96/'Q8'!Q91*100-100,0)</f>
        <v>-7.3087522788293739</v>
      </c>
      <c r="R95" s="2">
        <f>+IFERROR('Q8'!R96/'Q8'!R91*100-100,0)</f>
        <v>3.6888375783851615</v>
      </c>
      <c r="S95" s="2">
        <f>+IFERROR('Q8'!S96/'Q8'!S91*100-100,0)</f>
        <v>80.681516006376881</v>
      </c>
      <c r="T95" s="2">
        <f>+IFERROR('Q8'!T96/'Q8'!T91*100-100,0)</f>
        <v>931.32018628328046</v>
      </c>
      <c r="U95" s="23">
        <f>+IFERROR('Q8'!U96/'Q8'!U91*100-100,0)</f>
        <v>-5.3977652048957481</v>
      </c>
    </row>
    <row r="96" spans="1:21" x14ac:dyDescent="0.25">
      <c r="A96" s="95"/>
      <c r="B96" s="101"/>
      <c r="C96" s="52" t="s">
        <v>31</v>
      </c>
      <c r="D96" s="20">
        <f>+IFERROR('Q8'!D97/'Q8'!D92*100-100,0)</f>
        <v>5.4772823188110209</v>
      </c>
      <c r="E96" s="20">
        <f>+IFERROR('Q8'!E97/'Q8'!E92*100-100,0)</f>
        <v>-6.0775893475700968</v>
      </c>
      <c r="F96" s="20">
        <f>+IFERROR('Q8'!F97/'Q8'!F92*100-100,0)</f>
        <v>-6.7299263045652538</v>
      </c>
      <c r="G96" s="20">
        <f>+IFERROR('Q8'!G97/'Q8'!G92*100-100,0)</f>
        <v>-11.008873060811283</v>
      </c>
      <c r="H96" s="20">
        <f>+IFERROR('Q8'!H97/'Q8'!H92*100-100,0)</f>
        <v>4.8306855588924407</v>
      </c>
      <c r="I96" s="20">
        <f>+IFERROR('Q8'!I97/'Q8'!I92*100-100,0)</f>
        <v>2.9149715761083854</v>
      </c>
      <c r="J96" s="20">
        <f>+IFERROR('Q8'!J97/'Q8'!J92*100-100,0)</f>
        <v>-25.774476987677076</v>
      </c>
      <c r="K96" s="20">
        <f>+IFERROR('Q8'!K97/'Q8'!K92*100-100,0)</f>
        <v>3.4774594041466287</v>
      </c>
      <c r="L96" s="20">
        <f>+IFERROR('Q8'!L97/'Q8'!L92*100-100,0)</f>
        <v>-5.4053799883618581E-2</v>
      </c>
      <c r="M96" s="20">
        <f>+IFERROR('Q8'!M97/'Q8'!M92*100-100,0)</f>
        <v>-38.717550132017784</v>
      </c>
      <c r="N96" s="20">
        <f>+IFERROR('Q8'!N97/'Q8'!N92*100-100,0)</f>
        <v>-9.7812546742248543</v>
      </c>
      <c r="O96" s="20">
        <f>+IFERROR('Q8'!O97/'Q8'!O92*100-100,0)</f>
        <v>-4.9164667817668004</v>
      </c>
      <c r="P96" s="20">
        <f>+IFERROR('Q8'!P97/'Q8'!P92*100-100,0)</f>
        <v>-5.0614247889265442</v>
      </c>
      <c r="Q96" s="20">
        <f>+IFERROR('Q8'!Q97/'Q8'!Q92*100-100,0)</f>
        <v>-4.6907002750468934</v>
      </c>
      <c r="R96" s="20">
        <f>+IFERROR('Q8'!R97/'Q8'!R92*100-100,0)</f>
        <v>2.834930594242266</v>
      </c>
      <c r="S96" s="20">
        <f>+IFERROR('Q8'!S97/'Q8'!S92*100-100,0)</f>
        <v>54.910174166426231</v>
      </c>
      <c r="T96" s="20">
        <f>+IFERROR('Q8'!T97/'Q8'!T92*100-100,0)</f>
        <v>1249.2384376909106</v>
      </c>
      <c r="U96" s="24">
        <f>+IFERROR('Q8'!U97/'Q8'!U92*100-100,0)</f>
        <v>-5.2734912830002543</v>
      </c>
    </row>
    <row r="97" spans="1:21" x14ac:dyDescent="0.25">
      <c r="A97" s="95"/>
      <c r="B97" s="51"/>
      <c r="C97" s="57" t="s">
        <v>51</v>
      </c>
      <c r="D97" s="34">
        <f>+IFERROR('Q8'!D98/'Q8'!D93*100-100,0)</f>
        <v>1.8302328788576006</v>
      </c>
      <c r="E97" s="34">
        <f>+IFERROR('Q8'!E98/'Q8'!E93*100-100,0)</f>
        <v>47.204734902892795</v>
      </c>
      <c r="F97" s="34">
        <f>+IFERROR('Q8'!F98/'Q8'!F93*100-100,0)</f>
        <v>-13.997995298043136</v>
      </c>
      <c r="G97" s="34">
        <f>+IFERROR('Q8'!G98/'Q8'!G93*100-100,0)</f>
        <v>10.927516453467874</v>
      </c>
      <c r="H97" s="34">
        <f>+IFERROR('Q8'!H98/'Q8'!H93*100-100,0)</f>
        <v>5.2994323922312532</v>
      </c>
      <c r="I97" s="34">
        <f>+IFERROR('Q8'!I98/'Q8'!I93*100-100,0)</f>
        <v>1.6157802175972762</v>
      </c>
      <c r="J97" s="34">
        <f>+IFERROR('Q8'!J98/'Q8'!J93*100-100,0)</f>
        <v>-16.5767032883886</v>
      </c>
      <c r="K97" s="34">
        <f>+IFERROR('Q8'!K98/'Q8'!K93*100-100,0)</f>
        <v>9.331111692776318</v>
      </c>
      <c r="L97" s="34">
        <f>+IFERROR('Q8'!L98/'Q8'!L93*100-100,0)</f>
        <v>-16.400934024316911</v>
      </c>
      <c r="M97" s="34">
        <f>+IFERROR('Q8'!M98/'Q8'!M93*100-100,0)</f>
        <v>17.72641421272327</v>
      </c>
      <c r="N97" s="34">
        <f>+IFERROR('Q8'!N98/'Q8'!N93*100-100,0)</f>
        <v>1.4776198593284846</v>
      </c>
      <c r="O97" s="34">
        <f>+IFERROR('Q8'!O98/'Q8'!O93*100-100,0)</f>
        <v>-28.619572976642871</v>
      </c>
      <c r="P97" s="34">
        <f>+IFERROR('Q8'!P98/'Q8'!P93*100-100,0)</f>
        <v>3.1579828879058596</v>
      </c>
      <c r="Q97" s="34">
        <f>+IFERROR('Q8'!Q98/'Q8'!Q93*100-100,0)</f>
        <v>2.9597855292140309</v>
      </c>
      <c r="R97" s="34">
        <f>+IFERROR('Q8'!R98/'Q8'!R93*100-100,0)</f>
        <v>7.3239387110243683</v>
      </c>
      <c r="S97" s="34">
        <f>+IFERROR('Q8'!S98/'Q8'!S93*100-100,0)</f>
        <v>-6.0474882737283622</v>
      </c>
      <c r="T97" s="34">
        <f>+IFERROR('Q8'!T98/'Q8'!T93*100-100,0)</f>
        <v>54.107610477826285</v>
      </c>
      <c r="U97" s="34">
        <f>+IFERROR('Q8'!U98/'Q8'!U93*100-100,0)</f>
        <v>-1.5048983906894762</v>
      </c>
    </row>
    <row r="98" spans="1:21" x14ac:dyDescent="0.25">
      <c r="A98" s="95"/>
      <c r="B98" s="99">
        <v>2021</v>
      </c>
      <c r="C98" s="61" t="s">
        <v>28</v>
      </c>
      <c r="D98" s="21">
        <f>+IFERROR('Q8'!D99/'Q8'!D94*100-100,0)</f>
        <v>-10.824550723934593</v>
      </c>
      <c r="E98" s="21">
        <f>+IFERROR('Q8'!E99/'Q8'!E94*100-100,0)</f>
        <v>33.903554454723377</v>
      </c>
      <c r="F98" s="21">
        <f>+IFERROR('Q8'!F99/'Q8'!F94*100-100,0)</f>
        <v>-19.181821729756066</v>
      </c>
      <c r="G98" s="21">
        <f>+IFERROR('Q8'!G99/'Q8'!G94*100-100,0)</f>
        <v>27.25172413189641</v>
      </c>
      <c r="H98" s="21">
        <f>+IFERROR('Q8'!H99/'Q8'!H94*100-100,0)</f>
        <v>0.92685927875535867</v>
      </c>
      <c r="I98" s="21">
        <f>+IFERROR('Q8'!I99/'Q8'!I94*100-100,0)</f>
        <v>0.85592350099554437</v>
      </c>
      <c r="J98" s="21">
        <f>+IFERROR('Q8'!J99/'Q8'!J94*100-100,0)</f>
        <v>-27.241278500586517</v>
      </c>
      <c r="K98" s="21">
        <f>+IFERROR('Q8'!K99/'Q8'!K94*100-100,0)</f>
        <v>-2.1909523253093113</v>
      </c>
      <c r="L98" s="21">
        <f>+IFERROR('Q8'!L99/'Q8'!L94*100-100,0)</f>
        <v>0.54921605030502008</v>
      </c>
      <c r="M98" s="21">
        <f>+IFERROR('Q8'!M99/'Q8'!M94*100-100,0)</f>
        <v>-5.1666037120519945</v>
      </c>
      <c r="N98" s="21">
        <f>+IFERROR('Q8'!N99/'Q8'!N94*100-100,0)</f>
        <v>-3.5620387503508795</v>
      </c>
      <c r="O98" s="21">
        <f>+IFERROR('Q8'!O99/'Q8'!O94*100-100,0)</f>
        <v>-51.697554224196708</v>
      </c>
      <c r="P98" s="21">
        <f>+IFERROR('Q8'!P99/'Q8'!P94*100-100,0)</f>
        <v>3.9427664760786314</v>
      </c>
      <c r="Q98" s="21">
        <f>+IFERROR('Q8'!Q99/'Q8'!Q94*100-100,0)</f>
        <v>2.87590362834149</v>
      </c>
      <c r="R98" s="21">
        <f>+IFERROR('Q8'!R99/'Q8'!R94*100-100,0)</f>
        <v>-4.3748116121930991</v>
      </c>
      <c r="S98" s="21">
        <f>+IFERROR('Q8'!S99/'Q8'!S94*100-100,0)</f>
        <v>-5.2145787821098395</v>
      </c>
      <c r="T98" s="21">
        <f>+IFERROR('Q8'!T99/'Q8'!T94*100-100,0)</f>
        <v>0.53286044193194471</v>
      </c>
      <c r="U98" s="22">
        <f>+IFERROR('Q8'!U99/'Q8'!U94*100-100,0)</f>
        <v>-8.232559360337433</v>
      </c>
    </row>
    <row r="99" spans="1:21" x14ac:dyDescent="0.25">
      <c r="A99" s="95"/>
      <c r="B99" s="100"/>
      <c r="C99" s="19" t="s">
        <v>29</v>
      </c>
      <c r="D99" s="2">
        <f>+IFERROR('Q8'!D100/'Q8'!D95*100-100,0)</f>
        <v>1.079161540448851</v>
      </c>
      <c r="E99" s="2">
        <f>+IFERROR('Q8'!E100/'Q8'!E95*100-100,0)</f>
        <v>47.090981125399679</v>
      </c>
      <c r="F99" s="2">
        <f>+IFERROR('Q8'!F100/'Q8'!F95*100-100,0)</f>
        <v>-15.873730113944461</v>
      </c>
      <c r="G99" s="2">
        <f>+IFERROR('Q8'!G100/'Q8'!G95*100-100,0)</f>
        <v>10.211628545091727</v>
      </c>
      <c r="H99" s="2">
        <f>+IFERROR('Q8'!H100/'Q8'!H95*100-100,0)</f>
        <v>3.2829059166865591</v>
      </c>
      <c r="I99" s="2">
        <f>+IFERROR('Q8'!I100/'Q8'!I95*100-100,0)</f>
        <v>1.5069926600698125</v>
      </c>
      <c r="J99" s="2">
        <f>+IFERROR('Q8'!J100/'Q8'!J95*100-100,0)</f>
        <v>-28.701671265370052</v>
      </c>
      <c r="K99" s="2">
        <f>+IFERROR('Q8'!K100/'Q8'!K95*100-100,0)</f>
        <v>3.4700094882372099</v>
      </c>
      <c r="L99" s="2">
        <f>+IFERROR('Q8'!L100/'Q8'!L95*100-100,0)</f>
        <v>-7.0132219871054389</v>
      </c>
      <c r="M99" s="2">
        <f>+IFERROR('Q8'!M100/'Q8'!M95*100-100,0)</f>
        <v>6.6436465173633081</v>
      </c>
      <c r="N99" s="2">
        <f>+IFERROR('Q8'!N100/'Q8'!N95*100-100,0)</f>
        <v>1.510757810866096</v>
      </c>
      <c r="O99" s="2">
        <f>+IFERROR('Q8'!O100/'Q8'!O95*100-100,0)</f>
        <v>-38.213293895826993</v>
      </c>
      <c r="P99" s="2">
        <f>+IFERROR('Q8'!P100/'Q8'!P95*100-100,0)</f>
        <v>4.1423554272908945</v>
      </c>
      <c r="Q99" s="2">
        <f>+IFERROR('Q8'!Q100/'Q8'!Q95*100-100,0)</f>
        <v>2.9213761408781949</v>
      </c>
      <c r="R99" s="2">
        <f>+IFERROR('Q8'!R100/'Q8'!R95*100-100,0)</f>
        <v>12.526346413663106</v>
      </c>
      <c r="S99" s="2">
        <f>+IFERROR('Q8'!S100/'Q8'!S95*100-100,0)</f>
        <v>-2.3968510916790109</v>
      </c>
      <c r="T99" s="2">
        <f>+IFERROR('Q8'!T100/'Q8'!T95*100-100,0)</f>
        <v>56.219884240908925</v>
      </c>
      <c r="U99" s="23">
        <f>+IFERROR('Q8'!U100/'Q8'!U95*100-100,0)</f>
        <v>-3.2713286512884565</v>
      </c>
    </row>
    <row r="100" spans="1:21" x14ac:dyDescent="0.25">
      <c r="A100" s="95"/>
      <c r="B100" s="100"/>
      <c r="C100" s="19" t="s">
        <v>30</v>
      </c>
      <c r="D100" s="2">
        <f>+IFERROR('Q8'!D101/'Q8'!D96*100-100,0)</f>
        <v>2.9230055750479949</v>
      </c>
      <c r="E100" s="2">
        <f>+IFERROR('Q8'!E101/'Q8'!E96*100-100,0)</f>
        <v>54.534851868392366</v>
      </c>
      <c r="F100" s="2">
        <f>+IFERROR('Q8'!F101/'Q8'!F96*100-100,0)</f>
        <v>-14.216098140517914</v>
      </c>
      <c r="G100" s="2">
        <f>+IFERROR('Q8'!G101/'Q8'!G96*100-100,0)</f>
        <v>6.1187079319878137</v>
      </c>
      <c r="H100" s="2">
        <f>+IFERROR('Q8'!H101/'Q8'!H96*100-100,0)</f>
        <v>7.0988054256260256</v>
      </c>
      <c r="I100" s="2">
        <f>+IFERROR('Q8'!I101/'Q8'!I96*100-100,0)</f>
        <v>1.7281623848745937</v>
      </c>
      <c r="J100" s="2">
        <f>+IFERROR('Q8'!J101/'Q8'!J96*100-100,0)</f>
        <v>-20.227220715921163</v>
      </c>
      <c r="K100" s="2">
        <f>+IFERROR('Q8'!K101/'Q8'!K96*100-100,0)</f>
        <v>10.612734786318228</v>
      </c>
      <c r="L100" s="2">
        <f>+IFERROR('Q8'!L101/'Q8'!L96*100-100,0)</f>
        <v>-19.365242927759681</v>
      </c>
      <c r="M100" s="2">
        <f>+IFERROR('Q8'!M101/'Q8'!M96*100-100,0)</f>
        <v>21.882130570824103</v>
      </c>
      <c r="N100" s="2">
        <f>+IFERROR('Q8'!N101/'Q8'!N96*100-100,0)</f>
        <v>3.2737112702365181</v>
      </c>
      <c r="O100" s="2">
        <f>+IFERROR('Q8'!O101/'Q8'!O96*100-100,0)</f>
        <v>-25.11309871688718</v>
      </c>
      <c r="P100" s="2">
        <f>+IFERROR('Q8'!P101/'Q8'!P96*100-100,0)</f>
        <v>3.2911417269540379</v>
      </c>
      <c r="Q100" s="2">
        <f>+IFERROR('Q8'!Q101/'Q8'!Q96*100-100,0)</f>
        <v>2.9610761472955716</v>
      </c>
      <c r="R100" s="2">
        <f>+IFERROR('Q8'!R101/'Q8'!R96*100-100,0)</f>
        <v>7.728341101373104</v>
      </c>
      <c r="S100" s="2">
        <f>+IFERROR('Q8'!S101/'Q8'!S96*100-100,0)</f>
        <v>-5.9887608447514395</v>
      </c>
      <c r="T100" s="2">
        <f>+IFERROR('Q8'!T101/'Q8'!T96*100-100,0)</f>
        <v>63.737033635460136</v>
      </c>
      <c r="U100" s="23">
        <f>+IFERROR('Q8'!U101/'Q8'!U96*100-100,0)</f>
        <v>-1.3801010931647681</v>
      </c>
    </row>
    <row r="101" spans="1:21" x14ac:dyDescent="0.25">
      <c r="A101" s="95"/>
      <c r="B101" s="101"/>
      <c r="C101" s="52" t="s">
        <v>31</v>
      </c>
      <c r="D101" s="20">
        <f>+IFERROR('Q8'!D102/'Q8'!D97*100-100,0)</f>
        <v>5.1400000000000148</v>
      </c>
      <c r="E101" s="20">
        <f>+IFERROR('Q8'!E102/'Q8'!E97*100-100,0)</f>
        <v>46.419999999999987</v>
      </c>
      <c r="F101" s="20">
        <f>+IFERROR('Q8'!F102/'Q8'!F97*100-100,0)</f>
        <v>-11.450626634609534</v>
      </c>
      <c r="G101" s="20">
        <f>+IFERROR('Q8'!G102/'Q8'!G97*100-100,0)</f>
        <v>10.430000000000007</v>
      </c>
      <c r="H101" s="20">
        <f>+IFERROR('Q8'!H102/'Q8'!H97*100-100,0)</f>
        <v>6.052477956221054</v>
      </c>
      <c r="I101" s="20">
        <f>+IFERROR('Q8'!I102/'Q8'!I97*100-100,0)</f>
        <v>1.7899999999999778</v>
      </c>
      <c r="J101" s="20">
        <f>+IFERROR('Q8'!J102/'Q8'!J97*100-100,0)</f>
        <v>-6.6899999999999835</v>
      </c>
      <c r="K101" s="20">
        <f>+IFERROR('Q8'!K102/'Q8'!K97*100-100,0)</f>
        <v>13.989999999999966</v>
      </c>
      <c r="L101" s="20">
        <f>+IFERROR('Q8'!L102/'Q8'!L97*100-100,0)</f>
        <v>-22.310000000000002</v>
      </c>
      <c r="M101" s="20">
        <f>+IFERROR('Q8'!M102/'Q8'!M97*100-100,0)</f>
        <v>28.889999999999958</v>
      </c>
      <c r="N101" s="20">
        <f>+IFERROR('Q8'!N102/'Q8'!N97*100-100,0)</f>
        <v>1.3499999999999801</v>
      </c>
      <c r="O101" s="20">
        <f>+IFERROR('Q8'!O102/'Q8'!O97*100-100,0)</f>
        <v>-15.959999999999994</v>
      </c>
      <c r="P101" s="20">
        <f>+IFERROR('Q8'!P102/'Q8'!P97*100-100,0)</f>
        <v>2.4200000000000017</v>
      </c>
      <c r="Q101" s="20">
        <f>+IFERROR('Q8'!Q102/'Q8'!Q97*100-100,0)</f>
        <v>2.9999999999999574</v>
      </c>
      <c r="R101" s="20">
        <f>+IFERROR('Q8'!R102/'Q8'!R97*100-100,0)</f>
        <v>7.8582036497898855</v>
      </c>
      <c r="S101" s="20">
        <f>+IFERROR('Q8'!S102/'Q8'!S97*100-100,0)</f>
        <v>-8.0213089803138189</v>
      </c>
      <c r="T101" s="20">
        <f>+IFERROR('Q8'!T102/'Q8'!T97*100-100,0)</f>
        <v>64.514846175773982</v>
      </c>
      <c r="U101" s="24">
        <f>+IFERROR('Q8'!U102/'Q8'!U97*100-100,0)</f>
        <v>1.0905836994481035</v>
      </c>
    </row>
    <row r="102" spans="1:21" x14ac:dyDescent="0.25">
      <c r="A102" s="95"/>
      <c r="B102" s="51"/>
      <c r="C102" s="57" t="s">
        <v>51</v>
      </c>
      <c r="D102" s="34">
        <f>+IFERROR('Q8'!D103/'Q8'!D98*100-100,0)</f>
        <v>6.2494348533004569</v>
      </c>
      <c r="E102" s="34">
        <f>+IFERROR('Q8'!E103/'Q8'!E98*100-100,0)</f>
        <v>3.7953480208917227</v>
      </c>
      <c r="F102" s="34">
        <f>+IFERROR('Q8'!F103/'Q8'!F98*100-100,0)</f>
        <v>6.3707379441717791</v>
      </c>
      <c r="G102" s="34">
        <f>+IFERROR('Q8'!G103/'Q8'!G98*100-100,0)</f>
        <v>0.80308934194239612</v>
      </c>
      <c r="H102" s="34">
        <f>+IFERROR('Q8'!H103/'Q8'!H98*100-100,0)</f>
        <v>5.1822077577733836</v>
      </c>
      <c r="I102" s="34">
        <f>+IFERROR('Q8'!I103/'Q8'!I98*100-100,0)</f>
        <v>3.8563438346967303</v>
      </c>
      <c r="J102" s="34">
        <f>+IFERROR('Q8'!J103/'Q8'!J98*100-100,0)</f>
        <v>5.8656204072280644</v>
      </c>
      <c r="K102" s="34">
        <f>+IFERROR('Q8'!K103/'Q8'!K98*100-100,0)</f>
        <v>5.3573447390831177</v>
      </c>
      <c r="L102" s="34">
        <f>+IFERROR('Q8'!L103/'Q8'!L98*100-100,0)</f>
        <v>4.263263311689073</v>
      </c>
      <c r="M102" s="34">
        <f>+IFERROR('Q8'!M103/'Q8'!M98*100-100,0)</f>
        <v>31.875634231740264</v>
      </c>
      <c r="N102" s="34">
        <f>+IFERROR('Q8'!N103/'Q8'!N98*100-100,0)</f>
        <v>-4.3319545341034598</v>
      </c>
      <c r="O102" s="34">
        <f>+IFERROR('Q8'!O103/'Q8'!O98*100-100,0)</f>
        <v>-1.6776322251709104</v>
      </c>
      <c r="P102" s="34">
        <f>+IFERROR('Q8'!P103/'Q8'!P98*100-100,0)</f>
        <v>6.3950708369289657</v>
      </c>
      <c r="Q102" s="34">
        <f>+IFERROR('Q8'!Q103/'Q8'!Q98*100-100,0)</f>
        <v>2.9470505584761781</v>
      </c>
      <c r="R102" s="34">
        <f>+IFERROR('Q8'!R103/'Q8'!R98*100-100,0)</f>
        <v>1.5684838090185451</v>
      </c>
      <c r="S102" s="34">
        <f>+IFERROR('Q8'!S103/'Q8'!S98*100-100,0)</f>
        <v>-11.000378110704361</v>
      </c>
      <c r="T102" s="34">
        <f>+IFERROR('Q8'!T103/'Q8'!T98*100-100,0)</f>
        <v>40.110889348771082</v>
      </c>
      <c r="U102" s="34">
        <f>+IFERROR('Q8'!U103/'Q8'!U98*100-100,0)</f>
        <v>4.9560186426287771</v>
      </c>
    </row>
    <row r="103" spans="1:21" x14ac:dyDescent="0.25">
      <c r="A103" s="95"/>
      <c r="B103" s="99">
        <v>2022</v>
      </c>
      <c r="C103" s="61" t="s">
        <v>28</v>
      </c>
      <c r="D103" s="21">
        <f>+IFERROR('Q8'!D104/'Q8'!D99*100-100,0)</f>
        <v>-3.9036648742251856</v>
      </c>
      <c r="E103" s="21">
        <f>+IFERROR('Q8'!E104/'Q8'!E99*100-100,0)</f>
        <v>3.7268065582480148</v>
      </c>
      <c r="F103" s="21">
        <f>+IFERROR('Q8'!F104/'Q8'!F99*100-100,0)</f>
        <v>7.0174695345828582</v>
      </c>
      <c r="G103" s="21">
        <f>+IFERROR('Q8'!G104/'Q8'!G99*100-100,0)</f>
        <v>-26.558486987054636</v>
      </c>
      <c r="H103" s="21">
        <f>+IFERROR('Q8'!H104/'Q8'!H99*100-100,0)</f>
        <v>10.333753436295041</v>
      </c>
      <c r="I103" s="21">
        <f>+IFERROR('Q8'!I104/'Q8'!I99*100-100,0)</f>
        <v>2.5310970776439348</v>
      </c>
      <c r="J103" s="21">
        <f>+IFERROR('Q8'!J104/'Q8'!J99*100-100,0)</f>
        <v>10.06620959464199</v>
      </c>
      <c r="K103" s="21">
        <f>+IFERROR('Q8'!K104/'Q8'!K99*100-100,0)</f>
        <v>7.7934029662515343</v>
      </c>
      <c r="L103" s="21">
        <f>+IFERROR('Q8'!L104/'Q8'!L99*100-100,0)</f>
        <v>5.9883817767085787</v>
      </c>
      <c r="M103" s="21">
        <f>+IFERROR('Q8'!M104/'Q8'!M99*100-100,0)</f>
        <v>31.663305372246612</v>
      </c>
      <c r="N103" s="21">
        <f>+IFERROR('Q8'!N104/'Q8'!N99*100-100,0)</f>
        <v>-4.2502709519343682</v>
      </c>
      <c r="O103" s="21">
        <f>+IFERROR('Q8'!O104/'Q8'!O99*100-100,0)</f>
        <v>11.156582675913512</v>
      </c>
      <c r="P103" s="21">
        <f>+IFERROR('Q8'!P104/'Q8'!P99*100-100,0)</f>
        <v>6.1910977962249092</v>
      </c>
      <c r="Q103" s="21">
        <f>+IFERROR('Q8'!Q104/'Q8'!Q99*100-100,0)</f>
        <v>2.8486692294171547</v>
      </c>
      <c r="R103" s="21">
        <f>+IFERROR('Q8'!R104/'Q8'!R99*100-100,0)</f>
        <v>-7.1493271791858888</v>
      </c>
      <c r="S103" s="21">
        <f>+IFERROR('Q8'!S104/'Q8'!S99*100-100,0)</f>
        <v>-15.769591054858893</v>
      </c>
      <c r="T103" s="21">
        <f>+IFERROR('Q8'!T104/'Q8'!T99*100-100,0)</f>
        <v>44.952903237970133</v>
      </c>
      <c r="U103" s="22">
        <f>+IFERROR('Q8'!U104/'Q8'!U99*100-100,0)</f>
        <v>3.5307507926012534</v>
      </c>
    </row>
    <row r="104" spans="1:21" x14ac:dyDescent="0.25">
      <c r="A104" s="95"/>
      <c r="B104" s="100"/>
      <c r="C104" s="19" t="s">
        <v>29</v>
      </c>
      <c r="D104" s="2">
        <f>+IFERROR('Q8'!D105/'Q8'!D100*100-100,0)</f>
        <v>13.895010579893324</v>
      </c>
      <c r="E104" s="2">
        <f>+IFERROR('Q8'!E105/'Q8'!E100*100-100,0)</f>
        <v>5.3588914721747472</v>
      </c>
      <c r="F104" s="2">
        <f>+IFERROR('Q8'!F105/'Q8'!F100*100-100,0)</f>
        <v>7.196785211687029</v>
      </c>
      <c r="G104" s="2">
        <f>+IFERROR('Q8'!G105/'Q8'!G100*100-100,0)</f>
        <v>1.7775015764230631</v>
      </c>
      <c r="H104" s="2">
        <f>+IFERROR('Q8'!H105/'Q8'!H100*100-100,0)</f>
        <v>7.873028756949779</v>
      </c>
      <c r="I104" s="2">
        <f>+IFERROR('Q8'!I105/'Q8'!I100*100-100,0)</f>
        <v>2.6831199234410548</v>
      </c>
      <c r="J104" s="2">
        <f>+IFERROR('Q8'!J105/'Q8'!J100*100-100,0)</f>
        <v>10.741189241010289</v>
      </c>
      <c r="K104" s="2">
        <f>+IFERROR('Q8'!K105/'Q8'!K100*100-100,0)</f>
        <v>14.923919504297672</v>
      </c>
      <c r="L104" s="2">
        <f>+IFERROR('Q8'!L105/'Q8'!L100*100-100,0)</f>
        <v>3.1543936139461408</v>
      </c>
      <c r="M104" s="2">
        <f>+IFERROR('Q8'!M105/'Q8'!M100*100-100,0)</f>
        <v>32.25312262444001</v>
      </c>
      <c r="N104" s="2">
        <f>+IFERROR('Q8'!N105/'Q8'!N100*100-100,0)</f>
        <v>-4.2953448712775497</v>
      </c>
      <c r="O104" s="2">
        <f>+IFERROR('Q8'!O105/'Q8'!O100*100-100,0)</f>
        <v>5.1596528818255365</v>
      </c>
      <c r="P104" s="2">
        <f>+IFERROR('Q8'!P105/'Q8'!P100*100-100,0)</f>
        <v>4.6771692188917484</v>
      </c>
      <c r="Q104" s="2">
        <f>+IFERROR('Q8'!Q105/'Q8'!Q100*100-100,0)</f>
        <v>2.8961639199856108</v>
      </c>
      <c r="R104" s="2">
        <f>+IFERROR('Q8'!R105/'Q8'!R100*100-100,0)</f>
        <v>-1.6626770853638533</v>
      </c>
      <c r="S104" s="2">
        <f>+IFERROR('Q8'!S105/'Q8'!S100*100-100,0)</f>
        <v>-18.481981694756243</v>
      </c>
      <c r="T104" s="2">
        <f>+IFERROR('Q8'!T105/'Q8'!T100*100-100,0)</f>
        <v>46.111622612266814</v>
      </c>
      <c r="U104" s="23">
        <f>+IFERROR('Q8'!U105/'Q8'!U100*100-100,0)</f>
        <v>8.6166949139032738</v>
      </c>
    </row>
    <row r="105" spans="1:21" x14ac:dyDescent="0.25">
      <c r="A105" s="95"/>
      <c r="B105" s="100"/>
      <c r="C105" s="19" t="s">
        <v>30</v>
      </c>
      <c r="D105" s="2">
        <f>+IFERROR('Q8'!D106/'Q8'!D101*100-100,0)</f>
        <v>6.4148718034809491</v>
      </c>
      <c r="E105" s="2">
        <f>+IFERROR('Q8'!E106/'Q8'!E101*100-100,0)</f>
        <v>2.1618126579092234</v>
      </c>
      <c r="F105" s="2">
        <f>+IFERROR('Q8'!F106/'Q8'!F101*100-100,0)</f>
        <v>7.4320531296961434</v>
      </c>
      <c r="G105" s="2">
        <f>+IFERROR('Q8'!G106/'Q8'!G101*100-100,0)</f>
        <v>5.4313012316790719</v>
      </c>
      <c r="H105" s="2">
        <f>+IFERROR('Q8'!H106/'Q8'!H101*100-100,0)</f>
        <v>4.8747057599632484</v>
      </c>
      <c r="I105" s="2">
        <f>+IFERROR('Q8'!I106/'Q8'!I101*100-100,0)</f>
        <v>3.5521339523696156</v>
      </c>
      <c r="J105" s="2">
        <f>+IFERROR('Q8'!J106/'Q8'!J101*100-100,0)</f>
        <v>2.5227968376210725</v>
      </c>
      <c r="K105" s="2">
        <f>+IFERROR('Q8'!K106/'Q8'!K101*100-100,0)</f>
        <v>5.0191245219656224</v>
      </c>
      <c r="L105" s="2">
        <f>+IFERROR('Q8'!L106/'Q8'!L101*100-100,0)</f>
        <v>3.9863662988197035</v>
      </c>
      <c r="M105" s="2">
        <f>+IFERROR('Q8'!M106/'Q8'!M101*100-100,0)</f>
        <v>30.088893132456008</v>
      </c>
      <c r="N105" s="2">
        <f>+IFERROR('Q8'!N106/'Q8'!N101*100-100,0)</f>
        <v>-3.9074648257082316</v>
      </c>
      <c r="O105" s="2">
        <f>+IFERROR('Q8'!O106/'Q8'!O101*100-100,0)</f>
        <v>-2.8148398612859467</v>
      </c>
      <c r="P105" s="2">
        <f>+IFERROR('Q8'!P106/'Q8'!P101*100-100,0)</f>
        <v>6.2045255536299067</v>
      </c>
      <c r="Q105" s="2">
        <f>+IFERROR('Q8'!Q106/'Q8'!Q101*100-100,0)</f>
        <v>2.9444366444365926</v>
      </c>
      <c r="R105" s="2">
        <f>+IFERROR('Q8'!R106/'Q8'!R101*100-100,0)</f>
        <v>2.2196266603432804</v>
      </c>
      <c r="S105" s="2">
        <f>+IFERROR('Q8'!S106/'Q8'!S101*100-100,0)</f>
        <v>-14.349398407883214</v>
      </c>
      <c r="T105" s="2">
        <f>+IFERROR('Q8'!T106/'Q8'!T101*100-100,0)</f>
        <v>42.526408779965578</v>
      </c>
      <c r="U105" s="23">
        <f>+IFERROR('Q8'!U106/'Q8'!U101*100-100,0)</f>
        <v>4.9419869733515327</v>
      </c>
    </row>
    <row r="106" spans="1:21" x14ac:dyDescent="0.25">
      <c r="A106" s="95"/>
      <c r="B106" s="101"/>
      <c r="C106" s="52" t="s">
        <v>31</v>
      </c>
      <c r="D106" s="20">
        <f>+IFERROR('Q8'!D107/'Q8'!D102*100-100,0)</f>
        <v>3.7999999999999972</v>
      </c>
      <c r="E106" s="20">
        <f>+IFERROR('Q8'!E107/'Q8'!E102*100-100,0)</f>
        <v>4.2000000000000028</v>
      </c>
      <c r="F106" s="20">
        <f>+IFERROR('Q8'!F107/'Q8'!F102*100-100,0)</f>
        <v>5.012030744576677</v>
      </c>
      <c r="G106" s="20">
        <f>+IFERROR('Q8'!G107/'Q8'!G102*100-100,0)</f>
        <v>5.4300000000000068</v>
      </c>
      <c r="H106" s="20">
        <f>+IFERROR('Q8'!H107/'Q8'!H102*100-100,0)</f>
        <v>2.9995063692090866</v>
      </c>
      <c r="I106" s="20">
        <f>+IFERROR('Q8'!I107/'Q8'!I102*100-100,0)</f>
        <v>5.0329184036042278</v>
      </c>
      <c r="J106" s="20">
        <f>+IFERROR('Q8'!J107/'Q8'!J102*100-100,0)</f>
        <v>5.5099999999999909</v>
      </c>
      <c r="K106" s="20">
        <f>+IFERROR('Q8'!K107/'Q8'!K102*100-100,0)</f>
        <v>1.0899999999999892</v>
      </c>
      <c r="L106" s="20">
        <f>+IFERROR('Q8'!L107/'Q8'!L102*100-100,0)</f>
        <v>4.819999999999979</v>
      </c>
      <c r="M106" s="20">
        <f>+IFERROR('Q8'!M107/'Q8'!M102*100-100,0)</f>
        <v>32.81</v>
      </c>
      <c r="N106" s="20">
        <f>+IFERROR('Q8'!N107/'Q8'!N102*100-100,0)</f>
        <v>-4.6999999999999602</v>
      </c>
      <c r="O106" s="20">
        <f>+IFERROR('Q8'!O107/'Q8'!O102*100-100,0)</f>
        <v>-7.1106958319732598</v>
      </c>
      <c r="P106" s="20">
        <f>+IFERROR('Q8'!P107/'Q8'!P102*100-100,0)</f>
        <v>7.3694496801061575</v>
      </c>
      <c r="Q106" s="20">
        <f>+IFERROR('Q8'!Q107/'Q8'!Q102*100-100,0)</f>
        <v>3.0000000000000426</v>
      </c>
      <c r="R106" s="20">
        <f>+IFERROR('Q8'!R107/'Q8'!R102*100-100,0)</f>
        <v>4.9178738304194667</v>
      </c>
      <c r="S106" s="20">
        <f>+IFERROR('Q8'!S107/'Q8'!S102*100-100,0)</f>
        <v>-3.5400443861420854</v>
      </c>
      <c r="T106" s="20">
        <f>+IFERROR('Q8'!T107/'Q8'!T102*100-100,0)</f>
        <v>34.666035171485021</v>
      </c>
      <c r="U106" s="24">
        <f>+IFERROR('Q8'!U107/'Q8'!U102*100-100,0)</f>
        <v>3.5574920667565095</v>
      </c>
    </row>
    <row r="107" spans="1:21" x14ac:dyDescent="0.25">
      <c r="A107" s="95"/>
      <c r="B107" s="51"/>
      <c r="C107" s="57" t="s">
        <v>51</v>
      </c>
      <c r="D107" s="34">
        <f>+IFERROR('Q8'!D108/'Q8'!D103*100-100,0)</f>
        <v>1.3586394364548511</v>
      </c>
      <c r="E107" s="34">
        <f>+IFERROR('Q8'!E108/'Q8'!E103*100-100,0)</f>
        <v>3.6903695857894547</v>
      </c>
      <c r="F107" s="34">
        <f>+IFERROR('Q8'!F108/'Q8'!F103*100-100,0)</f>
        <v>-3.524019798380678</v>
      </c>
      <c r="G107" s="34">
        <f>+IFERROR('Q8'!G108/'Q8'!G103*100-100,0)</f>
        <v>12.688123503685091</v>
      </c>
      <c r="H107" s="34">
        <f>+IFERROR('Q8'!H108/'Q8'!H103*100-100,0)</f>
        <v>4.8763296703647541</v>
      </c>
      <c r="I107" s="34">
        <f>+IFERROR('Q8'!I108/'Q8'!I103*100-100,0)</f>
        <v>6.0846599249393876</v>
      </c>
      <c r="J107" s="34">
        <f>+IFERROR('Q8'!J108/'Q8'!J103*100-100,0)</f>
        <v>5.6043683300794669</v>
      </c>
      <c r="K107" s="34">
        <f>+IFERROR('Q8'!K108/'Q8'!K103*100-100,0)</f>
        <v>2.1529477752170862</v>
      </c>
      <c r="L107" s="34">
        <f>+IFERROR('Q8'!L108/'Q8'!L103*100-100,0)</f>
        <v>-6.2275654319646634</v>
      </c>
      <c r="M107" s="34">
        <f>+IFERROR('Q8'!M108/'Q8'!M103*100-100,0)</f>
        <v>9.4741743126822939</v>
      </c>
      <c r="N107" s="34">
        <f>+IFERROR('Q8'!N108/'Q8'!N103*100-100,0)</f>
        <v>1.8706185877809105</v>
      </c>
      <c r="O107" s="34">
        <f>+IFERROR('Q8'!O108/'Q8'!O103*100-100,0)</f>
        <v>-8.7390542505971212</v>
      </c>
      <c r="P107" s="34">
        <f>+IFERROR('Q8'!P108/'Q8'!P103*100-100,0)</f>
        <v>4.6499777784266882</v>
      </c>
      <c r="Q107" s="34">
        <f>+IFERROR('Q8'!Q108/'Q8'!Q103*100-100,0)</f>
        <v>2.867094556508377</v>
      </c>
      <c r="R107" s="34">
        <f>+IFERROR('Q8'!R108/'Q8'!R103*100-100,0)</f>
        <v>8.6912536233226092</v>
      </c>
      <c r="S107" s="34">
        <f>+IFERROR('Q8'!S108/'Q8'!S103*100-100,0)</f>
        <v>-7.7090933670431383</v>
      </c>
      <c r="T107" s="34">
        <f>+IFERROR('Q8'!T108/'Q8'!T103*100-100,0)</f>
        <v>-13.310779769009073</v>
      </c>
      <c r="U107" s="34">
        <f>+IFERROR('Q8'!U108/'Q8'!U103*100-100,0)</f>
        <v>2.3450222104262508</v>
      </c>
    </row>
    <row r="108" spans="1:21" x14ac:dyDescent="0.25">
      <c r="A108" s="95"/>
      <c r="B108" s="99">
        <v>2023</v>
      </c>
      <c r="C108" s="61" t="s">
        <v>28</v>
      </c>
      <c r="D108" s="21">
        <f>+IFERROR('Q8'!D109/'Q8'!D104*100-100,0)</f>
        <v>-3.0049223512282168</v>
      </c>
      <c r="E108" s="21">
        <f>+IFERROR('Q8'!E109/'Q8'!E104*100-100,0)</f>
        <v>3.275571914843141</v>
      </c>
      <c r="F108" s="21">
        <f>+IFERROR('Q8'!F109/'Q8'!F104*100-100,0)</f>
        <v>-6.237195297415596</v>
      </c>
      <c r="G108" s="21">
        <f>+IFERROR('Q8'!G109/'Q8'!G104*100-100,0)</f>
        <v>26.19663247943447</v>
      </c>
      <c r="H108" s="21">
        <f>+IFERROR('Q8'!H109/'Q8'!H104*100-100,0)</f>
        <v>1.528192804539998</v>
      </c>
      <c r="I108" s="21">
        <f>+IFERROR('Q8'!I109/'Q8'!I104*100-100,0)</f>
        <v>8.0623062691137903</v>
      </c>
      <c r="J108" s="21">
        <f>+IFERROR('Q8'!J109/'Q8'!J104*100-100,0)</f>
        <v>-6.4968992574225126</v>
      </c>
      <c r="K108" s="21">
        <f>+IFERROR('Q8'!K109/'Q8'!K104*100-100,0)</f>
        <v>1.4783940622761946</v>
      </c>
      <c r="L108" s="21">
        <f>+IFERROR('Q8'!L109/'Q8'!L104*100-100,0)</f>
        <v>-3.8265420323291011</v>
      </c>
      <c r="M108" s="21">
        <f>+IFERROR('Q8'!M109/'Q8'!M104*100-100,0)</f>
        <v>23.92341845416766</v>
      </c>
      <c r="N108" s="21">
        <f>+IFERROR('Q8'!N109/'Q8'!N104*100-100,0)</f>
        <v>7.3248979629285458</v>
      </c>
      <c r="O108" s="21">
        <f>+IFERROR('Q8'!O109/'Q8'!O104*100-100,0)</f>
        <v>-13.918013926157997</v>
      </c>
      <c r="P108" s="21">
        <f>+IFERROR('Q8'!P109/'Q8'!P104*100-100,0)</f>
        <v>5.2319905605650234</v>
      </c>
      <c r="Q108" s="21">
        <f>+IFERROR('Q8'!Q109/'Q8'!Q104*100-100,0)</f>
        <v>2.9602992450132177</v>
      </c>
      <c r="R108" s="21">
        <f>+IFERROR('Q8'!R109/'Q8'!R104*100-100,0)</f>
        <v>11.697066398844242</v>
      </c>
      <c r="S108" s="21">
        <f>+IFERROR('Q8'!S109/'Q8'!S104*100-100,0)</f>
        <v>-8.0892350428327262</v>
      </c>
      <c r="T108" s="21">
        <f>+IFERROR('Q8'!T109/'Q8'!T104*100-100,0)</f>
        <v>2.0055844943764498</v>
      </c>
      <c r="U108" s="22">
        <f>+IFERROR('Q8'!U109/'Q8'!U104*100-100,0)</f>
        <v>-0.13031941251489343</v>
      </c>
    </row>
    <row r="109" spans="1:21" x14ac:dyDescent="0.25">
      <c r="A109" s="95"/>
      <c r="B109" s="100"/>
      <c r="C109" s="19" t="s">
        <v>29</v>
      </c>
      <c r="D109" s="2">
        <f>+IFERROR('Q8'!D110/'Q8'!D105*100-100,0)</f>
        <v>0.95825328396605869</v>
      </c>
      <c r="E109" s="2">
        <f>+IFERROR('Q8'!E110/'Q8'!E105*100-100,0)</f>
        <v>3.2586624766812804</v>
      </c>
      <c r="F109" s="2">
        <f>+IFERROR('Q8'!F110/'Q8'!F105*100-100,0)</f>
        <v>-4.1333645510765251</v>
      </c>
      <c r="G109" s="2">
        <f>+IFERROR('Q8'!G110/'Q8'!G105*100-100,0)</f>
        <v>2.504624430710777</v>
      </c>
      <c r="H109" s="2">
        <f>+IFERROR('Q8'!H110/'Q8'!H105*100-100,0)</f>
        <v>5.022936057722589</v>
      </c>
      <c r="I109" s="2">
        <f>+IFERROR('Q8'!I110/'Q8'!I105*100-100,0)</f>
        <v>6.7159946726118989</v>
      </c>
      <c r="J109" s="2">
        <f>+IFERROR('Q8'!J110/'Q8'!J105*100-100,0)</f>
        <v>12.481386446214145</v>
      </c>
      <c r="K109" s="2">
        <f>+IFERROR('Q8'!K110/'Q8'!K105*100-100,0)</f>
        <v>1.8142752369849688</v>
      </c>
      <c r="L109" s="2">
        <f>+IFERROR('Q8'!L110/'Q8'!L105*100-100,0)</f>
        <v>-9.6217144965161481</v>
      </c>
      <c r="M109" s="2">
        <f>+IFERROR('Q8'!M110/'Q8'!M105*100-100,0)</f>
        <v>17.996665499231142</v>
      </c>
      <c r="N109" s="2">
        <f>+IFERROR('Q8'!N110/'Q8'!N105*100-100,0)</f>
        <v>2.7541235305019569</v>
      </c>
      <c r="O109" s="2">
        <f>+IFERROR('Q8'!O110/'Q8'!O105*100-100,0)</f>
        <v>-12.871345400456562</v>
      </c>
      <c r="P109" s="2">
        <f>+IFERROR('Q8'!P110/'Q8'!P105*100-100,0)</f>
        <v>5.8355974212959723</v>
      </c>
      <c r="Q109" s="2">
        <f>+IFERROR('Q8'!Q110/'Q8'!Q105*100-100,0)</f>
        <v>2.9976213208948934</v>
      </c>
      <c r="R109" s="2">
        <f>+IFERROR('Q8'!R110/'Q8'!R105*100-100,0)</f>
        <v>14.560014934565686</v>
      </c>
      <c r="S109" s="2">
        <f>+IFERROR('Q8'!S110/'Q8'!S105*100-100,0)</f>
        <v>-7.3871818572852703</v>
      </c>
      <c r="T109" s="2">
        <f>+IFERROR('Q8'!T110/'Q8'!T105*100-100,0)</f>
        <v>-33.178579869217089</v>
      </c>
      <c r="U109" s="23">
        <f>+IFERROR('Q8'!U110/'Q8'!U105*100-100,0)</f>
        <v>3.8257896658444821</v>
      </c>
    </row>
    <row r="110" spans="1:21" x14ac:dyDescent="0.25">
      <c r="A110" s="95"/>
      <c r="B110" s="100"/>
      <c r="C110" s="19" t="s">
        <v>30</v>
      </c>
      <c r="D110" s="2">
        <f>+IFERROR('Q8'!D111/'Q8'!D106*100-100,0)</f>
        <v>1.3636083672661385</v>
      </c>
      <c r="E110" s="2">
        <f>+IFERROR('Q8'!E111/'Q8'!E106*100-100,0)</f>
        <v>5.4054818380999023</v>
      </c>
      <c r="F110" s="2">
        <f>+IFERROR('Q8'!F111/'Q8'!F106*100-100,0)</f>
        <v>-3.6771747351943844</v>
      </c>
      <c r="G110" s="2">
        <f>+IFERROR('Q8'!G111/'Q8'!G106*100-100,0)</f>
        <v>16.13929579928606</v>
      </c>
      <c r="H110" s="2">
        <f>+IFERROR('Q8'!H111/'Q8'!H106*100-100,0)</f>
        <v>5.1853394853795578</v>
      </c>
      <c r="I110" s="2">
        <f>+IFERROR('Q8'!I111/'Q8'!I106*100-100,0)</f>
        <v>6.0889032341783036</v>
      </c>
      <c r="J110" s="2">
        <f>+IFERROR('Q8'!J111/'Q8'!J106*100-100,0)</f>
        <v>18.897779416887019</v>
      </c>
      <c r="K110" s="2">
        <f>+IFERROR('Q8'!K111/'Q8'!K106*100-100,0)</f>
        <v>2.2177046090412063</v>
      </c>
      <c r="L110" s="2">
        <f>+IFERROR('Q8'!L111/'Q8'!L106*100-100,0)</f>
        <v>-7.307947526024833</v>
      </c>
      <c r="M110" s="2">
        <f>+IFERROR('Q8'!M111/'Q8'!M106*100-100,0)</f>
        <v>12.18934014976702</v>
      </c>
      <c r="N110" s="2">
        <f>+IFERROR('Q8'!N111/'Q8'!N106*100-100,0)</f>
        <v>0.27682911684729561</v>
      </c>
      <c r="O110" s="2">
        <f>+IFERROR('Q8'!O111/'Q8'!O106*100-100,0)</f>
        <v>-9.8331567365626427</v>
      </c>
      <c r="P110" s="2">
        <f>+IFERROR('Q8'!P111/'Q8'!P106*100-100,0)</f>
        <v>4.8252898357371947</v>
      </c>
      <c r="Q110" s="2">
        <f>+IFERROR('Q8'!Q111/'Q8'!Q106*100-100,0)</f>
        <v>2.7884452951643794</v>
      </c>
      <c r="R110" s="2">
        <f>+IFERROR('Q8'!R111/'Q8'!R106*100-100,0)</f>
        <v>9.8324342439959196</v>
      </c>
      <c r="S110" s="2">
        <f>+IFERROR('Q8'!S111/'Q8'!S106*100-100,0)</f>
        <v>-3.4220389846464485</v>
      </c>
      <c r="T110" s="2">
        <f>+IFERROR('Q8'!T111/'Q8'!T106*100-100,0)</f>
        <v>-21.155049315610754</v>
      </c>
      <c r="U110" s="23">
        <f>+IFERROR('Q8'!U111/'Q8'!U106*100-100,0)</f>
        <v>3.5450725855008045</v>
      </c>
    </row>
    <row r="111" spans="1:21" x14ac:dyDescent="0.25">
      <c r="A111" s="95"/>
      <c r="B111" s="101"/>
      <c r="C111" s="52" t="s">
        <v>31</v>
      </c>
      <c r="D111" s="20">
        <f>+IFERROR('Q8'!D112/'Q8'!D107*100-100,0)</f>
        <v>2.6520661158778722</v>
      </c>
      <c r="E111" s="20">
        <f>+IFERROR('Q8'!E112/'Q8'!E107*100-100,0)</f>
        <v>2.8157013853554247</v>
      </c>
      <c r="F111" s="20">
        <f>+IFERROR('Q8'!F112/'Q8'!F107*100-100,0)</f>
        <v>-2.4164025678173431</v>
      </c>
      <c r="G111" s="20">
        <f>+IFERROR('Q8'!G112/'Q8'!G107*100-100,0)</f>
        <v>12.240681691954578</v>
      </c>
      <c r="H111" s="20">
        <f>+IFERROR('Q8'!H112/'Q8'!H107*100-100,0)</f>
        <v>5.4308899446125452</v>
      </c>
      <c r="I111" s="20">
        <f>+IFERROR('Q8'!I112/'Q8'!I107*100-100,0)</f>
        <v>5.2571379444106441</v>
      </c>
      <c r="J111" s="20">
        <f>+IFERROR('Q8'!J112/'Q8'!J107*100-100,0)</f>
        <v>-1.508394885430036</v>
      </c>
      <c r="K111" s="20">
        <f>+IFERROR('Q8'!K112/'Q8'!K107*100-100,0)</f>
        <v>2.4211518088831099</v>
      </c>
      <c r="L111" s="20">
        <f>+IFERROR('Q8'!L112/'Q8'!L107*100-100,0)</f>
        <v>-3.7261395668284081</v>
      </c>
      <c r="M111" s="20">
        <f>+IFERROR('Q8'!M112/'Q8'!M107*100-100,0)</f>
        <v>0.78738351477379354</v>
      </c>
      <c r="N111" s="20">
        <f>+IFERROR('Q8'!N112/'Q8'!N107*100-100,0)</f>
        <v>1.37070903330752</v>
      </c>
      <c r="O111" s="20">
        <f>+IFERROR('Q8'!O112/'Q8'!O107*100-100,0)</f>
        <v>-4.1797012539663712</v>
      </c>
      <c r="P111" s="20">
        <f>+IFERROR('Q8'!P112/'Q8'!P107*100-100,0)</f>
        <v>3.8478366799191974</v>
      </c>
      <c r="Q111" s="20">
        <f>+IFERROR('Q8'!Q112/'Q8'!Q107*100-100,0)</f>
        <v>2.8361928196332826</v>
      </c>
      <c r="R111" s="20">
        <f>+IFERROR('Q8'!R112/'Q8'!R107*100-100,0)</f>
        <v>4.4268977493751862</v>
      </c>
      <c r="S111" s="20">
        <f>+IFERROR('Q8'!S112/'Q8'!S107*100-100,0)</f>
        <v>-10.613348745881041</v>
      </c>
      <c r="T111" s="20">
        <f>+IFERROR('Q8'!T112/'Q8'!T107*100-100,0)</f>
        <v>-1.0963680666785223</v>
      </c>
      <c r="U111" s="24">
        <f>+IFERROR('Q8'!U112/'Q8'!U107*100-100,0)</f>
        <v>1.3201658708104134</v>
      </c>
    </row>
    <row r="112" spans="1:21" x14ac:dyDescent="0.25">
      <c r="A112" s="95"/>
      <c r="B112" s="51"/>
      <c r="C112" s="57" t="s">
        <v>51</v>
      </c>
      <c r="D112" s="34">
        <f>+IFERROR('Q8'!D113/'Q8'!D108*100-100,0)</f>
        <v>7.4144223294564995</v>
      </c>
      <c r="E112" s="34">
        <f>+IFERROR('Q8'!E113/'Q8'!E108*100-100,0)</f>
        <v>0.60729279265329694</v>
      </c>
      <c r="F112" s="34">
        <f>+IFERROR('Q8'!F113/'Q8'!F108*100-100,0)</f>
        <v>4.1259484670102182</v>
      </c>
      <c r="G112" s="34">
        <f>+IFERROR('Q8'!G113/'Q8'!G108*100-100,0)</f>
        <v>34.37676021889385</v>
      </c>
      <c r="H112" s="34">
        <f>+IFERROR('Q8'!H113/'Q8'!H108*100-100,0)</f>
        <v>4.0009345741592455</v>
      </c>
      <c r="I112" s="34">
        <f>+IFERROR('Q8'!I113/'Q8'!I108*100-100,0)</f>
        <v>4.6651931613879327</v>
      </c>
      <c r="J112" s="34">
        <f>+IFERROR('Q8'!J113/'Q8'!J108*100-100,0)</f>
        <v>2.9050543151528387</v>
      </c>
      <c r="K112" s="34">
        <f>+IFERROR('Q8'!K113/'Q8'!K108*100-100,0)</f>
        <v>3.078591899909398</v>
      </c>
      <c r="L112" s="34">
        <f>+IFERROR('Q8'!L113/'Q8'!L108*100-100,0)</f>
        <v>7.8904339674925552</v>
      </c>
      <c r="M112" s="34">
        <f>+IFERROR('Q8'!M113/'Q8'!M108*100-100,0)</f>
        <v>20.0998760445503</v>
      </c>
      <c r="N112" s="34">
        <f>+IFERROR('Q8'!N113/'Q8'!N108*100-100,0)</f>
        <v>5.2573904581430355</v>
      </c>
      <c r="O112" s="34">
        <f>+IFERROR('Q8'!O113/'Q8'!O108*100-100,0)</f>
        <v>2.312132258203377</v>
      </c>
      <c r="P112" s="34">
        <f>+IFERROR('Q8'!P113/'Q8'!P108*100-100,0)</f>
        <v>4.5883590959995502</v>
      </c>
      <c r="Q112" s="34">
        <f>+IFERROR('Q8'!Q113/'Q8'!Q108*100-100,0)</f>
        <v>2.3992592849319436</v>
      </c>
      <c r="R112" s="34">
        <f>+IFERROR('Q8'!R113/'Q8'!R108*100-100,0)</f>
        <v>5.4117635280802148</v>
      </c>
      <c r="S112" s="34">
        <f>+IFERROR('Q8'!S113/'Q8'!S108*100-100,0)</f>
        <v>-1.9666117318952558</v>
      </c>
      <c r="T112" s="34">
        <f>+IFERROR('Q8'!T113/'Q8'!T108*100-100,0)</f>
        <v>7.1687087523256423</v>
      </c>
      <c r="U112" s="34">
        <f>+IFERROR('Q8'!U113/'Q8'!U108*100-100,0)</f>
        <v>5.2793378501761623</v>
      </c>
    </row>
    <row r="113" spans="1:21" x14ac:dyDescent="0.25">
      <c r="A113" s="95"/>
      <c r="B113" s="99">
        <v>2024</v>
      </c>
      <c r="C113" s="61" t="s">
        <v>28</v>
      </c>
      <c r="D113" s="21">
        <f>+IFERROR('Q8'!D114/'Q8'!D109*100-100,0)</f>
        <v>9.1500637763745516</v>
      </c>
      <c r="E113" s="21">
        <f>+IFERROR('Q8'!E114/'Q8'!E109*100-100,0)</f>
        <v>-7.3341255066712989</v>
      </c>
      <c r="F113" s="21">
        <f>+IFERROR('Q8'!F114/'Q8'!F109*100-100,0)</f>
        <v>5.9557472513614584</v>
      </c>
      <c r="G113" s="21">
        <f>+IFERROR('Q8'!G114/'Q8'!G109*100-100,0)</f>
        <v>2.186968749872122</v>
      </c>
      <c r="H113" s="21">
        <f>+IFERROR('Q8'!H114/'Q8'!H109*100-100,0)</f>
        <v>1.5953095959221315</v>
      </c>
      <c r="I113" s="21">
        <f>+IFERROR('Q8'!I114/'Q8'!I109*100-100,0)</f>
        <v>4.8605765037890194</v>
      </c>
      <c r="J113" s="21">
        <f>+IFERROR('Q8'!J114/'Q8'!J109*100-100,0)</f>
        <v>2.101548027711317</v>
      </c>
      <c r="K113" s="21">
        <f>+IFERROR('Q8'!K114/'Q8'!K109*100-100,0)</f>
        <v>4.7326554094485402</v>
      </c>
      <c r="L113" s="21">
        <f>+IFERROR('Q8'!L114/'Q8'!L109*100-100,0)</f>
        <v>5.4514074654723856</v>
      </c>
      <c r="M113" s="21">
        <f>+IFERROR('Q8'!M114/'Q8'!M109*100-100,0)</f>
        <v>25.438452542030433</v>
      </c>
      <c r="N113" s="21">
        <f>+IFERROR('Q8'!N114/'Q8'!N109*100-100,0)</f>
        <v>-12.21158321670498</v>
      </c>
      <c r="O113" s="21">
        <f>+IFERROR('Q8'!O114/'Q8'!O109*100-100,0)</f>
        <v>2.1987985909013332</v>
      </c>
      <c r="P113" s="21">
        <f>+IFERROR('Q8'!P114/'Q8'!P109*100-100,0)</f>
        <v>4.8177233181304189</v>
      </c>
      <c r="Q113" s="21">
        <f>+IFERROR('Q8'!Q114/'Q8'!Q109*100-100,0)</f>
        <v>2.5065309154863655</v>
      </c>
      <c r="R113" s="21">
        <f>+IFERROR('Q8'!R114/'Q8'!R109*100-100,0)</f>
        <v>-2.5895044105579217</v>
      </c>
      <c r="S113" s="21">
        <f>+IFERROR('Q8'!S114/'Q8'!S109*100-100,0)</f>
        <v>4.7485883653952641</v>
      </c>
      <c r="T113" s="21">
        <f>+IFERROR('Q8'!T114/'Q8'!T109*100-100,0)</f>
        <v>18.441097490271673</v>
      </c>
      <c r="U113" s="22">
        <f>+IFERROR('Q8'!U114/'Q8'!U109*100-100,0)</f>
        <v>4.5891966764515502</v>
      </c>
    </row>
    <row r="114" spans="1:21" x14ac:dyDescent="0.25">
      <c r="A114" s="95"/>
      <c r="B114" s="100"/>
      <c r="C114" s="19" t="s">
        <v>29</v>
      </c>
      <c r="D114" s="2">
        <f>+IFERROR('Q8'!D115/'Q8'!D110*100-100,0)</f>
        <v>8.5133936311798948</v>
      </c>
      <c r="E114" s="2">
        <f>+IFERROR('Q8'!E115/'Q8'!E110*100-100,0)</f>
        <v>-2.6512202050605822</v>
      </c>
      <c r="F114" s="2">
        <f>+IFERROR('Q8'!F115/'Q8'!F110*100-100,0)</f>
        <v>4.4643476461004639</v>
      </c>
      <c r="G114" s="2">
        <f>+IFERROR('Q8'!G115/'Q8'!G110*100-100,0)</f>
        <v>28.991987105379906</v>
      </c>
      <c r="H114" s="2">
        <f>+IFERROR('Q8'!H115/'Q8'!H110*100-100,0)</f>
        <v>3.9070901477188187</v>
      </c>
      <c r="I114" s="2">
        <f>+IFERROR('Q8'!I115/'Q8'!I110*100-100,0)</f>
        <v>6.1028692889387344</v>
      </c>
      <c r="J114" s="2">
        <f>+IFERROR('Q8'!J115/'Q8'!J110*100-100,0)</f>
        <v>4.1680031547449232</v>
      </c>
      <c r="K114" s="2">
        <f>+IFERROR('Q8'!K115/'Q8'!K110*100-100,0)</f>
        <v>5.0529040215608205</v>
      </c>
      <c r="L114" s="2">
        <f>+IFERROR('Q8'!L115/'Q8'!L110*100-100,0)</f>
        <v>8.7448644085669685</v>
      </c>
      <c r="M114" s="2">
        <f>+IFERROR('Q8'!M115/'Q8'!M110*100-100,0)</f>
        <v>23.327343324063989</v>
      </c>
      <c r="N114" s="2">
        <f>+IFERROR('Q8'!N115/'Q8'!N110*100-100,0)</f>
        <v>0.55642037102042252</v>
      </c>
      <c r="O114" s="2">
        <f>+IFERROR('Q8'!O115/'Q8'!O110*100-100,0)</f>
        <v>1.5191456959098986</v>
      </c>
      <c r="P114" s="2">
        <f>+IFERROR('Q8'!P115/'Q8'!P110*100-100,0)</f>
        <v>5.0433954294208263</v>
      </c>
      <c r="Q114" s="2">
        <f>+IFERROR('Q8'!Q115/'Q8'!Q110*100-100,0)</f>
        <v>2.502125716396435</v>
      </c>
      <c r="R114" s="2">
        <f>+IFERROR('Q8'!R115/'Q8'!R110*100-100,0)</f>
        <v>5.2871899568138474</v>
      </c>
      <c r="S114" s="2">
        <f>+IFERROR('Q8'!S115/'Q8'!S110*100-100,0)</f>
        <v>0.86213990908446192</v>
      </c>
      <c r="T114" s="2">
        <f>+IFERROR('Q8'!T115/'Q8'!T110*100-100,0)</f>
        <v>38.460695225478418</v>
      </c>
      <c r="U114" s="23">
        <f>+IFERROR('Q8'!U115/'Q8'!U110*100-100,0)</f>
        <v>5.9089991131028512</v>
      </c>
    </row>
    <row r="115" spans="1:21" x14ac:dyDescent="0.25">
      <c r="A115" s="95"/>
      <c r="B115" s="100"/>
      <c r="C115" s="19" t="s">
        <v>30</v>
      </c>
      <c r="D115" s="2">
        <f>+IFERROR('Q8'!D116/'Q8'!D111*100-100,0)</f>
        <v>7.4828318750674612</v>
      </c>
      <c r="E115" s="2">
        <f>+IFERROR('Q8'!E116/'Q8'!E111*100-100,0)</f>
        <v>2.4669432539963054</v>
      </c>
      <c r="F115" s="2">
        <f>+IFERROR('Q8'!F116/'Q8'!F111*100-100,0)</f>
        <v>4.3563649156467932</v>
      </c>
      <c r="G115" s="2">
        <f>+IFERROR('Q8'!G116/'Q8'!G111*100-100,0)</f>
        <v>34.692022853773125</v>
      </c>
      <c r="H115" s="2">
        <f>+IFERROR('Q8'!H116/'Q8'!H111*100-100,0)</f>
        <v>4.562750777071841</v>
      </c>
      <c r="I115" s="2">
        <f>+IFERROR('Q8'!I116/'Q8'!I111*100-100,0)</f>
        <v>4.4904468464773402</v>
      </c>
      <c r="J115" s="2">
        <f>+IFERROR('Q8'!J116/'Q8'!J111*100-100,0)</f>
        <v>3.3431493030976895</v>
      </c>
      <c r="K115" s="2">
        <f>+IFERROR('Q8'!K116/'Q8'!K111*100-100,0)</f>
        <v>3.5344775804205852</v>
      </c>
      <c r="L115" s="2">
        <f>+IFERROR('Q8'!L116/'Q8'!L111*100-100,0)</f>
        <v>7.4980660769439282</v>
      </c>
      <c r="M115" s="2">
        <f>+IFERROR('Q8'!M116/'Q8'!M111*100-100,0)</f>
        <v>20.513894065791177</v>
      </c>
      <c r="N115" s="2">
        <f>+IFERROR('Q8'!N116/'Q8'!N111*100-100,0)</f>
        <v>5.3852206835563123</v>
      </c>
      <c r="O115" s="2">
        <f>+IFERROR('Q8'!O116/'Q8'!O111*100-100,0)</f>
        <v>3.0156092369530114</v>
      </c>
      <c r="P115" s="2">
        <f>+IFERROR('Q8'!P116/'Q8'!P111*100-100,0)</f>
        <v>4.5415620168459725</v>
      </c>
      <c r="Q115" s="2">
        <f>+IFERROR('Q8'!Q116/'Q8'!Q111*100-100,0)</f>
        <v>2.2937959341852832</v>
      </c>
      <c r="R115" s="2">
        <f>+IFERROR('Q8'!R116/'Q8'!R111*100-100,0)</f>
        <v>5.5841495140373638</v>
      </c>
      <c r="S115" s="2">
        <f>+IFERROR('Q8'!S116/'Q8'!S111*100-100,0)</f>
        <v>-1.9766099700371456</v>
      </c>
      <c r="T115" s="2">
        <f>+IFERROR('Q8'!T116/'Q8'!T111*100-100,0)</f>
        <v>11.434175687669494</v>
      </c>
      <c r="U115" s="23">
        <f>+IFERROR('Q8'!U116/'Q8'!U111*100-100,0)</f>
        <v>5.5024156505237016</v>
      </c>
    </row>
    <row r="116" spans="1:21" x14ac:dyDescent="0.25">
      <c r="A116" s="95"/>
      <c r="B116" s="101"/>
      <c r="C116" s="52" t="s">
        <v>31</v>
      </c>
      <c r="D116" s="20">
        <f>+IFERROR('Q8'!D117/'Q8'!D112*100-100,0)</f>
        <v>6.2179539612604628</v>
      </c>
      <c r="E116" s="20">
        <f>+IFERROR('Q8'!E117/'Q8'!E112*100-100,0)</f>
        <v>3.2210838796049188</v>
      </c>
      <c r="F116" s="20">
        <f>+IFERROR('Q8'!F117/'Q8'!F112*100-100,0)</f>
        <v>3.3419817438081907</v>
      </c>
      <c r="G116" s="20">
        <f>+IFERROR('Q8'!G117/'Q8'!G112*100-100,0)</f>
        <v>44.093122752925836</v>
      </c>
      <c r="H116" s="20">
        <f>+IFERROR('Q8'!H117/'Q8'!H112*100-100,0)</f>
        <v>4.2293215292084341</v>
      </c>
      <c r="I116" s="20">
        <f>+IFERROR('Q8'!I117/'Q8'!I112*100-100,0)</f>
        <v>4.0101281444571129</v>
      </c>
      <c r="J116" s="20">
        <f>+IFERROR('Q8'!J117/'Q8'!J112*100-100,0)</f>
        <v>2.3137069681762341</v>
      </c>
      <c r="K116" s="20">
        <f>+IFERROR('Q8'!K117/'Q8'!K112*100-100,0)</f>
        <v>1.4529497409293555</v>
      </c>
      <c r="L116" s="20">
        <f>+IFERROR('Q8'!L117/'Q8'!L112*100-100,0)</f>
        <v>8.2328053537854942</v>
      </c>
      <c r="M116" s="20">
        <f>+IFERROR('Q8'!M117/'Q8'!M112*100-100,0)</f>
        <v>16.620069953565945</v>
      </c>
      <c r="N116" s="20">
        <f>+IFERROR('Q8'!N117/'Q8'!N112*100-100,0)</f>
        <v>11.985751561835116</v>
      </c>
      <c r="O116" s="20">
        <f>+IFERROR('Q8'!O117/'Q8'!O112*100-100,0)</f>
        <v>2.2192816153388009</v>
      </c>
      <c r="P116" s="20">
        <f>+IFERROR('Q8'!P117/'Q8'!P112*100-100,0)</f>
        <v>4.3559689629760499</v>
      </c>
      <c r="Q116" s="20">
        <f>+IFERROR('Q8'!Q117/'Q8'!Q112*100-100,0)</f>
        <v>2.3973292296761741</v>
      </c>
      <c r="R116" s="20">
        <f>+IFERROR('Q8'!R117/'Q8'!R112*100-100,0)</f>
        <v>7.2633171067771514</v>
      </c>
      <c r="S116" s="20">
        <f>+IFERROR('Q8'!S117/'Q8'!S112*100-100,0)</f>
        <v>-4.7124895662421835</v>
      </c>
      <c r="T116" s="20">
        <f>+IFERROR('Q8'!T117/'Q8'!T112*100-100,0)</f>
        <v>-8.3725550255727228</v>
      </c>
      <c r="U116" s="24">
        <f>+IFERROR('Q8'!U117/'Q8'!U112*100-100,0)</f>
        <v>4.9526786042598587</v>
      </c>
    </row>
    <row r="117" spans="1:21" x14ac:dyDescent="0.25">
      <c r="A117" s="95"/>
      <c r="B117" s="51"/>
      <c r="C117" s="57" t="s">
        <v>51</v>
      </c>
      <c r="D117" s="34">
        <f>+IFERROR('Q8'!D118/'Q8'!D113*100-100,0)</f>
        <v>3.8118480096926248</v>
      </c>
      <c r="E117" s="34">
        <f>+IFERROR('Q8'!E118/'Q8'!E113*100-100,0)</f>
        <v>3.3486352509086714E-2</v>
      </c>
      <c r="F117" s="34">
        <f>+IFERROR('Q8'!F118/'Q8'!F113*100-100,0)</f>
        <v>-5.7036564244786803</v>
      </c>
      <c r="G117" s="34">
        <f>+IFERROR('Q8'!G118/'Q8'!G113*100-100,0)</f>
        <v>17.051074886221301</v>
      </c>
      <c r="H117" s="34">
        <f>+IFERROR('Q8'!H118/'Q8'!H113*100-100,0)</f>
        <v>8.4443807673275586</v>
      </c>
      <c r="I117" s="34">
        <f>+IFERROR('Q8'!I118/'Q8'!I113*100-100,0)</f>
        <v>0.87629728711692678</v>
      </c>
      <c r="J117" s="34">
        <f>+IFERROR('Q8'!J118/'Q8'!J113*100-100,0)</f>
        <v>3.4141306630081374</v>
      </c>
      <c r="K117" s="34">
        <f>+IFERROR('Q8'!K118/'Q8'!K113*100-100,0)</f>
        <v>2.1113950198713383</v>
      </c>
      <c r="L117" s="34">
        <f>+IFERROR('Q8'!L118/'Q8'!L113*100-100,0)</f>
        <v>4.2934849216260176</v>
      </c>
      <c r="M117" s="34">
        <f>+IFERROR('Q8'!M118/'Q8'!M113*100-100,0)</f>
        <v>6.1590742319238103</v>
      </c>
      <c r="N117" s="34">
        <f>+IFERROR('Q8'!N118/'Q8'!N113*100-100,0)</f>
        <v>52.118137868162137</v>
      </c>
      <c r="O117" s="34">
        <f>+IFERROR('Q8'!O118/'Q8'!O113*100-100,0)</f>
        <v>7.259567314110555</v>
      </c>
      <c r="P117" s="34">
        <f>+IFERROR('Q8'!P118/'Q8'!P113*100-100,0)</f>
        <v>4.8457447515464054</v>
      </c>
      <c r="Q117" s="34">
        <f>+IFERROR('Q8'!Q118/'Q8'!Q113*100-100,0)</f>
        <v>2.8979366779762472</v>
      </c>
      <c r="R117" s="34">
        <f>+IFERROR('Q8'!R118/'Q8'!R113*100-100,0)</f>
        <v>1.8632438711001953</v>
      </c>
      <c r="S117" s="34">
        <f>+IFERROR('Q8'!S118/'Q8'!S113*100-100,0)</f>
        <v>-11.413642692875428</v>
      </c>
      <c r="T117" s="34">
        <f>+IFERROR('Q8'!T118/'Q8'!T113*100-100,0)</f>
        <v>-34.2265368117978</v>
      </c>
      <c r="U117" s="34">
        <f>+IFERROR('Q8'!U118/'Q8'!U113*100-100,0)</f>
        <v>2.9924289578133028</v>
      </c>
    </row>
    <row r="118" spans="1:21" x14ac:dyDescent="0.25">
      <c r="A118" s="95"/>
      <c r="B118" s="99">
        <v>2025</v>
      </c>
      <c r="C118" s="61" t="s">
        <v>28</v>
      </c>
      <c r="D118" s="21">
        <f>+IFERROR('Q8'!D119/'Q8'!D114*100-100,0)</f>
        <v>4.6202172596530744</v>
      </c>
      <c r="E118" s="21">
        <f>+IFERROR('Q8'!E119/'Q8'!E114*100-100,0)</f>
        <v>2.335953476430717</v>
      </c>
      <c r="F118" s="21">
        <f>+IFERROR('Q8'!F119/'Q8'!F114*100-100,0)</f>
        <v>-4.0506781669105436</v>
      </c>
      <c r="G118" s="21">
        <f>+IFERROR('Q8'!G119/'Q8'!G114*100-100,0)</f>
        <v>50.887077506041322</v>
      </c>
      <c r="H118" s="21">
        <f>+IFERROR('Q8'!H119/'Q8'!H114*100-100,0)</f>
        <v>5.6810663512773374</v>
      </c>
      <c r="I118" s="21">
        <f>+IFERROR('Q8'!I119/'Q8'!I114*100-100,0)</f>
        <v>0.16463823232544428</v>
      </c>
      <c r="J118" s="21">
        <f>+IFERROR('Q8'!J119/'Q8'!J114*100-100,0)</f>
        <v>5.4303201148401428</v>
      </c>
      <c r="K118" s="21">
        <f>+IFERROR('Q8'!K119/'Q8'!K114*100-100,0)</f>
        <v>2.4817541761057385</v>
      </c>
      <c r="L118" s="21">
        <f>+IFERROR('Q8'!L119/'Q8'!L114*100-100,0)</f>
        <v>-2.8039470309215062</v>
      </c>
      <c r="M118" s="21">
        <f>+IFERROR('Q8'!M119/'Q8'!M114*100-100,0)</f>
        <v>5.0604371090922768</v>
      </c>
      <c r="N118" s="21">
        <f>+IFERROR('Q8'!N119/'Q8'!N114*100-100,0)</f>
        <v>45.255410244594913</v>
      </c>
      <c r="O118" s="21">
        <f>+IFERROR('Q8'!O119/'Q8'!O114*100-100,0)</f>
        <v>6.7492486400328318</v>
      </c>
      <c r="P118" s="21">
        <f>+IFERROR('Q8'!P119/'Q8'!P114*100-100,0)</f>
        <v>10.408585945010955</v>
      </c>
      <c r="Q118" s="21">
        <f>+IFERROR('Q8'!Q119/'Q8'!Q114*100-100,0)</f>
        <v>2.6048495360791151</v>
      </c>
      <c r="R118" s="21">
        <f>+IFERROR('Q8'!R119/'Q8'!R114*100-100,0)</f>
        <v>2.1894229494529043</v>
      </c>
      <c r="S118" s="21">
        <f>+IFERROR('Q8'!S119/'Q8'!S114*100-100,0)</f>
        <v>-2.3352256766686139</v>
      </c>
      <c r="T118" s="21">
        <f>+IFERROR('Q8'!T119/'Q8'!T114*100-100,0)</f>
        <v>-31.332993381670548</v>
      </c>
      <c r="U118" s="22">
        <f>+IFERROR('Q8'!U119/'Q8'!U114*100-100,0)</f>
        <v>4.3489423632096873</v>
      </c>
    </row>
    <row r="119" spans="1:21" x14ac:dyDescent="0.25">
      <c r="A119" s="95"/>
      <c r="B119" s="100"/>
      <c r="C119" s="19" t="s">
        <v>29</v>
      </c>
      <c r="D119" s="2">
        <f>+IFERROR('Q8'!D120/'Q8'!D115*100-100,0)</f>
        <v>3.8134567589633406</v>
      </c>
      <c r="E119" s="2">
        <f>+IFERROR('Q8'!E120/'Q8'!E115*100-100,0)</f>
        <v>1.1871321674151716</v>
      </c>
      <c r="F119" s="2">
        <f>+IFERROR('Q8'!F120/'Q8'!F115*100-100,0)</f>
        <v>-6.2661445001788536</v>
      </c>
      <c r="G119" s="2">
        <f>+IFERROR('Q8'!G120/'Q8'!G115*100-100,0)</f>
        <v>26.421609261645543</v>
      </c>
      <c r="H119" s="2">
        <f>+IFERROR('Q8'!H120/'Q8'!H115*100-100,0)</f>
        <v>6.2448781096859278</v>
      </c>
      <c r="I119" s="2">
        <f>+IFERROR('Q8'!I120/'Q8'!I115*100-100,0)</f>
        <v>1.1574290643848997</v>
      </c>
      <c r="J119" s="2">
        <f>+IFERROR('Q8'!J120/'Q8'!J115*100-100,0)</f>
        <v>3.8566198578802187</v>
      </c>
      <c r="K119" s="2">
        <f>+IFERROR('Q8'!K120/'Q8'!K115*100-100,0)</f>
        <v>1.7610599817850812</v>
      </c>
      <c r="L119" s="2">
        <f>+IFERROR('Q8'!L120/'Q8'!L115*100-100,0)</f>
        <v>4.092869450599963</v>
      </c>
      <c r="M119" s="2">
        <f>+IFERROR('Q8'!M120/'Q8'!M115*100-100,0)</f>
        <v>5.8945563807168782</v>
      </c>
      <c r="N119" s="2">
        <f>+IFERROR('Q8'!N120/'Q8'!N115*100-100,0)</f>
        <v>54.517320761748721</v>
      </c>
      <c r="O119" s="2">
        <f>+IFERROR('Q8'!O120/'Q8'!O115*100-100,0)</f>
        <v>6.50216034557873</v>
      </c>
      <c r="P119" s="2">
        <f>+IFERROR('Q8'!P120/'Q8'!P115*100-100,0)</f>
        <v>3.7718250450122071</v>
      </c>
      <c r="Q119" s="2">
        <f>+IFERROR('Q8'!Q120/'Q8'!Q115*100-100,0)</f>
        <v>2.7068772397771141</v>
      </c>
      <c r="R119" s="2">
        <f>+IFERROR('Q8'!R120/'Q8'!R115*100-100,0)</f>
        <v>1.3926496725074031</v>
      </c>
      <c r="S119" s="2">
        <f>+IFERROR('Q8'!S120/'Q8'!S115*100-100,0)</f>
        <v>-13.128303746373632</v>
      </c>
      <c r="T119" s="2">
        <f>+IFERROR('Q8'!T120/'Q8'!T115*100-100,0)</f>
        <v>-35.263115214168295</v>
      </c>
      <c r="U119" s="23">
        <f>+IFERROR('Q8'!U120/'Q8'!U115*100-100,0)</f>
        <v>2.8339236403942749</v>
      </c>
    </row>
    <row r="120" spans="1:21" x14ac:dyDescent="0.25">
      <c r="A120" s="95"/>
      <c r="B120" s="100"/>
      <c r="C120" s="19" t="s">
        <v>30</v>
      </c>
      <c r="D120" s="2">
        <f>+IFERROR('Q8'!D121/'Q8'!D116*100-100,0)</f>
        <v>3.7651949517352676</v>
      </c>
      <c r="E120" s="2">
        <f>+IFERROR('Q8'!E121/'Q8'!E116*100-100,0)</f>
        <v>-1.8777303178607525</v>
      </c>
      <c r="F120" s="2">
        <f>+IFERROR('Q8'!F121/'Q8'!F116*100-100,0)</f>
        <v>-6.4970206932155605</v>
      </c>
      <c r="G120" s="2">
        <f>+IFERROR('Q8'!G121/'Q8'!G116*100-100,0)</f>
        <v>16.122695624038428</v>
      </c>
      <c r="H120" s="2">
        <f>+IFERROR('Q8'!H121/'Q8'!H116*100-100,0)</f>
        <v>7.8952944986308893</v>
      </c>
      <c r="I120" s="2">
        <f>+IFERROR('Q8'!I121/'Q8'!I116*100-100,0)</f>
        <v>0.80589575281753412</v>
      </c>
      <c r="J120" s="2">
        <f>+IFERROR('Q8'!J121/'Q8'!J116*100-100,0)</f>
        <v>3.3343791674235206</v>
      </c>
      <c r="K120" s="2">
        <f>+IFERROR('Q8'!K121/'Q8'!K116*100-100,0)</f>
        <v>1.8820545644426119</v>
      </c>
      <c r="L120" s="2">
        <f>+IFERROR('Q8'!L121/'Q8'!L116*100-100,0)</f>
        <v>3.2139152752218791</v>
      </c>
      <c r="M120" s="2">
        <f>+IFERROR('Q8'!M121/'Q8'!M116*100-100,0)</f>
        <v>6.6708726550418902</v>
      </c>
      <c r="N120" s="2">
        <f>+IFERROR('Q8'!N121/'Q8'!N116*100-100,0)</f>
        <v>54.658720768821979</v>
      </c>
      <c r="O120" s="2">
        <f>+IFERROR('Q8'!O121/'Q8'!O116*100-100,0)</f>
        <v>7.5289213297417632</v>
      </c>
      <c r="P120" s="2">
        <f>+IFERROR('Q8'!P121/'Q8'!P116*100-100,0)</f>
        <v>4.2851698422581279</v>
      </c>
      <c r="Q120" s="2">
        <f>+IFERROR('Q8'!Q121/'Q8'!Q116*100-100,0)</f>
        <v>2.9213845844072779</v>
      </c>
      <c r="R120" s="2">
        <f>+IFERROR('Q8'!R121/'Q8'!R116*100-100,0)</f>
        <v>2.0149273895665232</v>
      </c>
      <c r="S120" s="2">
        <f>+IFERROR('Q8'!S121/'Q8'!S116*100-100,0)</f>
        <v>-15.818511475661069</v>
      </c>
      <c r="T120" s="2">
        <f>+IFERROR('Q8'!T121/'Q8'!T116*100-100,0)</f>
        <v>-32.192244971495455</v>
      </c>
      <c r="U120" s="23">
        <f>+IFERROR('Q8'!U121/'Q8'!U116*100-100,0)</f>
        <v>2.4855797402625086</v>
      </c>
    </row>
    <row r="121" spans="1:21" x14ac:dyDescent="0.25">
      <c r="A121" s="95"/>
      <c r="B121" s="101"/>
      <c r="C121" s="52" t="s">
        <v>31</v>
      </c>
      <c r="D121" s="20">
        <f>+IFERROR('Q8'!D122/'Q8'!D117*100-100,0)</f>
        <v>3.6681663550726142</v>
      </c>
      <c r="E121" s="20">
        <f>+IFERROR('Q8'!E122/'Q8'!E117*100-100,0)</f>
        <v>0.25589741518514586</v>
      </c>
      <c r="F121" s="20">
        <f>+IFERROR('Q8'!F122/'Q8'!F117*100-100,0)</f>
        <v>-5.2294512419168768</v>
      </c>
      <c r="G121" s="20">
        <f>+IFERROR('Q8'!G122/'Q8'!G117*100-100,0)</f>
        <v>8.384722881211502</v>
      </c>
      <c r="H121" s="20">
        <f>+IFERROR('Q8'!H122/'Q8'!H117*100-100,0)</f>
        <v>10.495350267914844</v>
      </c>
      <c r="I121" s="20">
        <f>+IFERROR('Q8'!I122/'Q8'!I117*100-100,0)</f>
        <v>0.97122861601839361</v>
      </c>
      <c r="J121" s="20">
        <f>+IFERROR('Q8'!J122/'Q8'!J117*100-100,0)</f>
        <v>2.9154073420617976</v>
      </c>
      <c r="K121" s="20">
        <f>+IFERROR('Q8'!K122/'Q8'!K117*100-100,0)</f>
        <v>2.3613065614445787</v>
      </c>
      <c r="L121" s="20">
        <f>+IFERROR('Q8'!L122/'Q8'!L117*100-100,0)</f>
        <v>6.8340387111694554</v>
      </c>
      <c r="M121" s="20">
        <f>+IFERROR('Q8'!M122/'Q8'!M117*100-100,0)</f>
        <v>6.3519042743671861</v>
      </c>
      <c r="N121" s="20">
        <f>+IFERROR('Q8'!N122/'Q8'!N117*100-100,0)</f>
        <v>50.521945988860551</v>
      </c>
      <c r="O121" s="20">
        <f>+IFERROR('Q8'!O122/'Q8'!O117*100-100,0)</f>
        <v>7.5627043748408056</v>
      </c>
      <c r="P121" s="20">
        <f>+IFERROR('Q8'!P122/'Q8'!P117*100-100,0)</f>
        <v>4.2846877834245021</v>
      </c>
      <c r="Q121" s="20">
        <f>+IFERROR('Q8'!Q122/'Q8'!Q117*100-100,0)</f>
        <v>3.0522951256866548</v>
      </c>
      <c r="R121" s="20">
        <f>+IFERROR('Q8'!R122/'Q8'!R117*100-100,0)</f>
        <v>1.9175171090454342</v>
      </c>
      <c r="S121" s="20">
        <f>+IFERROR('Q8'!S122/'Q8'!S117*100-100,0)</f>
        <v>-9.6016457182175969</v>
      </c>
      <c r="T121" s="20">
        <f>+IFERROR('Q8'!T122/'Q8'!T117*100-100,0)</f>
        <v>-36.064541426703833</v>
      </c>
      <c r="U121" s="24">
        <f>+IFERROR('Q8'!U122/'Q8'!U117*100-100,0)</f>
        <v>3.1335354244999678</v>
      </c>
    </row>
    <row r="122" spans="1:21" x14ac:dyDescent="0.25">
      <c r="A122" s="95"/>
      <c r="B122" s="51"/>
      <c r="C122" s="57" t="s">
        <v>51</v>
      </c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x14ac:dyDescent="0.25">
      <c r="A123" s="95"/>
      <c r="B123" s="99">
        <v>2026</v>
      </c>
      <c r="C123" s="61" t="s">
        <v>28</v>
      </c>
      <c r="D123" s="21">
        <f>+IFERROR('Q8'!D124/'Q8'!D119*100-100,0)</f>
        <v>1.7343432679912496</v>
      </c>
      <c r="E123" s="21">
        <f>+IFERROR('Q8'!E124/'Q8'!E119*100-100,0)</f>
        <v>8.7309396756806592</v>
      </c>
      <c r="F123" s="21">
        <f>+IFERROR('Q8'!F124/'Q8'!F119*100-100,0)</f>
        <v>-0.20723143780520559</v>
      </c>
      <c r="G123" s="21">
        <f>+IFERROR('Q8'!G124/'Q8'!G119*100-100,0)</f>
        <v>4.3735439042860378</v>
      </c>
      <c r="H123" s="21">
        <f>+IFERROR('Q8'!H124/'Q8'!H119*100-100,0)</f>
        <v>7.3159692088261181</v>
      </c>
      <c r="I123" s="21">
        <f>+IFERROR('Q8'!I124/'Q8'!I119*100-100,0)</f>
        <v>8.1549589936275737</v>
      </c>
      <c r="J123" s="21">
        <f>+IFERROR('Q8'!J124/'Q8'!J119*100-100,0)</f>
        <v>1.8183391578122183</v>
      </c>
      <c r="K123" s="21">
        <f>+IFERROR('Q8'!K124/'Q8'!K119*100-100,0)</f>
        <v>2.2064353883451702</v>
      </c>
      <c r="L123" s="21">
        <f>+IFERROR('Q8'!L124/'Q8'!L119*100-100,0)</f>
        <v>-3.3262250752961222</v>
      </c>
      <c r="M123" s="21">
        <f>+IFERROR('Q8'!M124/'Q8'!M119*100-100,0)</f>
        <v>16.119676214666569</v>
      </c>
      <c r="N123" s="21">
        <f>+IFERROR('Q8'!N124/'Q8'!N119*100-100,0)</f>
        <v>27.627163943074848</v>
      </c>
      <c r="O123" s="21">
        <f>+IFERROR('Q8'!O124/'Q8'!O119*100-100,0)</f>
        <v>6.8359232370894603</v>
      </c>
      <c r="P123" s="21">
        <f>+IFERROR('Q8'!P124/'Q8'!P119*100-100,0)</f>
        <v>2.8273913556747061</v>
      </c>
      <c r="Q123" s="21">
        <f>+IFERROR('Q8'!Q124/'Q8'!Q119*100-100,0)</f>
        <v>3.3731774016768412</v>
      </c>
      <c r="R123" s="21">
        <f>+IFERROR('Q8'!R124/'Q8'!R119*100-100,0)</f>
        <v>1.1055916325423851</v>
      </c>
      <c r="S123" s="21">
        <f>+IFERROR('Q8'!S124/'Q8'!S119*100-100,0)</f>
        <v>-13.746692686535056</v>
      </c>
      <c r="T123" s="21">
        <f>+IFERROR('Q8'!T124/'Q8'!T119*100-100,0)</f>
        <v>-42.252058966554685</v>
      </c>
      <c r="U123" s="22">
        <f>+IFERROR('Q8'!U124/'Q8'!U119*100-100,0)</f>
        <v>5.3245569463718994</v>
      </c>
    </row>
    <row r="124" spans="1:21" x14ac:dyDescent="0.25">
      <c r="A124" s="95"/>
      <c r="B124" s="100"/>
      <c r="C124" s="19" t="s">
        <v>29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3"/>
    </row>
    <row r="125" spans="1:21" x14ac:dyDescent="0.25">
      <c r="A125" s="95"/>
      <c r="B125" s="100"/>
      <c r="C125" s="19" t="s">
        <v>30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1" x14ac:dyDescent="0.25">
      <c r="A126" s="95"/>
      <c r="B126" s="101"/>
      <c r="C126" s="52" t="s">
        <v>31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</row>
    <row r="127" spans="1:21" x14ac:dyDescent="0.25">
      <c r="C127" s="17" t="s">
        <v>52</v>
      </c>
    </row>
  </sheetData>
  <mergeCells count="28">
    <mergeCell ref="B123:B126"/>
    <mergeCell ref="A1:A126"/>
    <mergeCell ref="C1:U1"/>
    <mergeCell ref="B2:C2"/>
    <mergeCell ref="B3:B6"/>
    <mergeCell ref="B8:B11"/>
    <mergeCell ref="B13:B16"/>
    <mergeCell ref="B18:B21"/>
    <mergeCell ref="B23:B26"/>
    <mergeCell ref="B28:B31"/>
    <mergeCell ref="B33:B36"/>
    <mergeCell ref="B38:B41"/>
    <mergeCell ref="B43:B46"/>
    <mergeCell ref="B48:B51"/>
    <mergeCell ref="B53:B56"/>
    <mergeCell ref="B58:B61"/>
    <mergeCell ref="B63:B66"/>
    <mergeCell ref="B68:B71"/>
    <mergeCell ref="B73:B76"/>
    <mergeCell ref="B78:B81"/>
    <mergeCell ref="B83:B86"/>
    <mergeCell ref="B88:B91"/>
    <mergeCell ref="B118:B121"/>
    <mergeCell ref="B93:B96"/>
    <mergeCell ref="B98:B101"/>
    <mergeCell ref="B103:B106"/>
    <mergeCell ref="B108:B111"/>
    <mergeCell ref="B113:B1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26"/>
  <sheetViews>
    <sheetView showGridLines="0" workbookViewId="0">
      <pane xSplit="3" ySplit="2" topLeftCell="D107" activePane="bottomRight" state="frozen"/>
      <selection activeCell="A2" sqref="A2:B98"/>
      <selection pane="topRight" activeCell="A2" sqref="A2:B98"/>
      <selection pane="bottomLeft" activeCell="A2" sqref="A2:B98"/>
      <selection pane="bottomRight" activeCell="C1" sqref="C1:U1"/>
    </sheetView>
  </sheetViews>
  <sheetFormatPr defaultRowHeight="15.75" x14ac:dyDescent="0.25"/>
  <cols>
    <col min="2" max="3" width="6" style="18" customWidth="1"/>
    <col min="4" max="4" width="14.5" customWidth="1"/>
    <col min="6" max="6" width="9.375" bestFit="1" customWidth="1"/>
    <col min="11" max="11" width="9.375" bestFit="1" customWidth="1"/>
    <col min="20" max="20" width="9.125" bestFit="1" customWidth="1"/>
    <col min="21" max="21" width="9.375" bestFit="1" customWidth="1"/>
  </cols>
  <sheetData>
    <row r="1" spans="1:23" x14ac:dyDescent="0.25">
      <c r="A1" s="95"/>
      <c r="C1" s="102" t="s">
        <v>37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61" t="s">
        <v>28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2">
        <v>0</v>
      </c>
    </row>
    <row r="4" spans="1:23" x14ac:dyDescent="0.25">
      <c r="A4" s="95"/>
      <c r="B4" s="100"/>
      <c r="C4" s="19" t="s">
        <v>29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3">
        <v>0</v>
      </c>
    </row>
    <row r="5" spans="1:23" x14ac:dyDescent="0.25">
      <c r="A5" s="95"/>
      <c r="B5" s="100"/>
      <c r="C5" s="19" t="s">
        <v>30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3">
        <v>0</v>
      </c>
    </row>
    <row r="6" spans="1:23" x14ac:dyDescent="0.25">
      <c r="A6" s="95"/>
      <c r="B6" s="101"/>
      <c r="C6" s="52" t="s">
        <v>31</v>
      </c>
      <c r="D6" s="20">
        <v>800987.7322591017</v>
      </c>
      <c r="E6" s="20">
        <v>77872.748576858066</v>
      </c>
      <c r="F6" s="20">
        <v>1241999.6134083676</v>
      </c>
      <c r="G6" s="20">
        <v>52753.793958323688</v>
      </c>
      <c r="H6" s="20">
        <v>343694.49069655139</v>
      </c>
      <c r="I6" s="20">
        <v>48482.872610615304</v>
      </c>
      <c r="J6" s="20">
        <v>546962.88000326173</v>
      </c>
      <c r="K6" s="20">
        <v>790988.99302829057</v>
      </c>
      <c r="L6" s="20">
        <v>133026.19294245931</v>
      </c>
      <c r="M6" s="20">
        <v>292468.3335963898</v>
      </c>
      <c r="N6" s="20">
        <v>85675.552825752122</v>
      </c>
      <c r="O6" s="20">
        <v>147431.97357748245</v>
      </c>
      <c r="P6" s="20">
        <v>806221.95286671235</v>
      </c>
      <c r="Q6" s="20">
        <v>301299.70275830524</v>
      </c>
      <c r="R6" s="20">
        <v>385439.85750971589</v>
      </c>
      <c r="S6" s="20">
        <v>222286.59224615042</v>
      </c>
      <c r="T6" s="20">
        <v>-81835.929830253968</v>
      </c>
      <c r="U6" s="24">
        <v>6423975.1804625597</v>
      </c>
    </row>
    <row r="7" spans="1:23" s="7" customFormat="1" ht="17.45" customHeight="1" x14ac:dyDescent="0.2">
      <c r="A7" s="95"/>
      <c r="B7" s="60"/>
      <c r="C7" s="53" t="s">
        <v>51</v>
      </c>
      <c r="D7" s="42">
        <v>3384006.2001766739</v>
      </c>
      <c r="E7" s="42">
        <v>324430.25726985879</v>
      </c>
      <c r="F7" s="42">
        <v>4844295.1445716452</v>
      </c>
      <c r="G7" s="42">
        <v>232844.290376163</v>
      </c>
      <c r="H7" s="42">
        <v>1420035.4302095904</v>
      </c>
      <c r="I7" s="42">
        <v>211853.97744768037</v>
      </c>
      <c r="J7" s="42">
        <v>2387026.9595825742</v>
      </c>
      <c r="K7" s="42">
        <v>3317261.3906544219</v>
      </c>
      <c r="L7" s="42">
        <v>562777.55625373963</v>
      </c>
      <c r="M7" s="42">
        <v>1173093.796692261</v>
      </c>
      <c r="N7" s="42">
        <v>352681.79303385876</v>
      </c>
      <c r="O7" s="42">
        <v>605201.79880271037</v>
      </c>
      <c r="P7" s="42">
        <v>3383311.8372880612</v>
      </c>
      <c r="Q7" s="42">
        <v>1217260.7938372861</v>
      </c>
      <c r="R7" s="42">
        <v>1573294.9463103306</v>
      </c>
      <c r="S7" s="42">
        <v>975564.83063173457</v>
      </c>
      <c r="T7" s="42">
        <v>-329336.84671235335</v>
      </c>
      <c r="U7" s="43">
        <v>26175964.841857899</v>
      </c>
      <c r="V7" s="15"/>
      <c r="W7" s="15"/>
    </row>
    <row r="8" spans="1:23" x14ac:dyDescent="0.25">
      <c r="A8" s="95"/>
      <c r="B8" s="100">
        <v>2003</v>
      </c>
      <c r="C8" s="19" t="s">
        <v>28</v>
      </c>
      <c r="D8" s="2">
        <v>816470.71527499333</v>
      </c>
      <c r="E8" s="2">
        <v>78983.50929320493</v>
      </c>
      <c r="F8" s="2">
        <v>1229295.2079757843</v>
      </c>
      <c r="G8" s="2">
        <v>52629.545592078612</v>
      </c>
      <c r="H8" s="2">
        <v>346606.89847238758</v>
      </c>
      <c r="I8" s="2">
        <v>51242.458922156795</v>
      </c>
      <c r="J8" s="2">
        <v>562127.68601216935</v>
      </c>
      <c r="K8" s="2">
        <v>804490.89023692545</v>
      </c>
      <c r="L8" s="2">
        <v>133955.65801756657</v>
      </c>
      <c r="M8" s="2">
        <v>292325.75048089516</v>
      </c>
      <c r="N8" s="2">
        <v>86541.856594166253</v>
      </c>
      <c r="O8" s="2">
        <v>146617.25028841299</v>
      </c>
      <c r="P8" s="2">
        <v>821795.94607341615</v>
      </c>
      <c r="Q8" s="2">
        <v>298130.21804954536</v>
      </c>
      <c r="R8" s="2">
        <v>387790.72133691679</v>
      </c>
      <c r="S8" s="2">
        <v>231918.27503899747</v>
      </c>
      <c r="T8" s="2">
        <v>-84771.499305572055</v>
      </c>
      <c r="U8" s="23">
        <v>6436596.2774976715</v>
      </c>
    </row>
    <row r="9" spans="1:23" x14ac:dyDescent="0.25">
      <c r="A9" s="95"/>
      <c r="B9" s="100"/>
      <c r="C9" s="19" t="s">
        <v>29</v>
      </c>
      <c r="D9" s="2">
        <v>841935.56552511174</v>
      </c>
      <c r="E9" s="2">
        <v>80191.985138572622</v>
      </c>
      <c r="F9" s="2">
        <v>1216833.3958433592</v>
      </c>
      <c r="G9" s="2">
        <v>56150.598490521101</v>
      </c>
      <c r="H9" s="2">
        <v>351161.7708369419</v>
      </c>
      <c r="I9" s="2">
        <v>53251.116491895707</v>
      </c>
      <c r="J9" s="2">
        <v>580910.58196974325</v>
      </c>
      <c r="K9" s="2">
        <v>827784.26409444725</v>
      </c>
      <c r="L9" s="2">
        <v>136943.08192897192</v>
      </c>
      <c r="M9" s="2">
        <v>292425.24995857757</v>
      </c>
      <c r="N9" s="2">
        <v>87636.069130875359</v>
      </c>
      <c r="O9" s="2">
        <v>148969.98584497967</v>
      </c>
      <c r="P9" s="2">
        <v>838936.88824035286</v>
      </c>
      <c r="Q9" s="2">
        <v>300144.37534872984</v>
      </c>
      <c r="R9" s="2">
        <v>393295.7979142078</v>
      </c>
      <c r="S9" s="2">
        <v>241289.08142483569</v>
      </c>
      <c r="T9" s="2">
        <v>-85289.130521764047</v>
      </c>
      <c r="U9" s="23">
        <v>6504505.197421426</v>
      </c>
    </row>
    <row r="10" spans="1:23" x14ac:dyDescent="0.25">
      <c r="A10" s="95"/>
      <c r="B10" s="100"/>
      <c r="C10" s="19" t="s">
        <v>30</v>
      </c>
      <c r="D10" s="2">
        <v>857342.07875543332</v>
      </c>
      <c r="E10" s="2">
        <v>81480.408018756571</v>
      </c>
      <c r="F10" s="2">
        <v>1204293.8221307718</v>
      </c>
      <c r="G10" s="2">
        <v>60861.785726993112</v>
      </c>
      <c r="H10" s="2">
        <v>357163.04104961234</v>
      </c>
      <c r="I10" s="2">
        <v>53042.197300182655</v>
      </c>
      <c r="J10" s="2">
        <v>607222.39445132122</v>
      </c>
      <c r="K10" s="2">
        <v>844126.16277958232</v>
      </c>
      <c r="L10" s="2">
        <v>142113.13686866718</v>
      </c>
      <c r="M10" s="2">
        <v>293213.95699487929</v>
      </c>
      <c r="N10" s="2">
        <v>88738.334855178633</v>
      </c>
      <c r="O10" s="2">
        <v>153287.76644065249</v>
      </c>
      <c r="P10" s="2">
        <v>855185.40246291819</v>
      </c>
      <c r="Q10" s="2">
        <v>308474.61163471249</v>
      </c>
      <c r="R10" s="2">
        <v>397137.54220489244</v>
      </c>
      <c r="S10" s="2">
        <v>249146.72780416984</v>
      </c>
      <c r="T10" s="2">
        <v>-82787.97195640525</v>
      </c>
      <c r="U10" s="23">
        <v>6586864.1033724044</v>
      </c>
    </row>
    <row r="11" spans="1:23" x14ac:dyDescent="0.25">
      <c r="A11" s="95"/>
      <c r="B11" s="101"/>
      <c r="C11" s="52" t="s">
        <v>31</v>
      </c>
      <c r="D11" s="20">
        <v>868257.84062113543</v>
      </c>
      <c r="E11" s="20">
        <v>83774.354819324653</v>
      </c>
      <c r="F11" s="20">
        <v>1193872.7186217303</v>
      </c>
      <c r="G11" s="20">
        <v>63202.360566570169</v>
      </c>
      <c r="H11" s="20">
        <v>365103.71985064849</v>
      </c>
      <c r="I11" s="20">
        <v>54318.204733445236</v>
      </c>
      <c r="J11" s="20">
        <v>636766.29714934062</v>
      </c>
      <c r="K11" s="20">
        <v>840860.07354346721</v>
      </c>
      <c r="L11" s="20">
        <v>149765.67943853402</v>
      </c>
      <c r="M11" s="20">
        <v>295128.83925790904</v>
      </c>
      <c r="N11" s="20">
        <v>89765.532453638472</v>
      </c>
      <c r="O11" s="20">
        <v>156326.79622866516</v>
      </c>
      <c r="P11" s="20">
        <v>867393.60051137418</v>
      </c>
      <c r="Q11" s="20">
        <v>310511.58880429826</v>
      </c>
      <c r="R11" s="20">
        <v>395070.88485431357</v>
      </c>
      <c r="S11" s="20">
        <v>253210.74636373157</v>
      </c>
      <c r="T11" s="20">
        <v>-76488.244928611952</v>
      </c>
      <c r="U11" s="24">
        <v>6647999.2635663971</v>
      </c>
    </row>
    <row r="12" spans="1:23" s="7" customFormat="1" ht="17.45" customHeight="1" x14ac:dyDescent="0.2">
      <c r="A12" s="95"/>
      <c r="B12" s="60"/>
      <c r="C12" s="53" t="s">
        <v>51</v>
      </c>
      <c r="D12" s="42">
        <v>3715481.9108295222</v>
      </c>
      <c r="E12" s="42">
        <v>349549.95750934829</v>
      </c>
      <c r="F12" s="42">
        <v>5179108.9441457354</v>
      </c>
      <c r="G12" s="42">
        <v>267930.51901288389</v>
      </c>
      <c r="H12" s="42">
        <v>1634726.4951978114</v>
      </c>
      <c r="I12" s="42">
        <v>231900.81921663583</v>
      </c>
      <c r="J12" s="42">
        <v>2930675.704983606</v>
      </c>
      <c r="K12" s="42">
        <v>3549950.1814251337</v>
      </c>
      <c r="L12" s="42">
        <v>663679.5658537352</v>
      </c>
      <c r="M12" s="42">
        <v>1224859.8004257758</v>
      </c>
      <c r="N12" s="42">
        <v>365359.73574901198</v>
      </c>
      <c r="O12" s="42">
        <v>645369.27094919025</v>
      </c>
      <c r="P12" s="42">
        <v>3703319.9458595924</v>
      </c>
      <c r="Q12" s="42">
        <v>1315626.2972758529</v>
      </c>
      <c r="R12" s="42">
        <v>1733857.3269717915</v>
      </c>
      <c r="S12" s="42">
        <v>1036015.6816131743</v>
      </c>
      <c r="T12" s="42">
        <v>-450620.33426262945</v>
      </c>
      <c r="U12" s="43">
        <v>28162334.675606064</v>
      </c>
      <c r="V12" s="15"/>
      <c r="W12" s="15"/>
    </row>
    <row r="13" spans="1:23" x14ac:dyDescent="0.25">
      <c r="A13" s="95"/>
      <c r="B13" s="100">
        <v>2004</v>
      </c>
      <c r="C13" s="19" t="s">
        <v>28</v>
      </c>
      <c r="D13" s="2">
        <v>894416.03103420278</v>
      </c>
      <c r="E13" s="2">
        <v>85554.17543324703</v>
      </c>
      <c r="F13" s="2">
        <v>1232495.8602583958</v>
      </c>
      <c r="G13" s="2">
        <v>66212.211189126523</v>
      </c>
      <c r="H13" s="2">
        <v>379309.35641155072</v>
      </c>
      <c r="I13" s="2">
        <v>54372.38411804504</v>
      </c>
      <c r="J13" s="2">
        <v>675276.05202319566</v>
      </c>
      <c r="K13" s="2">
        <v>873414.60364044562</v>
      </c>
      <c r="L13" s="2">
        <v>153092.56891432405</v>
      </c>
      <c r="M13" s="2">
        <v>298024.25161139929</v>
      </c>
      <c r="N13" s="2">
        <v>90134.250317546306</v>
      </c>
      <c r="O13" s="2">
        <v>162703.348429715</v>
      </c>
      <c r="P13" s="2">
        <v>897316.42159340344</v>
      </c>
      <c r="Q13" s="2">
        <v>328675.66673737706</v>
      </c>
      <c r="R13" s="2">
        <v>414479.38719998312</v>
      </c>
      <c r="S13" s="2">
        <v>255484.26990267693</v>
      </c>
      <c r="T13" s="2">
        <v>-139176.71291511843</v>
      </c>
      <c r="U13" s="23">
        <v>6656247.5267395843</v>
      </c>
    </row>
    <row r="14" spans="1:23" x14ac:dyDescent="0.25">
      <c r="A14" s="95"/>
      <c r="B14" s="100"/>
      <c r="C14" s="19" t="s">
        <v>29</v>
      </c>
      <c r="D14" s="2">
        <v>926166.83649357199</v>
      </c>
      <c r="E14" s="2">
        <v>86920.821647384117</v>
      </c>
      <c r="F14" s="2">
        <v>1272843.934043156</v>
      </c>
      <c r="G14" s="2">
        <v>67459.352717818037</v>
      </c>
      <c r="H14" s="2">
        <v>398476.79103750002</v>
      </c>
      <c r="I14" s="2">
        <v>55868.514133502773</v>
      </c>
      <c r="J14" s="2">
        <v>712480.63090837502</v>
      </c>
      <c r="K14" s="2">
        <v>890204.26249708701</v>
      </c>
      <c r="L14" s="2">
        <v>161268.17928438686</v>
      </c>
      <c r="M14" s="2">
        <v>302315.18025307497</v>
      </c>
      <c r="N14" s="2">
        <v>90604.082294536434</v>
      </c>
      <c r="O14" s="2">
        <v>161045.43231414101</v>
      </c>
      <c r="P14" s="2">
        <v>910183.22831034393</v>
      </c>
      <c r="Q14" s="2">
        <v>338690.20240965526</v>
      </c>
      <c r="R14" s="2">
        <v>431647.60889348527</v>
      </c>
      <c r="S14" s="2">
        <v>261702.75053963996</v>
      </c>
      <c r="T14" s="2">
        <v>-121595.62248236388</v>
      </c>
      <c r="U14" s="23">
        <v>6936276.1216542944</v>
      </c>
    </row>
    <row r="15" spans="1:23" x14ac:dyDescent="0.25">
      <c r="A15" s="95"/>
      <c r="B15" s="100"/>
      <c r="C15" s="19" t="s">
        <v>30</v>
      </c>
      <c r="D15" s="2">
        <v>942470.51050418708</v>
      </c>
      <c r="E15" s="2">
        <v>87951.022432597383</v>
      </c>
      <c r="F15" s="2">
        <v>1315672.2441859446</v>
      </c>
      <c r="G15" s="2">
        <v>66327.118160228187</v>
      </c>
      <c r="H15" s="2">
        <v>419333.51988874539</v>
      </c>
      <c r="I15" s="2">
        <v>59679.76983044541</v>
      </c>
      <c r="J15" s="2">
        <v>753711.48801735626</v>
      </c>
      <c r="K15" s="2">
        <v>893202.77667466726</v>
      </c>
      <c r="L15" s="2">
        <v>170963.52041969472</v>
      </c>
      <c r="M15" s="2">
        <v>308583.32182261534</v>
      </c>
      <c r="N15" s="2">
        <v>91642.623835923936</v>
      </c>
      <c r="O15" s="2">
        <v>160039.20341853646</v>
      </c>
      <c r="P15" s="2">
        <v>941568.670230994</v>
      </c>
      <c r="Q15" s="2">
        <v>330740.76575375174</v>
      </c>
      <c r="R15" s="2">
        <v>441577.72226211417</v>
      </c>
      <c r="S15" s="2">
        <v>254932.86388096961</v>
      </c>
      <c r="T15" s="2">
        <v>-104473.21767019923</v>
      </c>
      <c r="U15" s="23">
        <v>7162619.3295478206</v>
      </c>
    </row>
    <row r="16" spans="1:23" x14ac:dyDescent="0.25">
      <c r="A16" s="95"/>
      <c r="B16" s="101"/>
      <c r="C16" s="52" t="s">
        <v>31</v>
      </c>
      <c r="D16" s="20">
        <v>952428.53279756068</v>
      </c>
      <c r="E16" s="20">
        <v>89123.937996119756</v>
      </c>
      <c r="F16" s="20">
        <v>1358096.9056582386</v>
      </c>
      <c r="G16" s="20">
        <v>67931.83694571114</v>
      </c>
      <c r="H16" s="20">
        <v>437606.82786001521</v>
      </c>
      <c r="I16" s="20">
        <v>61980.151134642612</v>
      </c>
      <c r="J16" s="20">
        <v>789207.53403467883</v>
      </c>
      <c r="K16" s="20">
        <v>893128.5386129336</v>
      </c>
      <c r="L16" s="20">
        <v>178355.29723532955</v>
      </c>
      <c r="M16" s="20">
        <v>315937.04673868627</v>
      </c>
      <c r="N16" s="20">
        <v>92978.779301005328</v>
      </c>
      <c r="O16" s="20">
        <v>161581.28678679781</v>
      </c>
      <c r="P16" s="20">
        <v>954251.62572485115</v>
      </c>
      <c r="Q16" s="20">
        <v>317519.66237506882</v>
      </c>
      <c r="R16" s="20">
        <v>446152.60861620889</v>
      </c>
      <c r="S16" s="20">
        <v>263895.79728988779</v>
      </c>
      <c r="T16" s="20">
        <v>-85374.781194947907</v>
      </c>
      <c r="U16" s="24">
        <v>7407191.6976643661</v>
      </c>
    </row>
    <row r="17" spans="1:23" s="7" customFormat="1" ht="17.45" customHeight="1" x14ac:dyDescent="0.2">
      <c r="A17" s="95"/>
      <c r="B17" s="60"/>
      <c r="C17" s="53" t="s">
        <v>51</v>
      </c>
      <c r="D17" s="42">
        <v>3919262.3573164782</v>
      </c>
      <c r="E17" s="42">
        <v>363332.00923450617</v>
      </c>
      <c r="F17" s="42">
        <v>6309789.204403149</v>
      </c>
      <c r="G17" s="42">
        <v>248699.61141935494</v>
      </c>
      <c r="H17" s="42">
        <v>1842019.1126910993</v>
      </c>
      <c r="I17" s="42">
        <v>259060.50536566012</v>
      </c>
      <c r="J17" s="42">
        <v>3434298.2403219063</v>
      </c>
      <c r="K17" s="42">
        <v>3830820.4201193582</v>
      </c>
      <c r="L17" s="42">
        <v>692693.50223150221</v>
      </c>
      <c r="M17" s="42">
        <v>1339659.9306582771</v>
      </c>
      <c r="N17" s="42">
        <v>338250.46910916729</v>
      </c>
      <c r="O17" s="42">
        <v>709206.36396389757</v>
      </c>
      <c r="P17" s="42">
        <v>4114432.7309256112</v>
      </c>
      <c r="Q17" s="42">
        <v>1305899.5495736934</v>
      </c>
      <c r="R17" s="42">
        <v>1865972.3966946872</v>
      </c>
      <c r="S17" s="42">
        <v>1130823.2556358872</v>
      </c>
      <c r="T17" s="42">
        <v>-112989.2819343812</v>
      </c>
      <c r="U17" s="43">
        <v>33316759.352203183</v>
      </c>
      <c r="V17" s="15"/>
      <c r="W17" s="15"/>
    </row>
    <row r="18" spans="1:23" x14ac:dyDescent="0.25">
      <c r="A18" s="95"/>
      <c r="B18" s="100">
        <v>2005</v>
      </c>
      <c r="C18" s="19" t="s">
        <v>28</v>
      </c>
      <c r="D18" s="2">
        <v>964323.45203149342</v>
      </c>
      <c r="E18" s="2">
        <v>89458.378422052978</v>
      </c>
      <c r="F18" s="2">
        <v>1449604.0830120088</v>
      </c>
      <c r="G18" s="2">
        <v>65929.825071199317</v>
      </c>
      <c r="H18" s="2">
        <v>448633.17930461426</v>
      </c>
      <c r="I18" s="2">
        <v>63970.949986647771</v>
      </c>
      <c r="J18" s="2">
        <v>822395.60792024515</v>
      </c>
      <c r="K18" s="2">
        <v>923488.88557377621</v>
      </c>
      <c r="L18" s="2">
        <v>178620.00220900858</v>
      </c>
      <c r="M18" s="2">
        <v>322722.9029624252</v>
      </c>
      <c r="N18" s="2">
        <v>92366.919014546889</v>
      </c>
      <c r="O18" s="2">
        <v>161614.67525610086</v>
      </c>
      <c r="P18" s="2">
        <v>989178.41008034255</v>
      </c>
      <c r="Q18" s="2">
        <v>320354.99237131618</v>
      </c>
      <c r="R18" s="2">
        <v>456887.27907652769</v>
      </c>
      <c r="S18" s="2">
        <v>274246.87576037575</v>
      </c>
      <c r="T18" s="2">
        <v>-5920.4332017991892</v>
      </c>
      <c r="U18" s="23">
        <v>8017570.7089047311</v>
      </c>
    </row>
    <row r="19" spans="1:23" x14ac:dyDescent="0.25">
      <c r="A19" s="95"/>
      <c r="B19" s="100"/>
      <c r="C19" s="19" t="s">
        <v>29</v>
      </c>
      <c r="D19" s="2">
        <v>976439.60127140465</v>
      </c>
      <c r="E19" s="2">
        <v>89766.867285464963</v>
      </c>
      <c r="F19" s="2">
        <v>1536644.5694939969</v>
      </c>
      <c r="G19" s="2">
        <v>64471.467573680515</v>
      </c>
      <c r="H19" s="2">
        <v>457021.42352292093</v>
      </c>
      <c r="I19" s="2">
        <v>64398.549278327671</v>
      </c>
      <c r="J19" s="2">
        <v>847732.06357140478</v>
      </c>
      <c r="K19" s="2">
        <v>950185.81091576489</v>
      </c>
      <c r="L19" s="2">
        <v>175603.89394463532</v>
      </c>
      <c r="M19" s="2">
        <v>330265.44277384889</v>
      </c>
      <c r="N19" s="2">
        <v>88692.588816079733</v>
      </c>
      <c r="O19" s="2">
        <v>171537.08875148019</v>
      </c>
      <c r="P19" s="2">
        <v>1022254.2631637371</v>
      </c>
      <c r="Q19" s="2">
        <v>323897.30938470655</v>
      </c>
      <c r="R19" s="2">
        <v>463315.61259017192</v>
      </c>
      <c r="S19" s="2">
        <v>277642.31416002818</v>
      </c>
      <c r="T19" s="2">
        <v>-7197.7463902211139</v>
      </c>
      <c r="U19" s="23">
        <v>8295621.1673396891</v>
      </c>
    </row>
    <row r="20" spans="1:23" x14ac:dyDescent="0.25">
      <c r="A20" s="95"/>
      <c r="B20" s="100"/>
      <c r="C20" s="19" t="s">
        <v>30</v>
      </c>
      <c r="D20" s="2">
        <v>984962.82385729393</v>
      </c>
      <c r="E20" s="2">
        <v>90584.524473526501</v>
      </c>
      <c r="F20" s="2">
        <v>1622432.203361755</v>
      </c>
      <c r="G20" s="2">
        <v>61626.086278232804</v>
      </c>
      <c r="H20" s="2">
        <v>463980.69576880621</v>
      </c>
      <c r="I20" s="2">
        <v>64048.647277816272</v>
      </c>
      <c r="J20" s="2">
        <v>871933.69599407422</v>
      </c>
      <c r="K20" s="2">
        <v>971700.92412488675</v>
      </c>
      <c r="L20" s="2">
        <v>170510.86248026893</v>
      </c>
      <c r="M20" s="2">
        <v>339102.83108471183</v>
      </c>
      <c r="N20" s="2">
        <v>82433.574031255121</v>
      </c>
      <c r="O20" s="2">
        <v>180944.19760318196</v>
      </c>
      <c r="P20" s="2">
        <v>1028579.2851870577</v>
      </c>
      <c r="Q20" s="2">
        <v>328387.36871613347</v>
      </c>
      <c r="R20" s="2">
        <v>468915.8994052342</v>
      </c>
      <c r="S20" s="2">
        <v>286909.81279763998</v>
      </c>
      <c r="T20" s="2">
        <v>-8393.3190719534905</v>
      </c>
      <c r="U20" s="23">
        <v>8547904.271943789</v>
      </c>
    </row>
    <row r="21" spans="1:23" x14ac:dyDescent="0.25">
      <c r="A21" s="95"/>
      <c r="B21" s="101"/>
      <c r="C21" s="52" t="s">
        <v>31</v>
      </c>
      <c r="D21" s="20">
        <v>993536.48015628615</v>
      </c>
      <c r="E21" s="20">
        <v>93522.239053461715</v>
      </c>
      <c r="F21" s="20">
        <v>1701108.348535388</v>
      </c>
      <c r="G21" s="20">
        <v>56672.232496242301</v>
      </c>
      <c r="H21" s="20">
        <v>472383.81409475778</v>
      </c>
      <c r="I21" s="20">
        <v>66642.358822868409</v>
      </c>
      <c r="J21" s="20">
        <v>892236.87283618189</v>
      </c>
      <c r="K21" s="20">
        <v>985444.79950492992</v>
      </c>
      <c r="L21" s="20">
        <v>167958.74359758949</v>
      </c>
      <c r="M21" s="20">
        <v>347568.75383729138</v>
      </c>
      <c r="N21" s="20">
        <v>74757.387247285515</v>
      </c>
      <c r="O21" s="20">
        <v>195110.40235313459</v>
      </c>
      <c r="P21" s="20">
        <v>1074420.772494474</v>
      </c>
      <c r="Q21" s="20">
        <v>333259.87910153728</v>
      </c>
      <c r="R21" s="20">
        <v>476853.60562275338</v>
      </c>
      <c r="S21" s="20">
        <v>292024.25291784317</v>
      </c>
      <c r="T21" s="20">
        <v>-91477.78327040741</v>
      </c>
      <c r="U21" s="24">
        <v>8455663.2040149719</v>
      </c>
    </row>
    <row r="22" spans="1:23" s="7" customFormat="1" ht="17.45" customHeight="1" x14ac:dyDescent="0.2">
      <c r="A22" s="95"/>
      <c r="B22" s="60"/>
      <c r="C22" s="53" t="s">
        <v>51</v>
      </c>
      <c r="D22" s="42">
        <v>4347458.7211330645</v>
      </c>
      <c r="E22" s="42">
        <v>422336.03591515898</v>
      </c>
      <c r="F22" s="42">
        <v>7340083.8373465044</v>
      </c>
      <c r="G22" s="42">
        <v>262654.57661745808</v>
      </c>
      <c r="H22" s="42">
        <v>1983986.3448073072</v>
      </c>
      <c r="I22" s="42">
        <v>298353.92390605051</v>
      </c>
      <c r="J22" s="42">
        <v>3802246.7536959536</v>
      </c>
      <c r="K22" s="42">
        <v>4057515.9138079998</v>
      </c>
      <c r="L22" s="42">
        <v>757425.14457654965</v>
      </c>
      <c r="M22" s="42">
        <v>1451661.2462193321</v>
      </c>
      <c r="N22" s="42">
        <v>304552.17017706169</v>
      </c>
      <c r="O22" s="42">
        <v>829378.59763990052</v>
      </c>
      <c r="P22" s="42">
        <v>4565455.5011190828</v>
      </c>
      <c r="Q22" s="42">
        <v>1373785.7499232213</v>
      </c>
      <c r="R22" s="42">
        <v>2101054.7188388975</v>
      </c>
      <c r="S22" s="42">
        <v>1177930.5205969333</v>
      </c>
      <c r="T22" s="42">
        <v>-484644.04556398327</v>
      </c>
      <c r="U22" s="43">
        <v>35791603.692897722</v>
      </c>
      <c r="V22" s="15"/>
      <c r="W22" s="15"/>
    </row>
    <row r="23" spans="1:23" x14ac:dyDescent="0.25">
      <c r="A23" s="95"/>
      <c r="B23" s="100">
        <v>2006</v>
      </c>
      <c r="C23" s="19" t="s">
        <v>28</v>
      </c>
      <c r="D23" s="2">
        <v>1028373.3638057334</v>
      </c>
      <c r="E23" s="2">
        <v>97942.903741234681</v>
      </c>
      <c r="F23" s="2">
        <v>1755050.382877792</v>
      </c>
      <c r="G23" s="2">
        <v>60495.164658802634</v>
      </c>
      <c r="H23" s="2">
        <v>481573.91727303207</v>
      </c>
      <c r="I23" s="2">
        <v>69532.117009390669</v>
      </c>
      <c r="J23" s="2">
        <v>913837.70500574051</v>
      </c>
      <c r="K23" s="2">
        <v>1002429.7912880469</v>
      </c>
      <c r="L23" s="2">
        <v>169948.05364014319</v>
      </c>
      <c r="M23" s="2">
        <v>353884.83555974776</v>
      </c>
      <c r="N23" s="2">
        <v>71717.997223147424</v>
      </c>
      <c r="O23" s="2">
        <v>198301.82526346302</v>
      </c>
      <c r="P23" s="2">
        <v>1081625.3230814857</v>
      </c>
      <c r="Q23" s="2">
        <v>336552.01367044845</v>
      </c>
      <c r="R23" s="2">
        <v>497156.31357727578</v>
      </c>
      <c r="S23" s="2">
        <v>286253.68143840489</v>
      </c>
      <c r="T23" s="2">
        <v>-108812.22856618387</v>
      </c>
      <c r="U23" s="23">
        <v>8613220.2218731754</v>
      </c>
    </row>
    <row r="24" spans="1:23" x14ac:dyDescent="0.25">
      <c r="A24" s="95"/>
      <c r="B24" s="100"/>
      <c r="C24" s="19" t="s">
        <v>29</v>
      </c>
      <c r="D24" s="2">
        <v>1081786.4122548276</v>
      </c>
      <c r="E24" s="2">
        <v>102695.36642208554</v>
      </c>
      <c r="F24" s="2">
        <v>1803244.6359222983</v>
      </c>
      <c r="G24" s="2">
        <v>62492.915885485243</v>
      </c>
      <c r="H24" s="2">
        <v>491141.92115853174</v>
      </c>
      <c r="I24" s="2">
        <v>72434.202768072602</v>
      </c>
      <c r="J24" s="2">
        <v>934736.87599965488</v>
      </c>
      <c r="K24" s="2">
        <v>1010737.2925553635</v>
      </c>
      <c r="L24" s="2">
        <v>179393.72863918508</v>
      </c>
      <c r="M24" s="2">
        <v>359873.30263549695</v>
      </c>
      <c r="N24" s="2">
        <v>72927.79720726503</v>
      </c>
      <c r="O24" s="2">
        <v>197385.31399039697</v>
      </c>
      <c r="P24" s="2">
        <v>1134590.6901647372</v>
      </c>
      <c r="Q24" s="2">
        <v>339969.88896547304</v>
      </c>
      <c r="R24" s="2">
        <v>520205.64333747409</v>
      </c>
      <c r="S24" s="2">
        <v>284568.04765461222</v>
      </c>
      <c r="T24" s="2">
        <v>-127026.64724625983</v>
      </c>
      <c r="U24" s="23">
        <v>8770971.4145313296</v>
      </c>
    </row>
    <row r="25" spans="1:23" x14ac:dyDescent="0.25">
      <c r="A25" s="95"/>
      <c r="B25" s="100"/>
      <c r="C25" s="19" t="s">
        <v>30</v>
      </c>
      <c r="D25" s="2">
        <v>1110728.8994786993</v>
      </c>
      <c r="E25" s="2">
        <v>107329.57172712384</v>
      </c>
      <c r="F25" s="2">
        <v>1860057.8302820399</v>
      </c>
      <c r="G25" s="2">
        <v>66802.267887078604</v>
      </c>
      <c r="H25" s="2">
        <v>500527.42211811885</v>
      </c>
      <c r="I25" s="2">
        <v>75846.922065662482</v>
      </c>
      <c r="J25" s="2">
        <v>961585.38242894015</v>
      </c>
      <c r="K25" s="2">
        <v>1017027.7007040913</v>
      </c>
      <c r="L25" s="2">
        <v>195095.2258217877</v>
      </c>
      <c r="M25" s="2">
        <v>366135.97700377996</v>
      </c>
      <c r="N25" s="2">
        <v>77138.599519693307</v>
      </c>
      <c r="O25" s="2">
        <v>205091.69634141319</v>
      </c>
      <c r="P25" s="2">
        <v>1144839.6451492421</v>
      </c>
      <c r="Q25" s="2">
        <v>342848.33145700861</v>
      </c>
      <c r="R25" s="2">
        <v>538452.73227939126</v>
      </c>
      <c r="S25" s="2">
        <v>296449.95567046863</v>
      </c>
      <c r="T25" s="2">
        <v>-146868.21585672972</v>
      </c>
      <c r="U25" s="23">
        <v>8950444.6156758536</v>
      </c>
    </row>
    <row r="26" spans="1:23" x14ac:dyDescent="0.25">
      <c r="A26" s="95"/>
      <c r="B26" s="101"/>
      <c r="C26" s="52" t="s">
        <v>31</v>
      </c>
      <c r="D26" s="20">
        <v>1126570.0455938042</v>
      </c>
      <c r="E26" s="20">
        <v>114368.19402471493</v>
      </c>
      <c r="F26" s="20">
        <v>1921730.9882643742</v>
      </c>
      <c r="G26" s="20">
        <v>72864.228186091597</v>
      </c>
      <c r="H26" s="20">
        <v>510743.08425762452</v>
      </c>
      <c r="I26" s="20">
        <v>80540.682062924723</v>
      </c>
      <c r="J26" s="20">
        <v>992086.79026161775</v>
      </c>
      <c r="K26" s="20">
        <v>1027321.1292604981</v>
      </c>
      <c r="L26" s="20">
        <v>212988.13647543374</v>
      </c>
      <c r="M26" s="20">
        <v>371767.13102030731</v>
      </c>
      <c r="N26" s="20">
        <v>82767.776226955946</v>
      </c>
      <c r="O26" s="20">
        <v>228599.76204462731</v>
      </c>
      <c r="P26" s="20">
        <v>1204399.8427236183</v>
      </c>
      <c r="Q26" s="20">
        <v>354415.51583029126</v>
      </c>
      <c r="R26" s="20">
        <v>545240.02964475611</v>
      </c>
      <c r="S26" s="20">
        <v>310658.83583344769</v>
      </c>
      <c r="T26" s="20">
        <v>-101936.95389480985</v>
      </c>
      <c r="U26" s="24">
        <v>9456967.4408173636</v>
      </c>
    </row>
    <row r="27" spans="1:23" s="7" customFormat="1" ht="17.45" customHeight="1" x14ac:dyDescent="0.2">
      <c r="A27" s="95"/>
      <c r="B27" s="60"/>
      <c r="C27" s="53" t="s">
        <v>51</v>
      </c>
      <c r="D27" s="42">
        <v>4695912.406659117</v>
      </c>
      <c r="E27" s="42">
        <v>481202.03696298355</v>
      </c>
      <c r="F27" s="42">
        <v>8731827.5999969225</v>
      </c>
      <c r="G27" s="42">
        <v>313874.55002293171</v>
      </c>
      <c r="H27" s="42">
        <v>2092577.9109326531</v>
      </c>
      <c r="I27" s="42">
        <v>326556.24037543079</v>
      </c>
      <c r="J27" s="42">
        <v>4398118.569792375</v>
      </c>
      <c r="K27" s="42">
        <v>4400722.7578857541</v>
      </c>
      <c r="L27" s="42">
        <v>906552.21432105172</v>
      </c>
      <c r="M27" s="42">
        <v>1549214.6182103367</v>
      </c>
      <c r="N27" s="42">
        <v>351114.25196103443</v>
      </c>
      <c r="O27" s="42">
        <v>983874.20751325286</v>
      </c>
      <c r="P27" s="42">
        <v>5162704.9230536614</v>
      </c>
      <c r="Q27" s="42">
        <v>1471819.0575593503</v>
      </c>
      <c r="R27" s="42">
        <v>2032184.3176228073</v>
      </c>
      <c r="S27" s="42">
        <v>1418539.2420487821</v>
      </c>
      <c r="T27" s="42">
        <v>-408017.82994211896</v>
      </c>
      <c r="U27" s="43">
        <v>41033744.098096848</v>
      </c>
      <c r="V27" s="15"/>
      <c r="W27" s="15"/>
    </row>
    <row r="28" spans="1:23" x14ac:dyDescent="0.25">
      <c r="A28" s="95"/>
      <c r="B28" s="100">
        <v>2007</v>
      </c>
      <c r="C28" s="19" t="s">
        <v>28</v>
      </c>
      <c r="D28" s="2">
        <v>1151861.6588721098</v>
      </c>
      <c r="E28" s="2">
        <v>118150.08621506039</v>
      </c>
      <c r="F28" s="2">
        <v>2028709.6570078069</v>
      </c>
      <c r="G28" s="2">
        <v>74999.156843824574</v>
      </c>
      <c r="H28" s="2">
        <v>516928.25326759351</v>
      </c>
      <c r="I28" s="2">
        <v>74102.691047233398</v>
      </c>
      <c r="J28" s="2">
        <v>1034198.761233979</v>
      </c>
      <c r="K28" s="2">
        <v>1047950.9223896211</v>
      </c>
      <c r="L28" s="2">
        <v>217487.93754041367</v>
      </c>
      <c r="M28" s="2">
        <v>375932.25506524736</v>
      </c>
      <c r="N28" s="2">
        <v>85586.235532707942</v>
      </c>
      <c r="O28" s="2">
        <v>238589.24854224341</v>
      </c>
      <c r="P28" s="2">
        <v>1247014.9949214621</v>
      </c>
      <c r="Q28" s="2">
        <v>360442.43794709683</v>
      </c>
      <c r="R28" s="2">
        <v>537212.07442841586</v>
      </c>
      <c r="S28" s="2">
        <v>337828.38778027182</v>
      </c>
      <c r="T28" s="2">
        <v>-110301.48940243994</v>
      </c>
      <c r="U28" s="23">
        <v>9785443.024434587</v>
      </c>
    </row>
    <row r="29" spans="1:23" x14ac:dyDescent="0.25">
      <c r="A29" s="95"/>
      <c r="B29" s="100"/>
      <c r="C29" s="19" t="s">
        <v>29</v>
      </c>
      <c r="D29" s="2">
        <v>1173357.8863268252</v>
      </c>
      <c r="E29" s="2">
        <v>120125.07139839284</v>
      </c>
      <c r="F29" s="2">
        <v>2131540.1113184048</v>
      </c>
      <c r="G29" s="2">
        <v>74677.101872511936</v>
      </c>
      <c r="H29" s="2">
        <v>521169.19748632755</v>
      </c>
      <c r="I29" s="2">
        <v>79762.165534694199</v>
      </c>
      <c r="J29" s="2">
        <v>1076110.6141881912</v>
      </c>
      <c r="K29" s="2">
        <v>1077275.4102126926</v>
      </c>
      <c r="L29" s="2">
        <v>224181.74976014404</v>
      </c>
      <c r="M29" s="2">
        <v>381099.82628965523</v>
      </c>
      <c r="N29" s="2">
        <v>86930.068573329714</v>
      </c>
      <c r="O29" s="2">
        <v>249615.79015358194</v>
      </c>
      <c r="P29" s="2">
        <v>1262361.020255612</v>
      </c>
      <c r="Q29" s="2">
        <v>366369.90514462022</v>
      </c>
      <c r="R29" s="2">
        <v>517943.31600197463</v>
      </c>
      <c r="S29" s="2">
        <v>357337.89293359977</v>
      </c>
      <c r="T29" s="2">
        <v>-104171.19374302615</v>
      </c>
      <c r="U29" s="23">
        <v>10103099.327620516</v>
      </c>
    </row>
    <row r="30" spans="1:23" x14ac:dyDescent="0.25">
      <c r="A30" s="95"/>
      <c r="B30" s="100"/>
      <c r="C30" s="19" t="s">
        <v>30</v>
      </c>
      <c r="D30" s="2">
        <v>1182400.030759369</v>
      </c>
      <c r="E30" s="2">
        <v>121122.74195086045</v>
      </c>
      <c r="F30" s="2">
        <v>2233746.4603679171</v>
      </c>
      <c r="G30" s="2">
        <v>77412.004641021063</v>
      </c>
      <c r="H30" s="2">
        <v>524650.47823104425</v>
      </c>
      <c r="I30" s="2">
        <v>85138.0860537392</v>
      </c>
      <c r="J30" s="2">
        <v>1123382.869926</v>
      </c>
      <c r="K30" s="2">
        <v>1115153.5707412036</v>
      </c>
      <c r="L30" s="2">
        <v>229907.01021753991</v>
      </c>
      <c r="M30" s="2">
        <v>389620.92299818329</v>
      </c>
      <c r="N30" s="2">
        <v>87948.094509009519</v>
      </c>
      <c r="O30" s="2">
        <v>254329.55880630971</v>
      </c>
      <c r="P30" s="2">
        <v>1331454.8520615969</v>
      </c>
      <c r="Q30" s="2">
        <v>373031.4014630249</v>
      </c>
      <c r="R30" s="2">
        <v>495994.75231647241</v>
      </c>
      <c r="S30" s="2">
        <v>369975.25168426958</v>
      </c>
      <c r="T30" s="2">
        <v>-83473.623981037235</v>
      </c>
      <c r="U30" s="23">
        <v>10458574.245189559</v>
      </c>
    </row>
    <row r="31" spans="1:23" x14ac:dyDescent="0.25">
      <c r="A31" s="95"/>
      <c r="B31" s="101"/>
      <c r="C31" s="52" t="s">
        <v>31</v>
      </c>
      <c r="D31" s="20">
        <v>1188292.8307008129</v>
      </c>
      <c r="E31" s="20">
        <v>121804.13739866983</v>
      </c>
      <c r="F31" s="20">
        <v>2337831.3713027933</v>
      </c>
      <c r="G31" s="20">
        <v>86786.286665574124</v>
      </c>
      <c r="H31" s="20">
        <v>529829.98194768792</v>
      </c>
      <c r="I31" s="20">
        <v>87553.297739763977</v>
      </c>
      <c r="J31" s="20">
        <v>1164426.3244442046</v>
      </c>
      <c r="K31" s="20">
        <v>1160342.8545422363</v>
      </c>
      <c r="L31" s="20">
        <v>234975.51680295402</v>
      </c>
      <c r="M31" s="20">
        <v>402561.61385725054</v>
      </c>
      <c r="N31" s="20">
        <v>90649.853345987285</v>
      </c>
      <c r="O31" s="20">
        <v>241339.61001111777</v>
      </c>
      <c r="P31" s="20">
        <v>1321874.0558149912</v>
      </c>
      <c r="Q31" s="20">
        <v>371975.3130046085</v>
      </c>
      <c r="R31" s="20">
        <v>481034.17487594474</v>
      </c>
      <c r="S31" s="20">
        <v>353397.70965064084</v>
      </c>
      <c r="T31" s="20">
        <v>-110071.52281561565</v>
      </c>
      <c r="U31" s="24">
        <v>10686627.50085219</v>
      </c>
    </row>
    <row r="32" spans="1:23" s="7" customFormat="1" ht="17.45" customHeight="1" x14ac:dyDescent="0.2">
      <c r="A32" s="95"/>
      <c r="B32" s="60"/>
      <c r="C32" s="53" t="s">
        <v>51</v>
      </c>
      <c r="D32" s="42">
        <v>4954272.4328581616</v>
      </c>
      <c r="E32" s="42">
        <v>491772.26756272302</v>
      </c>
      <c r="F32" s="42">
        <v>9960864.9014775231</v>
      </c>
      <c r="G32" s="42">
        <v>369298.69130711711</v>
      </c>
      <c r="H32" s="42">
        <v>2169304.776589619</v>
      </c>
      <c r="I32" s="42">
        <v>386815.36798306613</v>
      </c>
      <c r="J32" s="42">
        <v>4960557.6022981843</v>
      </c>
      <c r="K32" s="42">
        <v>5133172.9514834341</v>
      </c>
      <c r="L32" s="42">
        <v>983833.837968315</v>
      </c>
      <c r="M32" s="42">
        <v>1796201.9679915297</v>
      </c>
      <c r="N32" s="42">
        <v>440600.70064056455</v>
      </c>
      <c r="O32" s="42">
        <v>972831.29049960559</v>
      </c>
      <c r="P32" s="42">
        <v>5283316.6462159613</v>
      </c>
      <c r="Q32" s="42">
        <v>1573362.4824344465</v>
      </c>
      <c r="R32" s="42">
        <v>1966843.1764452681</v>
      </c>
      <c r="S32" s="42">
        <v>1511195.5651878687</v>
      </c>
      <c r="T32" s="42">
        <v>-513573.89695678453</v>
      </c>
      <c r="U32" s="43">
        <v>45190054.18325156</v>
      </c>
      <c r="V32" s="15"/>
      <c r="W32" s="15"/>
    </row>
    <row r="33" spans="1:23" x14ac:dyDescent="0.25">
      <c r="A33" s="95"/>
      <c r="B33" s="100">
        <v>2008</v>
      </c>
      <c r="C33" s="19" t="s">
        <v>28</v>
      </c>
      <c r="D33" s="2">
        <v>1207737.6325673875</v>
      </c>
      <c r="E33" s="2">
        <v>122079.18761402341</v>
      </c>
      <c r="F33" s="2">
        <v>2400709.0997771919</v>
      </c>
      <c r="G33" s="2">
        <v>89557.959771857466</v>
      </c>
      <c r="H33" s="2">
        <v>534812.67830388434</v>
      </c>
      <c r="I33" s="2">
        <v>100029.89968862606</v>
      </c>
      <c r="J33" s="2">
        <v>1202659.2206774836</v>
      </c>
      <c r="K33" s="2">
        <v>1206878.4054090069</v>
      </c>
      <c r="L33" s="2">
        <v>236900.29621324979</v>
      </c>
      <c r="M33" s="2">
        <v>418508.45295799774</v>
      </c>
      <c r="N33" s="2">
        <v>96377.827235444711</v>
      </c>
      <c r="O33" s="2">
        <v>237815.09886444823</v>
      </c>
      <c r="P33" s="2">
        <v>1286118.8997255708</v>
      </c>
      <c r="Q33" s="2">
        <v>378245.84033156349</v>
      </c>
      <c r="R33" s="2">
        <v>478333.91519056953</v>
      </c>
      <c r="S33" s="2">
        <v>345238.83509497787</v>
      </c>
      <c r="T33" s="2">
        <v>-103536.46964427692</v>
      </c>
      <c r="U33" s="23">
        <v>10944762.662622442</v>
      </c>
    </row>
    <row r="34" spans="1:23" x14ac:dyDescent="0.25">
      <c r="A34" s="95"/>
      <c r="B34" s="100"/>
      <c r="C34" s="19" t="s">
        <v>29</v>
      </c>
      <c r="D34" s="2">
        <v>1235737.8205618137</v>
      </c>
      <c r="E34" s="2">
        <v>122345.91523823439</v>
      </c>
      <c r="F34" s="2">
        <v>2462702.0221352512</v>
      </c>
      <c r="G34" s="2">
        <v>96509.824844289615</v>
      </c>
      <c r="H34" s="2">
        <v>539551.32927226613</v>
      </c>
      <c r="I34" s="2">
        <v>95397.478346990552</v>
      </c>
      <c r="J34" s="2">
        <v>1230646.4106131382</v>
      </c>
      <c r="K34" s="2">
        <v>1257600.7419765585</v>
      </c>
      <c r="L34" s="2">
        <v>241586.85223437857</v>
      </c>
      <c r="M34" s="2">
        <v>438050.42556233436</v>
      </c>
      <c r="N34" s="2">
        <v>104741.02932293668</v>
      </c>
      <c r="O34" s="2">
        <v>233481.30946574319</v>
      </c>
      <c r="P34" s="2">
        <v>1277698.8207878631</v>
      </c>
      <c r="Q34" s="2">
        <v>386815.20903112961</v>
      </c>
      <c r="R34" s="2">
        <v>484826.63095466921</v>
      </c>
      <c r="S34" s="2">
        <v>364954.84568512079</v>
      </c>
      <c r="T34" s="2">
        <v>-133650.33912930501</v>
      </c>
      <c r="U34" s="23">
        <v>11108150.292158142</v>
      </c>
    </row>
    <row r="35" spans="1:23" x14ac:dyDescent="0.25">
      <c r="A35" s="95"/>
      <c r="B35" s="100"/>
      <c r="C35" s="19" t="s">
        <v>30</v>
      </c>
      <c r="D35" s="2">
        <v>1250964.1114476982</v>
      </c>
      <c r="E35" s="2">
        <v>122862.06759628784</v>
      </c>
      <c r="F35" s="2">
        <v>2521827.8592510126</v>
      </c>
      <c r="G35" s="2">
        <v>98077.792038361556</v>
      </c>
      <c r="H35" s="2">
        <v>544255.07064439193</v>
      </c>
      <c r="I35" s="2">
        <v>95512.099636548097</v>
      </c>
      <c r="J35" s="2">
        <v>1254966.9784284951</v>
      </c>
      <c r="K35" s="2">
        <v>1309835.3496229211</v>
      </c>
      <c r="L35" s="2">
        <v>248331.27789970528</v>
      </c>
      <c r="M35" s="2">
        <v>460601.23226045776</v>
      </c>
      <c r="N35" s="2">
        <v>114308.04538016164</v>
      </c>
      <c r="O35" s="2">
        <v>235153.40356665989</v>
      </c>
      <c r="P35" s="2">
        <v>1308921.8587116185</v>
      </c>
      <c r="Q35" s="2">
        <v>397686.19962520944</v>
      </c>
      <c r="R35" s="2">
        <v>496527.18965724995</v>
      </c>
      <c r="S35" s="2">
        <v>388626.47386374301</v>
      </c>
      <c r="T35" s="2">
        <v>-167944.62390525811</v>
      </c>
      <c r="U35" s="23">
        <v>11297786.113119163</v>
      </c>
    </row>
    <row r="36" spans="1:23" x14ac:dyDescent="0.25">
      <c r="A36" s="95"/>
      <c r="B36" s="101"/>
      <c r="C36" s="52" t="s">
        <v>31</v>
      </c>
      <c r="D36" s="20">
        <v>1259832.8682812622</v>
      </c>
      <c r="E36" s="20">
        <v>124485.09711417739</v>
      </c>
      <c r="F36" s="20">
        <v>2575625.920314067</v>
      </c>
      <c r="G36" s="20">
        <v>85153.114652608492</v>
      </c>
      <c r="H36" s="20">
        <v>550685.69836907648</v>
      </c>
      <c r="I36" s="20">
        <v>95875.890310901435</v>
      </c>
      <c r="J36" s="20">
        <v>1272284.9925790674</v>
      </c>
      <c r="K36" s="20">
        <v>1358858.4544749474</v>
      </c>
      <c r="L36" s="20">
        <v>257015.41162098132</v>
      </c>
      <c r="M36" s="20">
        <v>479041.85721074004</v>
      </c>
      <c r="N36" s="20">
        <v>125173.79870202151</v>
      </c>
      <c r="O36" s="20">
        <v>266381.4786027543</v>
      </c>
      <c r="P36" s="20">
        <v>1410577.0669909087</v>
      </c>
      <c r="Q36" s="20">
        <v>410615.23344654409</v>
      </c>
      <c r="R36" s="20">
        <v>507155.4406427794</v>
      </c>
      <c r="S36" s="20">
        <v>412375.41054402711</v>
      </c>
      <c r="T36" s="20">
        <v>-108442.46427794454</v>
      </c>
      <c r="U36" s="24">
        <v>11839355.115351811</v>
      </c>
    </row>
    <row r="37" spans="1:23" s="7" customFormat="1" ht="17.45" customHeight="1" x14ac:dyDescent="0.2">
      <c r="A37" s="95"/>
      <c r="B37" s="60"/>
      <c r="C37" s="53" t="s">
        <v>51</v>
      </c>
      <c r="D37" s="42">
        <v>5212008.154314979</v>
      </c>
      <c r="E37" s="42">
        <v>520035.19181626732</v>
      </c>
      <c r="F37" s="42">
        <v>9879747.2111315168</v>
      </c>
      <c r="G37" s="42">
        <v>333664.81398455909</v>
      </c>
      <c r="H37" s="42">
        <v>2323306.6721807173</v>
      </c>
      <c r="I37" s="42">
        <v>394415.45672833163</v>
      </c>
      <c r="J37" s="42">
        <v>5255239.8485131823</v>
      </c>
      <c r="K37" s="42">
        <v>5713654.5482224645</v>
      </c>
      <c r="L37" s="42">
        <v>1098552.1540718232</v>
      </c>
      <c r="M37" s="42">
        <v>1972687.0242299465</v>
      </c>
      <c r="N37" s="42">
        <v>573050.36230941233</v>
      </c>
      <c r="O37" s="42">
        <v>1184298.8534003277</v>
      </c>
      <c r="P37" s="42">
        <v>6279560.8784120511</v>
      </c>
      <c r="Q37" s="42">
        <v>1706110.4415923627</v>
      </c>
      <c r="R37" s="42">
        <v>2087975.9579336098</v>
      </c>
      <c r="S37" s="42">
        <v>1711975.4644060396</v>
      </c>
      <c r="T37" s="42">
        <v>-314614.74810001312</v>
      </c>
      <c r="U37" s="43">
        <v>48225771.74012772</v>
      </c>
      <c r="V37" s="15"/>
      <c r="W37" s="15"/>
    </row>
    <row r="38" spans="1:23" x14ac:dyDescent="0.25">
      <c r="A38" s="95"/>
      <c r="B38" s="100">
        <v>2009</v>
      </c>
      <c r="C38" s="19" t="s">
        <v>28</v>
      </c>
      <c r="D38" s="2">
        <v>1277037.8555345852</v>
      </c>
      <c r="E38" s="2">
        <v>126761.14531319652</v>
      </c>
      <c r="F38" s="2">
        <v>2527426.5484549231</v>
      </c>
      <c r="G38" s="2">
        <v>80062.319307104262</v>
      </c>
      <c r="H38" s="2">
        <v>559931.39201968792</v>
      </c>
      <c r="I38" s="2">
        <v>93265.173247896717</v>
      </c>
      <c r="J38" s="2">
        <v>1286999.6883096828</v>
      </c>
      <c r="K38" s="2">
        <v>1390625.2337772851</v>
      </c>
      <c r="L38" s="2">
        <v>260363.20193650806</v>
      </c>
      <c r="M38" s="2">
        <v>487528.47043030034</v>
      </c>
      <c r="N38" s="2">
        <v>133694.07408619454</v>
      </c>
      <c r="O38" s="2">
        <v>286079.7310997023</v>
      </c>
      <c r="P38" s="2">
        <v>1491536.5318421975</v>
      </c>
      <c r="Q38" s="2">
        <v>410846.04720315844</v>
      </c>
      <c r="R38" s="2">
        <v>513363.85725772532</v>
      </c>
      <c r="S38" s="2">
        <v>445575.09358327166</v>
      </c>
      <c r="T38" s="2">
        <v>-95092.157467804791</v>
      </c>
      <c r="U38" s="23">
        <v>11881195.149642084</v>
      </c>
    </row>
    <row r="39" spans="1:23" x14ac:dyDescent="0.25">
      <c r="A39" s="95"/>
      <c r="B39" s="100"/>
      <c r="C39" s="19" t="s">
        <v>29</v>
      </c>
      <c r="D39" s="2">
        <v>1298217.8470420598</v>
      </c>
      <c r="E39" s="2">
        <v>129021.09494332937</v>
      </c>
      <c r="F39" s="2">
        <v>2487081.0656162691</v>
      </c>
      <c r="G39" s="2">
        <v>82434.726841222742</v>
      </c>
      <c r="H39" s="2">
        <v>572307.86301094422</v>
      </c>
      <c r="I39" s="2">
        <v>99405.575621938944</v>
      </c>
      <c r="J39" s="2">
        <v>1300702.5660527544</v>
      </c>
      <c r="K39" s="2">
        <v>1417306.8800516329</v>
      </c>
      <c r="L39" s="2">
        <v>268326.10504758335</v>
      </c>
      <c r="M39" s="2">
        <v>491853.54022348695</v>
      </c>
      <c r="N39" s="2">
        <v>141171.3868288449</v>
      </c>
      <c r="O39" s="2">
        <v>299771.33721033856</v>
      </c>
      <c r="P39" s="2">
        <v>1564229.3468027748</v>
      </c>
      <c r="Q39" s="2">
        <v>420981.94918591913</v>
      </c>
      <c r="R39" s="2">
        <v>518754.641416186</v>
      </c>
      <c r="S39" s="2">
        <v>430510.03360703256</v>
      </c>
      <c r="T39" s="2">
        <v>-66039.624533961236</v>
      </c>
      <c r="U39" s="23">
        <v>12065655.161438081</v>
      </c>
    </row>
    <row r="40" spans="1:23" x14ac:dyDescent="0.25">
      <c r="A40" s="95"/>
      <c r="B40" s="100"/>
      <c r="C40" s="19" t="s">
        <v>30</v>
      </c>
      <c r="D40" s="2">
        <v>1312227.0295856269</v>
      </c>
      <c r="E40" s="2">
        <v>130965.81141791625</v>
      </c>
      <c r="F40" s="2">
        <v>2449725.0121824481</v>
      </c>
      <c r="G40" s="2">
        <v>82343.228350564314</v>
      </c>
      <c r="H40" s="2">
        <v>588020.02385015844</v>
      </c>
      <c r="I40" s="2">
        <v>100221.64132841911</v>
      </c>
      <c r="J40" s="2">
        <v>1320478.5273273885</v>
      </c>
      <c r="K40" s="2">
        <v>1440854.6720767557</v>
      </c>
      <c r="L40" s="2">
        <v>278926.74947814003</v>
      </c>
      <c r="M40" s="2">
        <v>494614.46902010986</v>
      </c>
      <c r="N40" s="2">
        <v>147037.86519308196</v>
      </c>
      <c r="O40" s="2">
        <v>318169.69680136017</v>
      </c>
      <c r="P40" s="2">
        <v>1582381.4939553614</v>
      </c>
      <c r="Q40" s="2">
        <v>432539.709599778</v>
      </c>
      <c r="R40" s="2">
        <v>524484.25912853261</v>
      </c>
      <c r="S40" s="2">
        <v>423514.92667170829</v>
      </c>
      <c r="T40" s="2">
        <v>-45040.501820302583</v>
      </c>
      <c r="U40" s="23">
        <v>12203301.433753371</v>
      </c>
    </row>
    <row r="41" spans="1:23" x14ac:dyDescent="0.25">
      <c r="A41" s="95"/>
      <c r="B41" s="101"/>
      <c r="C41" s="52" t="s">
        <v>31</v>
      </c>
      <c r="D41" s="20">
        <v>1324525.4221527076</v>
      </c>
      <c r="E41" s="20">
        <v>133287.14014182519</v>
      </c>
      <c r="F41" s="20">
        <v>2415514.584877877</v>
      </c>
      <c r="G41" s="20">
        <v>88824.539485667759</v>
      </c>
      <c r="H41" s="20">
        <v>603047.393299927</v>
      </c>
      <c r="I41" s="20">
        <v>101523.06653007687</v>
      </c>
      <c r="J41" s="20">
        <v>1347059.0668233563</v>
      </c>
      <c r="K41" s="20">
        <v>1464867.7623167904</v>
      </c>
      <c r="L41" s="20">
        <v>290936.09760959167</v>
      </c>
      <c r="M41" s="20">
        <v>498690.5445560494</v>
      </c>
      <c r="N41" s="20">
        <v>151147.03620129102</v>
      </c>
      <c r="O41" s="20">
        <v>280278.08828892675</v>
      </c>
      <c r="P41" s="20">
        <v>1641413.5058117174</v>
      </c>
      <c r="Q41" s="20">
        <v>441742.73560350714</v>
      </c>
      <c r="R41" s="20">
        <v>531373.20013116591</v>
      </c>
      <c r="S41" s="20">
        <v>412375.41054402705</v>
      </c>
      <c r="T41" s="20">
        <v>-108442.46427794456</v>
      </c>
      <c r="U41" s="24">
        <v>12075619.995294185</v>
      </c>
    </row>
    <row r="42" spans="1:23" s="7" customFormat="1" ht="17.45" customHeight="1" x14ac:dyDescent="0.2">
      <c r="A42" s="95"/>
      <c r="B42" s="60"/>
      <c r="C42" s="53" t="s">
        <v>51</v>
      </c>
      <c r="D42" s="42">
        <v>5734477.9615383931</v>
      </c>
      <c r="E42" s="42">
        <v>535325.93406195659</v>
      </c>
      <c r="F42" s="42">
        <v>9638645.0890875459</v>
      </c>
      <c r="G42" s="42">
        <v>347238.91963497864</v>
      </c>
      <c r="H42" s="42">
        <v>2542260.6187808425</v>
      </c>
      <c r="I42" s="42">
        <v>433571.07383057347</v>
      </c>
      <c r="J42" s="42">
        <v>5818232.5305326767</v>
      </c>
      <c r="K42" s="42">
        <v>6143200.1016227007</v>
      </c>
      <c r="L42" s="42">
        <v>1234451.2184272232</v>
      </c>
      <c r="M42" s="42">
        <v>2100809.299993549</v>
      </c>
      <c r="N42" s="42">
        <v>614661.30560442607</v>
      </c>
      <c r="O42" s="42">
        <v>1089783.514468614</v>
      </c>
      <c r="P42" s="42">
        <v>6805580.26877225</v>
      </c>
      <c r="Q42" s="42">
        <v>1855038.0301797772</v>
      </c>
      <c r="R42" s="42">
        <v>2258201.0615462968</v>
      </c>
      <c r="S42" s="42">
        <v>1617344.7283555418</v>
      </c>
      <c r="T42" s="42">
        <v>-405930.35420240648</v>
      </c>
      <c r="U42" s="43">
        <v>50518620.509869091</v>
      </c>
      <c r="V42" s="15"/>
      <c r="W42" s="15"/>
    </row>
    <row r="43" spans="1:23" x14ac:dyDescent="0.25">
      <c r="A43" s="95"/>
      <c r="B43" s="100">
        <v>2010</v>
      </c>
      <c r="C43" s="19" t="s">
        <v>28</v>
      </c>
      <c r="D43" s="2">
        <v>1365965.65550743</v>
      </c>
      <c r="E43" s="2">
        <v>133610.69615818531</v>
      </c>
      <c r="F43" s="2">
        <v>2423893.1905186777</v>
      </c>
      <c r="G43" s="2">
        <v>93288.856988324726</v>
      </c>
      <c r="H43" s="2">
        <v>614241.26691706444</v>
      </c>
      <c r="I43" s="2">
        <v>107240.80025604533</v>
      </c>
      <c r="J43" s="2">
        <v>1389470.5839141912</v>
      </c>
      <c r="K43" s="2">
        <v>1488409.6515565119</v>
      </c>
      <c r="L43" s="2">
        <v>294836.5671527774</v>
      </c>
      <c r="M43" s="2">
        <v>506076.39473149565</v>
      </c>
      <c r="N43" s="2">
        <v>151528.70982532226</v>
      </c>
      <c r="O43" s="2">
        <v>270895.38849085878</v>
      </c>
      <c r="P43" s="2">
        <v>1669828.3905340072</v>
      </c>
      <c r="Q43" s="2">
        <v>456855.09519115469</v>
      </c>
      <c r="R43" s="2">
        <v>540712.1547443259</v>
      </c>
      <c r="S43" s="2">
        <v>380815.08756782499</v>
      </c>
      <c r="T43" s="2">
        <v>-101978.40689734729</v>
      </c>
      <c r="U43" s="23">
        <v>12311245.701893058</v>
      </c>
    </row>
    <row r="44" spans="1:23" x14ac:dyDescent="0.25">
      <c r="A44" s="95"/>
      <c r="B44" s="100"/>
      <c r="C44" s="19" t="s">
        <v>29</v>
      </c>
      <c r="D44" s="2">
        <v>1427301.504271698</v>
      </c>
      <c r="E44" s="2">
        <v>133379.53192229033</v>
      </c>
      <c r="F44" s="2">
        <v>2434655.3524037488</v>
      </c>
      <c r="G44" s="2">
        <v>87104.198431167053</v>
      </c>
      <c r="H44" s="2">
        <v>627601.37757901405</v>
      </c>
      <c r="I44" s="2">
        <v>106634.45652951949</v>
      </c>
      <c r="J44" s="2">
        <v>1432717.4796495943</v>
      </c>
      <c r="K44" s="2">
        <v>1515868.9326859768</v>
      </c>
      <c r="L44" s="2">
        <v>302954.64386562735</v>
      </c>
      <c r="M44" s="2">
        <v>516845.3791886401</v>
      </c>
      <c r="N44" s="2">
        <v>150444.94756905083</v>
      </c>
      <c r="O44" s="2">
        <v>272130.89587731147</v>
      </c>
      <c r="P44" s="2">
        <v>1709147.670240419</v>
      </c>
      <c r="Q44" s="2">
        <v>463256.10634947265</v>
      </c>
      <c r="R44" s="2">
        <v>555009.29650634539</v>
      </c>
      <c r="S44" s="2">
        <v>388566.91475137585</v>
      </c>
      <c r="T44" s="2">
        <v>-91922.861818295743</v>
      </c>
      <c r="U44" s="23">
        <v>12619817.04303617</v>
      </c>
    </row>
    <row r="45" spans="1:23" x14ac:dyDescent="0.25">
      <c r="A45" s="95"/>
      <c r="B45" s="100"/>
      <c r="C45" s="19" t="s">
        <v>30</v>
      </c>
      <c r="D45" s="2">
        <v>1460890.0974346159</v>
      </c>
      <c r="E45" s="2">
        <v>133420.31290733768</v>
      </c>
      <c r="F45" s="2">
        <v>2420497.4907327318</v>
      </c>
      <c r="G45" s="2">
        <v>84373.109769418588</v>
      </c>
      <c r="H45" s="2">
        <v>642386.18674951792</v>
      </c>
      <c r="I45" s="2">
        <v>108191.76299232432</v>
      </c>
      <c r="J45" s="2">
        <v>1479743.4717156279</v>
      </c>
      <c r="K45" s="2">
        <v>1549091.5987176748</v>
      </c>
      <c r="L45" s="2">
        <v>312885.86544839479</v>
      </c>
      <c r="M45" s="2">
        <v>531417.71784721897</v>
      </c>
      <c r="N45" s="2">
        <v>151497.51001780297</v>
      </c>
      <c r="O45" s="2">
        <v>259915.66395735345</v>
      </c>
      <c r="P45" s="2">
        <v>1751556.5171355817</v>
      </c>
      <c r="Q45" s="2">
        <v>466637.81982369232</v>
      </c>
      <c r="R45" s="2">
        <v>572554.44236738328</v>
      </c>
      <c r="S45" s="2">
        <v>408657.91281378362</v>
      </c>
      <c r="T45" s="2">
        <v>-80374.362396918688</v>
      </c>
      <c r="U45" s="23">
        <v>12872694.812487125</v>
      </c>
    </row>
    <row r="46" spans="1:23" x14ac:dyDescent="0.25">
      <c r="A46" s="95"/>
      <c r="B46" s="101"/>
      <c r="C46" s="52" t="s">
        <v>31</v>
      </c>
      <c r="D46" s="20">
        <v>1480320.7043246501</v>
      </c>
      <c r="E46" s="20">
        <v>134915.39307414321</v>
      </c>
      <c r="F46" s="20">
        <v>2359599.0554323876</v>
      </c>
      <c r="G46" s="20">
        <v>82472.754446068226</v>
      </c>
      <c r="H46" s="20">
        <v>658031.78753524588</v>
      </c>
      <c r="I46" s="20">
        <v>111504.05405268431</v>
      </c>
      <c r="J46" s="20">
        <v>1516300.9952532626</v>
      </c>
      <c r="K46" s="20">
        <v>1589829.9186625364</v>
      </c>
      <c r="L46" s="20">
        <v>323774.14196042373</v>
      </c>
      <c r="M46" s="20">
        <v>546469.80822619435</v>
      </c>
      <c r="N46" s="20">
        <v>161190.13819225001</v>
      </c>
      <c r="O46" s="20">
        <v>286841.56614309031</v>
      </c>
      <c r="P46" s="20">
        <v>1675047.6908622421</v>
      </c>
      <c r="Q46" s="20">
        <v>468289.0088154577</v>
      </c>
      <c r="R46" s="20">
        <v>589925.16792824236</v>
      </c>
      <c r="S46" s="20">
        <v>439304.81322255742</v>
      </c>
      <c r="T46" s="20">
        <v>-131654.72308984472</v>
      </c>
      <c r="U46" s="24">
        <v>12714862.952452743</v>
      </c>
    </row>
    <row r="47" spans="1:23" s="7" customFormat="1" ht="17.45" customHeight="1" x14ac:dyDescent="0.2">
      <c r="A47" s="95"/>
      <c r="B47" s="60"/>
      <c r="C47" s="53" t="s">
        <v>51</v>
      </c>
      <c r="D47" s="42">
        <v>6225923.8874439988</v>
      </c>
      <c r="E47" s="42">
        <v>583608.8962537956</v>
      </c>
      <c r="F47" s="42">
        <v>8930826.2242156006</v>
      </c>
      <c r="G47" s="42">
        <v>333195.56649747433</v>
      </c>
      <c r="H47" s="42">
        <v>2790653.264216376</v>
      </c>
      <c r="I47" s="42">
        <v>466472.08393110568</v>
      </c>
      <c r="J47" s="42">
        <v>6346546.8226551721</v>
      </c>
      <c r="K47" s="42">
        <v>6725602.7573762676</v>
      </c>
      <c r="L47" s="42">
        <v>1345641.2924773139</v>
      </c>
      <c r="M47" s="42">
        <v>2324535.4643334826</v>
      </c>
      <c r="N47" s="42">
        <v>946606.09234748711</v>
      </c>
      <c r="O47" s="42">
        <v>1179026.6222716139</v>
      </c>
      <c r="P47" s="42">
        <v>6627918.388202128</v>
      </c>
      <c r="Q47" s="42">
        <v>1925254.7855612198</v>
      </c>
      <c r="R47" s="42">
        <v>2507498.0785627197</v>
      </c>
      <c r="S47" s="42">
        <v>1784845.0135841805</v>
      </c>
      <c r="T47" s="42">
        <v>-540538.50298903999</v>
      </c>
      <c r="U47" s="43">
        <v>51456514.428997934</v>
      </c>
      <c r="V47" s="15"/>
      <c r="W47" s="15"/>
    </row>
    <row r="48" spans="1:23" x14ac:dyDescent="0.25">
      <c r="A48" s="95"/>
      <c r="B48" s="100">
        <v>2011</v>
      </c>
      <c r="C48" s="19" t="s">
        <v>28</v>
      </c>
      <c r="D48" s="2">
        <v>1517073.0262065441</v>
      </c>
      <c r="E48" s="2">
        <v>138439.05888467637</v>
      </c>
      <c r="F48" s="2">
        <v>2300880.6262962343</v>
      </c>
      <c r="G48" s="2">
        <v>80652.61523633964</v>
      </c>
      <c r="H48" s="2">
        <v>673520.69155312167</v>
      </c>
      <c r="I48" s="2">
        <v>114314.20016363822</v>
      </c>
      <c r="J48" s="2">
        <v>1542606.1218436589</v>
      </c>
      <c r="K48" s="2">
        <v>1628184.8787137158</v>
      </c>
      <c r="L48" s="2">
        <v>327389.2687986393</v>
      </c>
      <c r="M48" s="2">
        <v>558029.18240434327</v>
      </c>
      <c r="N48" s="2">
        <v>183793.2377242212</v>
      </c>
      <c r="O48" s="2">
        <v>296440.79726356134</v>
      </c>
      <c r="P48" s="2">
        <v>1680132.2439562748</v>
      </c>
      <c r="Q48" s="2">
        <v>473088.88497337716</v>
      </c>
      <c r="R48" s="2">
        <v>605688.24208356428</v>
      </c>
      <c r="S48" s="2">
        <v>453889.43495450058</v>
      </c>
      <c r="T48" s="2">
        <v>-132057.29534180026</v>
      </c>
      <c r="U48" s="23">
        <v>12775300.639060026</v>
      </c>
    </row>
    <row r="49" spans="1:23" x14ac:dyDescent="0.25">
      <c r="A49" s="95"/>
      <c r="B49" s="100"/>
      <c r="C49" s="19" t="s">
        <v>29</v>
      </c>
      <c r="D49" s="2">
        <v>1554439.3254509566</v>
      </c>
      <c r="E49" s="2">
        <v>142730.56216762486</v>
      </c>
      <c r="F49" s="2">
        <v>2207478.2772233002</v>
      </c>
      <c r="G49" s="2">
        <v>84968.833980945492</v>
      </c>
      <c r="H49" s="2">
        <v>689452.76382190874</v>
      </c>
      <c r="I49" s="2">
        <v>117929.66913197722</v>
      </c>
      <c r="J49" s="2">
        <v>1564180.7692833319</v>
      </c>
      <c r="K49" s="2">
        <v>1666666.2782053847</v>
      </c>
      <c r="L49" s="2">
        <v>334482.44213589677</v>
      </c>
      <c r="M49" s="2">
        <v>570636.05280649813</v>
      </c>
      <c r="N49" s="2">
        <v>217466.69537878988</v>
      </c>
      <c r="O49" s="2">
        <v>288575.54413113568</v>
      </c>
      <c r="P49" s="2">
        <v>1635519.8765382913</v>
      </c>
      <c r="Q49" s="2">
        <v>476231.67373951594</v>
      </c>
      <c r="R49" s="2">
        <v>621415.35365654062</v>
      </c>
      <c r="S49" s="2">
        <v>464881.64097332128</v>
      </c>
      <c r="T49" s="2">
        <v>-128491.30172496011</v>
      </c>
      <c r="U49" s="23">
        <v>12699305.038447283</v>
      </c>
    </row>
    <row r="50" spans="1:23" x14ac:dyDescent="0.25">
      <c r="A50" s="95"/>
      <c r="B50" s="100"/>
      <c r="C50" s="19" t="s">
        <v>30</v>
      </c>
      <c r="D50" s="2">
        <v>1571893.8378527053</v>
      </c>
      <c r="E50" s="2">
        <v>147327.04778415189</v>
      </c>
      <c r="F50" s="2">
        <v>2183076.6960994061</v>
      </c>
      <c r="G50" s="2">
        <v>82327.749840205754</v>
      </c>
      <c r="H50" s="2">
        <v>705342.44154948625</v>
      </c>
      <c r="I50" s="2">
        <v>118428.0140304449</v>
      </c>
      <c r="J50" s="2">
        <v>1596103.4680624772</v>
      </c>
      <c r="K50" s="2">
        <v>1701334.6149360603</v>
      </c>
      <c r="L50" s="2">
        <v>340886.78136618598</v>
      </c>
      <c r="M50" s="2">
        <v>587466.00394736347</v>
      </c>
      <c r="N50" s="2">
        <v>254602.45039531795</v>
      </c>
      <c r="O50" s="2">
        <v>300902.75711453281</v>
      </c>
      <c r="P50" s="2">
        <v>1631534.8670281745</v>
      </c>
      <c r="Q50" s="2">
        <v>481868.22223695792</v>
      </c>
      <c r="R50" s="2">
        <v>635153.92590059317</v>
      </c>
      <c r="S50" s="2">
        <v>445051.44084797188</v>
      </c>
      <c r="T50" s="2">
        <v>-129036.71309572693</v>
      </c>
      <c r="U50" s="23">
        <v>12810090.204402661</v>
      </c>
    </row>
    <row r="51" spans="1:23" x14ac:dyDescent="0.25">
      <c r="A51" s="95"/>
      <c r="B51" s="101"/>
      <c r="C51" s="52" t="s">
        <v>31</v>
      </c>
      <c r="D51" s="20">
        <v>1582517.6979337926</v>
      </c>
      <c r="E51" s="20">
        <v>155112.22741734242</v>
      </c>
      <c r="F51" s="20">
        <v>2239390.624596661</v>
      </c>
      <c r="G51" s="20">
        <v>85246.367439983442</v>
      </c>
      <c r="H51" s="20">
        <v>722337.36729185935</v>
      </c>
      <c r="I51" s="20">
        <v>115800.20060504528</v>
      </c>
      <c r="J51" s="20">
        <v>1643656.4634657043</v>
      </c>
      <c r="K51" s="20">
        <v>1729416.9855211072</v>
      </c>
      <c r="L51" s="20">
        <v>342882.80017659185</v>
      </c>
      <c r="M51" s="20">
        <v>608404.22517527745</v>
      </c>
      <c r="N51" s="20">
        <v>290743.70884915808</v>
      </c>
      <c r="O51" s="20">
        <v>293107.52376238402</v>
      </c>
      <c r="P51" s="20">
        <v>1680731.4006793881</v>
      </c>
      <c r="Q51" s="20">
        <v>494066.00461136864</v>
      </c>
      <c r="R51" s="20">
        <v>645240.55692202167</v>
      </c>
      <c r="S51" s="20">
        <v>421022.49680838658</v>
      </c>
      <c r="T51" s="20">
        <v>-150953.19282655275</v>
      </c>
      <c r="U51" s="24">
        <v>13171818.547087964</v>
      </c>
    </row>
    <row r="52" spans="1:23" s="7" customFormat="1" ht="17.45" customHeight="1" x14ac:dyDescent="0.2">
      <c r="A52" s="95"/>
      <c r="B52" s="60"/>
      <c r="C52" s="53" t="s">
        <v>51</v>
      </c>
      <c r="D52" s="42">
        <v>6596459.3352205697</v>
      </c>
      <c r="E52" s="42">
        <v>661322.85441024695</v>
      </c>
      <c r="F52" s="42">
        <v>9510711.6492182594</v>
      </c>
      <c r="G52" s="42">
        <v>336521.77781304991</v>
      </c>
      <c r="H52" s="42">
        <v>3024261.3070028918</v>
      </c>
      <c r="I52" s="42">
        <v>491910.258807712</v>
      </c>
      <c r="J52" s="42">
        <v>7514639.1990404762</v>
      </c>
      <c r="K52" s="42">
        <v>7243448.6005959231</v>
      </c>
      <c r="L52" s="42">
        <v>1317637.2139966423</v>
      </c>
      <c r="M52" s="42">
        <v>2628579.1220860579</v>
      </c>
      <c r="N52" s="42">
        <v>1235628.6100819062</v>
      </c>
      <c r="O52" s="42">
        <v>1183100.5157843772</v>
      </c>
      <c r="P52" s="42">
        <v>6788960.9072087621</v>
      </c>
      <c r="Q52" s="42">
        <v>2231846.5591181042</v>
      </c>
      <c r="R52" s="42">
        <v>2704256.5527841393</v>
      </c>
      <c r="S52" s="42">
        <v>1652643.4990309337</v>
      </c>
      <c r="T52" s="42">
        <v>-623133.09027215408</v>
      </c>
      <c r="U52" s="43">
        <v>55625003.210915223</v>
      </c>
      <c r="V52" s="15"/>
      <c r="W52" s="15"/>
    </row>
    <row r="53" spans="1:23" x14ac:dyDescent="0.25">
      <c r="A53" s="95"/>
      <c r="B53" s="100">
        <v>2012</v>
      </c>
      <c r="C53" s="19" t="s">
        <v>28</v>
      </c>
      <c r="D53" s="2">
        <v>1609308.1989655686</v>
      </c>
      <c r="E53" s="2">
        <v>160347.24551778857</v>
      </c>
      <c r="F53" s="2">
        <v>2296021.163161858</v>
      </c>
      <c r="G53" s="2">
        <v>86039.923096081737</v>
      </c>
      <c r="H53" s="2">
        <v>734022.24739791406</v>
      </c>
      <c r="I53" s="2">
        <v>118183.1735835228</v>
      </c>
      <c r="J53" s="2">
        <v>1726709.6218589908</v>
      </c>
      <c r="K53" s="2">
        <v>1766286.0920595061</v>
      </c>
      <c r="L53" s="2">
        <v>340965.68269510841</v>
      </c>
      <c r="M53" s="2">
        <v>630683.14403137844</v>
      </c>
      <c r="N53" s="2">
        <v>307491.81005738681</v>
      </c>
      <c r="O53" s="2">
        <v>285648.40967668674</v>
      </c>
      <c r="P53" s="2">
        <v>1675685.7045976347</v>
      </c>
      <c r="Q53" s="2">
        <v>517730.29116250679</v>
      </c>
      <c r="R53" s="2">
        <v>659043.93105518736</v>
      </c>
      <c r="S53" s="2">
        <v>416487.44504217373</v>
      </c>
      <c r="T53" s="2">
        <v>-152655.70990959849</v>
      </c>
      <c r="U53" s="23">
        <v>13425587.812083725</v>
      </c>
    </row>
    <row r="54" spans="1:23" x14ac:dyDescent="0.25">
      <c r="A54" s="95"/>
      <c r="B54" s="100"/>
      <c r="C54" s="19" t="s">
        <v>29</v>
      </c>
      <c r="D54" s="2">
        <v>1644951.8000052627</v>
      </c>
      <c r="E54" s="2">
        <v>164012.57176907125</v>
      </c>
      <c r="F54" s="2">
        <v>2380616.4956152448</v>
      </c>
      <c r="G54" s="2">
        <v>82188.237259951464</v>
      </c>
      <c r="H54" s="2">
        <v>747520.01845435135</v>
      </c>
      <c r="I54" s="2">
        <v>121425.65445082099</v>
      </c>
      <c r="J54" s="2">
        <v>1819249.8186853887</v>
      </c>
      <c r="K54" s="2">
        <v>1799238.3527372698</v>
      </c>
      <c r="L54" s="2">
        <v>333213.93015577883</v>
      </c>
      <c r="M54" s="2">
        <v>653381.37681032531</v>
      </c>
      <c r="N54" s="2">
        <v>311961.71775511879</v>
      </c>
      <c r="O54" s="2">
        <v>295949.43096008355</v>
      </c>
      <c r="P54" s="2">
        <v>1666863.1502379556</v>
      </c>
      <c r="Q54" s="2">
        <v>545375.97212032182</v>
      </c>
      <c r="R54" s="2">
        <v>672567.79269194673</v>
      </c>
      <c r="S54" s="2">
        <v>415995.33676181571</v>
      </c>
      <c r="T54" s="2">
        <v>-154208.12921538966</v>
      </c>
      <c r="U54" s="23">
        <v>13853538.406933488</v>
      </c>
    </row>
    <row r="55" spans="1:23" x14ac:dyDescent="0.25">
      <c r="A55" s="95"/>
      <c r="B55" s="100"/>
      <c r="C55" s="19" t="s">
        <v>30</v>
      </c>
      <c r="D55" s="2">
        <v>1664741.1749332056</v>
      </c>
      <c r="E55" s="2">
        <v>166746.08823891438</v>
      </c>
      <c r="F55" s="2">
        <v>2404358.9292019345</v>
      </c>
      <c r="G55" s="2">
        <v>84845.582836264846</v>
      </c>
      <c r="H55" s="2">
        <v>762540.72673542565</v>
      </c>
      <c r="I55" s="2">
        <v>124625.18479026224</v>
      </c>
      <c r="J55" s="2">
        <v>1931907.5209129727</v>
      </c>
      <c r="K55" s="2">
        <v>1827361.3509740513</v>
      </c>
      <c r="L55" s="2">
        <v>323729.6311515923</v>
      </c>
      <c r="M55" s="2">
        <v>671512.31882990187</v>
      </c>
      <c r="N55" s="2">
        <v>309337.72671078646</v>
      </c>
      <c r="O55" s="2">
        <v>307178.81015832117</v>
      </c>
      <c r="P55" s="2">
        <v>1706323.498285339</v>
      </c>
      <c r="Q55" s="2">
        <v>572819.61907022097</v>
      </c>
      <c r="R55" s="2">
        <v>683121.50568143593</v>
      </c>
      <c r="S55" s="2">
        <v>407833.59033922065</v>
      </c>
      <c r="T55" s="2">
        <v>-153671.52431130811</v>
      </c>
      <c r="U55" s="23">
        <v>14054042.533664882</v>
      </c>
    </row>
    <row r="56" spans="1:23" x14ac:dyDescent="0.25">
      <c r="A56" s="95"/>
      <c r="B56" s="101"/>
      <c r="C56" s="52" t="s">
        <v>31</v>
      </c>
      <c r="D56" s="20">
        <v>1677458.1613165329</v>
      </c>
      <c r="E56" s="20">
        <v>170216.94888447272</v>
      </c>
      <c r="F56" s="20">
        <v>2429715.0612392225</v>
      </c>
      <c r="G56" s="20">
        <v>83448.03462075186</v>
      </c>
      <c r="H56" s="20">
        <v>780178.31441520085</v>
      </c>
      <c r="I56" s="20">
        <v>127676.24598310598</v>
      </c>
      <c r="J56" s="20">
        <v>2036772.2375831245</v>
      </c>
      <c r="K56" s="20">
        <v>1850562.8048250955</v>
      </c>
      <c r="L56" s="20">
        <v>319727.96999416262</v>
      </c>
      <c r="M56" s="20">
        <v>673002.28241445229</v>
      </c>
      <c r="N56" s="20">
        <v>306837.35555861413</v>
      </c>
      <c r="O56" s="20">
        <v>294323.86498928571</v>
      </c>
      <c r="P56" s="20">
        <v>1740088.5540878328</v>
      </c>
      <c r="Q56" s="20">
        <v>595920.67676505493</v>
      </c>
      <c r="R56" s="20">
        <v>689523.32335556904</v>
      </c>
      <c r="S56" s="20">
        <v>412327.12688772345</v>
      </c>
      <c r="T56" s="20">
        <v>-162597.72683585779</v>
      </c>
      <c r="U56" s="24">
        <v>14291834.458233129</v>
      </c>
    </row>
    <row r="57" spans="1:23" s="7" customFormat="1" ht="17.45" customHeight="1" x14ac:dyDescent="0.2">
      <c r="A57" s="95"/>
      <c r="B57" s="60"/>
      <c r="C57" s="53" t="s">
        <v>51</v>
      </c>
      <c r="D57" s="42">
        <v>6970152.8833476808</v>
      </c>
      <c r="E57" s="42">
        <v>693483.21378733357</v>
      </c>
      <c r="F57" s="42">
        <v>9712941.5341686178</v>
      </c>
      <c r="G57" s="42">
        <v>339810.13307291281</v>
      </c>
      <c r="H57" s="42">
        <v>3284440.0833719745</v>
      </c>
      <c r="I57" s="42">
        <v>588124.17162467155</v>
      </c>
      <c r="J57" s="42">
        <v>9047376.3125797696</v>
      </c>
      <c r="K57" s="42">
        <v>7636130.7371813012</v>
      </c>
      <c r="L57" s="42">
        <v>1393813.4419982373</v>
      </c>
      <c r="M57" s="42">
        <v>2885039.9628554755</v>
      </c>
      <c r="N57" s="42">
        <v>1347412.1248857104</v>
      </c>
      <c r="O57" s="42">
        <v>1134073.1208836152</v>
      </c>
      <c r="P57" s="42">
        <v>7320341.3965028934</v>
      </c>
      <c r="Q57" s="42">
        <v>2460444.8415685538</v>
      </c>
      <c r="R57" s="42">
        <v>2815308.9599691629</v>
      </c>
      <c r="S57" s="42">
        <v>1805264.9565491823</v>
      </c>
      <c r="T57" s="42">
        <v>-812288.22792481398</v>
      </c>
      <c r="U57" s="43">
        <v>59413491.166125715</v>
      </c>
      <c r="V57" s="15"/>
      <c r="W57" s="15"/>
    </row>
    <row r="58" spans="1:23" x14ac:dyDescent="0.25">
      <c r="A58" s="95"/>
      <c r="B58" s="100">
        <v>2013</v>
      </c>
      <c r="C58" s="19" t="s">
        <v>28</v>
      </c>
      <c r="D58" s="2">
        <v>1709896.8659559754</v>
      </c>
      <c r="E58" s="2">
        <v>172156.9076755635</v>
      </c>
      <c r="F58" s="2">
        <v>2416251.9166958993</v>
      </c>
      <c r="G58" s="2">
        <v>83246.622639047098</v>
      </c>
      <c r="H58" s="2">
        <v>797395.18385127094</v>
      </c>
      <c r="I58" s="2">
        <v>134416.10642734476</v>
      </c>
      <c r="J58" s="2">
        <v>2143915.6821042225</v>
      </c>
      <c r="K58" s="2">
        <v>1870858.2875758642</v>
      </c>
      <c r="L58" s="2">
        <v>322755.3840560168</v>
      </c>
      <c r="M58" s="2">
        <v>703961.09417145862</v>
      </c>
      <c r="N58" s="2">
        <v>313552.48555061483</v>
      </c>
      <c r="O58" s="2">
        <v>287235.22246111184</v>
      </c>
      <c r="P58" s="2">
        <v>1796320.3685836869</v>
      </c>
      <c r="Q58" s="2">
        <v>610621.08210654033</v>
      </c>
      <c r="R58" s="2">
        <v>692934.69684186147</v>
      </c>
      <c r="S58" s="2">
        <v>430447.23742548993</v>
      </c>
      <c r="T58" s="2">
        <v>-161650.17694598</v>
      </c>
      <c r="U58" s="23">
        <v>14723091.249623591</v>
      </c>
    </row>
    <row r="59" spans="1:23" x14ac:dyDescent="0.25">
      <c r="A59" s="95"/>
      <c r="B59" s="100"/>
      <c r="C59" s="19" t="s">
        <v>29</v>
      </c>
      <c r="D59" s="2">
        <v>1745351.5606102366</v>
      </c>
      <c r="E59" s="2">
        <v>173234.16460033774</v>
      </c>
      <c r="F59" s="2">
        <v>2434140.3653056868</v>
      </c>
      <c r="G59" s="2">
        <v>84097.634261075204</v>
      </c>
      <c r="H59" s="2">
        <v>815119.99009484192</v>
      </c>
      <c r="I59" s="2">
        <v>144540.2583907613</v>
      </c>
      <c r="J59" s="2">
        <v>2229224.6672594589</v>
      </c>
      <c r="K59" s="2">
        <v>1892030.7185198143</v>
      </c>
      <c r="L59" s="2">
        <v>336131.98265435535</v>
      </c>
      <c r="M59" s="2">
        <v>733596.65846158296</v>
      </c>
      <c r="N59" s="2">
        <v>327338.57559544663</v>
      </c>
      <c r="O59" s="2">
        <v>285684.89976366126</v>
      </c>
      <c r="P59" s="2">
        <v>1837222.364203797</v>
      </c>
      <c r="Q59" s="2">
        <v>617685.69188894541</v>
      </c>
      <c r="R59" s="2">
        <v>697160.4997278949</v>
      </c>
      <c r="S59" s="2">
        <v>434639.95276480331</v>
      </c>
      <c r="T59" s="2">
        <v>-167280.04743635457</v>
      </c>
      <c r="U59" s="23">
        <v>15005496.031643545</v>
      </c>
    </row>
    <row r="60" spans="1:23" x14ac:dyDescent="0.25">
      <c r="A60" s="95"/>
      <c r="B60" s="100"/>
      <c r="C60" s="19" t="s">
        <v>30</v>
      </c>
      <c r="D60" s="2">
        <v>1756980.9662165903</v>
      </c>
      <c r="E60" s="2">
        <v>173823.6195263195</v>
      </c>
      <c r="F60" s="2">
        <v>2453069.8352633826</v>
      </c>
      <c r="G60" s="2">
        <v>85624.901777836334</v>
      </c>
      <c r="H60" s="2">
        <v>830447.14425218641</v>
      </c>
      <c r="I60" s="2">
        <v>149197.25949606174</v>
      </c>
      <c r="J60" s="2">
        <v>2308555.9697391344</v>
      </c>
      <c r="K60" s="2">
        <v>1918849.948565003</v>
      </c>
      <c r="L60" s="2">
        <v>356688.89884687774</v>
      </c>
      <c r="M60" s="2">
        <v>735764.32539648854</v>
      </c>
      <c r="N60" s="2">
        <v>344329.15331743914</v>
      </c>
      <c r="O60" s="2">
        <v>276699.32698360295</v>
      </c>
      <c r="P60" s="2">
        <v>1837506.5578878303</v>
      </c>
      <c r="Q60" s="2">
        <v>618340.16916087491</v>
      </c>
      <c r="R60" s="2">
        <v>705490.75197117613</v>
      </c>
      <c r="S60" s="2">
        <v>452363.08989186783</v>
      </c>
      <c r="T60" s="2">
        <v>-296704.34369203658</v>
      </c>
      <c r="U60" s="23">
        <v>14695190.389580756</v>
      </c>
    </row>
    <row r="61" spans="1:23" x14ac:dyDescent="0.25">
      <c r="A61" s="95"/>
      <c r="B61" s="101"/>
      <c r="C61" s="52" t="s">
        <v>31</v>
      </c>
      <c r="D61" s="20">
        <v>1757923.4905648786</v>
      </c>
      <c r="E61" s="20">
        <v>174268.52198511292</v>
      </c>
      <c r="F61" s="20">
        <v>2409479.4169036481</v>
      </c>
      <c r="G61" s="20">
        <v>86840.974394954188</v>
      </c>
      <c r="H61" s="20">
        <v>841477.76517367526</v>
      </c>
      <c r="I61" s="20">
        <v>159970.54731050381</v>
      </c>
      <c r="J61" s="20">
        <v>2365679.9934769552</v>
      </c>
      <c r="K61" s="20">
        <v>1954391.7825206195</v>
      </c>
      <c r="L61" s="20">
        <v>378237.1764409875</v>
      </c>
      <c r="M61" s="20">
        <v>711717.88482594525</v>
      </c>
      <c r="N61" s="20">
        <v>362191.91042220977</v>
      </c>
      <c r="O61" s="20">
        <v>284453.67167523934</v>
      </c>
      <c r="P61" s="20">
        <v>1849292.1058275788</v>
      </c>
      <c r="Q61" s="20">
        <v>613797.89841219294</v>
      </c>
      <c r="R61" s="20">
        <v>719723.01142823033</v>
      </c>
      <c r="S61" s="20">
        <v>487814.67646702123</v>
      </c>
      <c r="T61" s="20">
        <v>-186653.65985044278</v>
      </c>
      <c r="U61" s="24">
        <v>14989713.495277826</v>
      </c>
    </row>
    <row r="62" spans="1:23" s="7" customFormat="1" ht="17.45" customHeight="1" x14ac:dyDescent="0.2">
      <c r="A62" s="95"/>
      <c r="B62" s="60"/>
      <c r="C62" s="53" t="s">
        <v>51</v>
      </c>
      <c r="D62" s="42">
        <v>7321125.5669826036</v>
      </c>
      <c r="E62" s="42">
        <v>830146.95711824507</v>
      </c>
      <c r="F62" s="42">
        <v>9321276.7355987392</v>
      </c>
      <c r="G62" s="42">
        <v>348297.75782007695</v>
      </c>
      <c r="H62" s="42">
        <v>3167405.7561855223</v>
      </c>
      <c r="I62" s="42">
        <v>653011.63442197081</v>
      </c>
      <c r="J62" s="42">
        <v>9334449.3387844581</v>
      </c>
      <c r="K62" s="42">
        <v>8849066.4600034021</v>
      </c>
      <c r="L62" s="42">
        <v>1661184.7934567968</v>
      </c>
      <c r="M62" s="42">
        <v>3079387.2376995217</v>
      </c>
      <c r="N62" s="42">
        <v>1538897.5196471547</v>
      </c>
      <c r="O62" s="42">
        <v>1053340.8823321022</v>
      </c>
      <c r="P62" s="42">
        <v>7787923.7445871402</v>
      </c>
      <c r="Q62" s="42">
        <v>2404267.128623968</v>
      </c>
      <c r="R62" s="42">
        <v>3179791.214764656</v>
      </c>
      <c r="S62" s="42">
        <v>2149824.5056874454</v>
      </c>
      <c r="T62" s="42">
        <v>-971970.94059567887</v>
      </c>
      <c r="U62" s="43">
        <v>60014028.486884139</v>
      </c>
      <c r="V62" s="15"/>
      <c r="W62" s="15"/>
    </row>
    <row r="63" spans="1:23" x14ac:dyDescent="0.25">
      <c r="A63" s="95"/>
      <c r="B63" s="100">
        <v>2014</v>
      </c>
      <c r="C63" s="19" t="s">
        <v>28</v>
      </c>
      <c r="D63" s="2">
        <v>1787901.9906614195</v>
      </c>
      <c r="E63" s="2">
        <v>191249.15653843223</v>
      </c>
      <c r="F63" s="2">
        <v>2350658.3393566199</v>
      </c>
      <c r="G63" s="2">
        <v>85820.070538857166</v>
      </c>
      <c r="H63" s="2">
        <v>816867.27790261654</v>
      </c>
      <c r="I63" s="2">
        <v>164973.26864634483</v>
      </c>
      <c r="J63" s="2">
        <v>2373496.4664701498</v>
      </c>
      <c r="K63" s="2">
        <v>2033878.7391509553</v>
      </c>
      <c r="L63" s="2">
        <v>400890.28675489558</v>
      </c>
      <c r="M63" s="2">
        <v>735251.78289028967</v>
      </c>
      <c r="N63" s="2">
        <v>374436.29977205192</v>
      </c>
      <c r="O63" s="2">
        <v>283480.22690110322</v>
      </c>
      <c r="P63" s="2">
        <v>1889586.5734974509</v>
      </c>
      <c r="Q63" s="2">
        <v>610273.85801347753</v>
      </c>
      <c r="R63" s="2">
        <v>759657.97365392186</v>
      </c>
      <c r="S63" s="2">
        <v>503433.22795318119</v>
      </c>
      <c r="T63" s="2">
        <v>-250863.63693943064</v>
      </c>
      <c r="U63" s="23">
        <v>14659291.390272155</v>
      </c>
    </row>
    <row r="64" spans="1:23" x14ac:dyDescent="0.25">
      <c r="A64" s="95"/>
      <c r="B64" s="100"/>
      <c r="C64" s="19" t="s">
        <v>29</v>
      </c>
      <c r="D64" s="2">
        <v>1829254.4067220245</v>
      </c>
      <c r="E64" s="2">
        <v>200140.9911242855</v>
      </c>
      <c r="F64" s="2">
        <v>2309454.2374453074</v>
      </c>
      <c r="G64" s="2">
        <v>86748.38924176537</v>
      </c>
      <c r="H64" s="2">
        <v>789564.04599668703</v>
      </c>
      <c r="I64" s="2">
        <v>160106.15460298187</v>
      </c>
      <c r="J64" s="2">
        <v>2251663.7448334517</v>
      </c>
      <c r="K64" s="2">
        <v>2127086.9094746383</v>
      </c>
      <c r="L64" s="2">
        <v>455562.52000868984</v>
      </c>
      <c r="M64" s="2">
        <v>762516.90177090839</v>
      </c>
      <c r="N64" s="2">
        <v>380160.98214944307</v>
      </c>
      <c r="O64" s="2">
        <v>275428.46269743517</v>
      </c>
      <c r="P64" s="2">
        <v>1925902.8934374233</v>
      </c>
      <c r="Q64" s="2">
        <v>604236.00686982949</v>
      </c>
      <c r="R64" s="2">
        <v>786022.21799335722</v>
      </c>
      <c r="S64" s="2">
        <v>544469.7895831205</v>
      </c>
      <c r="T64" s="2">
        <v>-311964.68154652661</v>
      </c>
      <c r="U64" s="23">
        <v>14466238.881978747</v>
      </c>
    </row>
    <row r="65" spans="1:23" x14ac:dyDescent="0.25">
      <c r="A65" s="95"/>
      <c r="B65" s="100"/>
      <c r="C65" s="19" t="s">
        <v>30</v>
      </c>
      <c r="D65" s="2">
        <v>1849827.2190309828</v>
      </c>
      <c r="E65" s="2">
        <v>211059.42772130261</v>
      </c>
      <c r="F65" s="2">
        <v>2311337.2596539478</v>
      </c>
      <c r="G65" s="2">
        <v>88305.620706310132</v>
      </c>
      <c r="H65" s="2">
        <v>769815.02838659938</v>
      </c>
      <c r="I65" s="2">
        <v>162205.99964652944</v>
      </c>
      <c r="J65" s="2">
        <v>2310681.7778343037</v>
      </c>
      <c r="K65" s="2">
        <v>2256523.9775373302</v>
      </c>
      <c r="L65" s="2">
        <v>422976.20412677602</v>
      </c>
      <c r="M65" s="2">
        <v>782126.56308952335</v>
      </c>
      <c r="N65" s="2">
        <v>390307.87756837998</v>
      </c>
      <c r="O65" s="2">
        <v>241817.98406512931</v>
      </c>
      <c r="P65" s="2">
        <v>1967151.054825119</v>
      </c>
      <c r="Q65" s="2">
        <v>597565.21084440337</v>
      </c>
      <c r="R65" s="2">
        <v>806238.03586399835</v>
      </c>
      <c r="S65" s="2">
        <v>577528.53824179142</v>
      </c>
      <c r="T65" s="2">
        <v>-214731.27138472971</v>
      </c>
      <c r="U65" s="23">
        <v>15200905.096106255</v>
      </c>
    </row>
    <row r="66" spans="1:23" x14ac:dyDescent="0.25">
      <c r="A66" s="95"/>
      <c r="B66" s="101"/>
      <c r="C66" s="52" t="s">
        <v>31</v>
      </c>
      <c r="D66" s="20">
        <v>1854141.950568177</v>
      </c>
      <c r="E66" s="20">
        <v>227697.38173422468</v>
      </c>
      <c r="F66" s="20">
        <v>2349826.8991428642</v>
      </c>
      <c r="G66" s="20">
        <v>87423.677333144282</v>
      </c>
      <c r="H66" s="20">
        <v>791159.40389961912</v>
      </c>
      <c r="I66" s="20">
        <v>165726.21152611464</v>
      </c>
      <c r="J66" s="20">
        <v>2398607.3496465539</v>
      </c>
      <c r="K66" s="20">
        <v>2431576.8338404791</v>
      </c>
      <c r="L66" s="20">
        <v>381755.7825664354</v>
      </c>
      <c r="M66" s="20">
        <v>799491.98994880053</v>
      </c>
      <c r="N66" s="20">
        <v>393992.36015727976</v>
      </c>
      <c r="O66" s="20">
        <v>252614.2086684345</v>
      </c>
      <c r="P66" s="20">
        <v>2005283.2228271465</v>
      </c>
      <c r="Q66" s="20">
        <v>592192.05289625772</v>
      </c>
      <c r="R66" s="20">
        <v>827872.98725337849</v>
      </c>
      <c r="S66" s="20">
        <v>524392.94990935223</v>
      </c>
      <c r="T66" s="20">
        <v>-194411.35072499196</v>
      </c>
      <c r="U66" s="24">
        <v>15687593.118526982</v>
      </c>
    </row>
    <row r="67" spans="1:23" s="7" customFormat="1" ht="17.45" customHeight="1" x14ac:dyDescent="0.2">
      <c r="A67" s="95"/>
      <c r="B67" s="60"/>
      <c r="C67" s="53" t="s">
        <v>51</v>
      </c>
      <c r="D67" s="42">
        <v>7519192.5112864589</v>
      </c>
      <c r="E67" s="42">
        <v>994478.2350380288</v>
      </c>
      <c r="F67" s="42">
        <v>10140271.053385917</v>
      </c>
      <c r="G67" s="42">
        <v>361162.66357363056</v>
      </c>
      <c r="H67" s="42">
        <v>3362640.1093634861</v>
      </c>
      <c r="I67" s="42">
        <v>704664.72820278187</v>
      </c>
      <c r="J67" s="42">
        <v>8821774.8786122669</v>
      </c>
      <c r="K67" s="42">
        <v>9707606.4423360433</v>
      </c>
      <c r="L67" s="42">
        <v>1564238.3437904951</v>
      </c>
      <c r="M67" s="42">
        <v>3358379.1443900121</v>
      </c>
      <c r="N67" s="42">
        <v>1566664.7242535781</v>
      </c>
      <c r="O67" s="42">
        <v>1176358.5741584315</v>
      </c>
      <c r="P67" s="42">
        <v>7979898.7291512331</v>
      </c>
      <c r="Q67" s="42">
        <v>2365329.7586630913</v>
      </c>
      <c r="R67" s="42">
        <v>3171632.6714975853</v>
      </c>
      <c r="S67" s="42">
        <v>1827989.8532589711</v>
      </c>
      <c r="T67" s="42">
        <v>-794645.99708585185</v>
      </c>
      <c r="U67" s="43">
        <v>64311982.983413264</v>
      </c>
      <c r="V67" s="15"/>
      <c r="W67" s="15"/>
    </row>
    <row r="68" spans="1:23" x14ac:dyDescent="0.25">
      <c r="A68" s="95"/>
      <c r="B68" s="100">
        <v>2015</v>
      </c>
      <c r="C68" s="19" t="s">
        <v>28</v>
      </c>
      <c r="D68" s="2">
        <v>1860845.7875678726</v>
      </c>
      <c r="E68" s="2">
        <v>240638.92614718206</v>
      </c>
      <c r="F68" s="2">
        <v>2437484.5846759211</v>
      </c>
      <c r="G68" s="2">
        <v>88472.813293147628</v>
      </c>
      <c r="H68" s="2">
        <v>833044.26282986661</v>
      </c>
      <c r="I68" s="2">
        <v>168405.33381082123</v>
      </c>
      <c r="J68" s="2">
        <v>2251913.0060456162</v>
      </c>
      <c r="K68" s="2">
        <v>2466636.1900976324</v>
      </c>
      <c r="L68" s="2">
        <v>386689.17562893149</v>
      </c>
      <c r="M68" s="2">
        <v>811902.04572143464</v>
      </c>
      <c r="N68" s="2">
        <v>390736.96759933559</v>
      </c>
      <c r="O68" s="2">
        <v>274915.66445533687</v>
      </c>
      <c r="P68" s="2">
        <v>2019398.0624233221</v>
      </c>
      <c r="Q68" s="2">
        <v>589506.61637002579</v>
      </c>
      <c r="R68" s="2">
        <v>833839.87392062007</v>
      </c>
      <c r="S68" s="2">
        <v>514143.51916147908</v>
      </c>
      <c r="T68" s="2">
        <v>-234534.5514924911</v>
      </c>
      <c r="U68" s="23">
        <v>15950604.582880944</v>
      </c>
    </row>
    <row r="69" spans="1:23" x14ac:dyDescent="0.25">
      <c r="A69" s="95"/>
      <c r="B69" s="100"/>
      <c r="C69" s="19" t="s">
        <v>29</v>
      </c>
      <c r="D69" s="2">
        <v>1876501.0967178312</v>
      </c>
      <c r="E69" s="2">
        <v>241561.15341650281</v>
      </c>
      <c r="F69" s="2">
        <v>2522423.9818264521</v>
      </c>
      <c r="G69" s="2">
        <v>89767.009078635077</v>
      </c>
      <c r="H69" s="2">
        <v>851772.42890243081</v>
      </c>
      <c r="I69" s="2">
        <v>174642.73952947673</v>
      </c>
      <c r="J69" s="2">
        <v>2239741.9116634973</v>
      </c>
      <c r="K69" s="2">
        <v>2466307.1848754645</v>
      </c>
      <c r="L69" s="2">
        <v>397821.04359394306</v>
      </c>
      <c r="M69" s="2">
        <v>821540.40751399403</v>
      </c>
      <c r="N69" s="2">
        <v>391912.4147912247</v>
      </c>
      <c r="O69" s="2">
        <v>291161.0370280986</v>
      </c>
      <c r="P69" s="2">
        <v>2033718.250518769</v>
      </c>
      <c r="Q69" s="2">
        <v>589519.8129228279</v>
      </c>
      <c r="R69" s="2">
        <v>808522.57699909736</v>
      </c>
      <c r="S69" s="2">
        <v>449424.50745356217</v>
      </c>
      <c r="T69" s="2">
        <v>-181917.33253202969</v>
      </c>
      <c r="U69" s="23">
        <v>16293372.807622952</v>
      </c>
    </row>
    <row r="70" spans="1:23" x14ac:dyDescent="0.25">
      <c r="A70" s="95"/>
      <c r="B70" s="100"/>
      <c r="C70" s="19" t="s">
        <v>30</v>
      </c>
      <c r="D70" s="2">
        <v>1881994.1476881173</v>
      </c>
      <c r="E70" s="2">
        <v>252253.78330108998</v>
      </c>
      <c r="F70" s="2">
        <v>2572369.5591778415</v>
      </c>
      <c r="G70" s="2">
        <v>89775.561951828771</v>
      </c>
      <c r="H70" s="2">
        <v>849438.48743249208</v>
      </c>
      <c r="I70" s="2">
        <v>179090.77922725497</v>
      </c>
      <c r="J70" s="2">
        <v>2210066.573044329</v>
      </c>
      <c r="K70" s="2">
        <v>2424137.5794189237</v>
      </c>
      <c r="L70" s="2">
        <v>395196.78278744698</v>
      </c>
      <c r="M70" s="2">
        <v>861769.75446100417</v>
      </c>
      <c r="N70" s="2">
        <v>391005.92944746965</v>
      </c>
      <c r="O70" s="2">
        <v>314479.607614359</v>
      </c>
      <c r="P70" s="2">
        <v>1993770.3306437898</v>
      </c>
      <c r="Q70" s="2">
        <v>591503.69723952212</v>
      </c>
      <c r="R70" s="2">
        <v>775439.71740390989</v>
      </c>
      <c r="S70" s="2">
        <v>393364.51883714704</v>
      </c>
      <c r="T70" s="2">
        <v>-153796.22094282115</v>
      </c>
      <c r="U70" s="23">
        <v>16260688.26032275</v>
      </c>
    </row>
    <row r="71" spans="1:23" x14ac:dyDescent="0.25">
      <c r="A71" s="95"/>
      <c r="B71" s="101"/>
      <c r="C71" s="52" t="s">
        <v>31</v>
      </c>
      <c r="D71" s="20">
        <v>1899851.4793126381</v>
      </c>
      <c r="E71" s="20">
        <v>260024.37217325397</v>
      </c>
      <c r="F71" s="20">
        <v>2607992.9277057014</v>
      </c>
      <c r="G71" s="20">
        <v>93147.27925001907</v>
      </c>
      <c r="H71" s="20">
        <v>828384.93019869644</v>
      </c>
      <c r="I71" s="20">
        <v>182525.87563522893</v>
      </c>
      <c r="J71" s="20">
        <v>2120053.3878588239</v>
      </c>
      <c r="K71" s="20">
        <v>2350525.4879440228</v>
      </c>
      <c r="L71" s="20">
        <v>384531.3417801733</v>
      </c>
      <c r="M71" s="20">
        <v>863166.93669357896</v>
      </c>
      <c r="N71" s="20">
        <v>393009.41241554823</v>
      </c>
      <c r="O71" s="20">
        <v>295802.26506063691</v>
      </c>
      <c r="P71" s="20">
        <v>1933012.0855653519</v>
      </c>
      <c r="Q71" s="20">
        <v>594799.63213071565</v>
      </c>
      <c r="R71" s="20">
        <v>753830.50317395758</v>
      </c>
      <c r="S71" s="20">
        <v>471057.30780678277</v>
      </c>
      <c r="T71" s="20">
        <v>-224397.89211851</v>
      </c>
      <c r="U71" s="24">
        <v>15807317.332586618</v>
      </c>
    </row>
    <row r="72" spans="1:23" s="7" customFormat="1" ht="17.45" customHeight="1" x14ac:dyDescent="0.2">
      <c r="A72" s="95"/>
      <c r="B72" s="60"/>
      <c r="C72" s="53" t="s">
        <v>51</v>
      </c>
      <c r="D72" s="42">
        <v>7733716.0487203076</v>
      </c>
      <c r="E72" s="42">
        <v>1025675.4406732195</v>
      </c>
      <c r="F72" s="42">
        <v>10413093.27216691</v>
      </c>
      <c r="G72" s="42">
        <v>376462.7541635629</v>
      </c>
      <c r="H72" s="42">
        <v>3401163.7234549564</v>
      </c>
      <c r="I72" s="42">
        <v>771202.94946647855</v>
      </c>
      <c r="J72" s="42">
        <v>8787028.9092380647</v>
      </c>
      <c r="K72" s="42">
        <v>9262130.2321610916</v>
      </c>
      <c r="L72" s="42">
        <v>1517436.4397575525</v>
      </c>
      <c r="M72" s="42">
        <v>3529617.833994058</v>
      </c>
      <c r="N72" s="42">
        <v>1548322.8918519791</v>
      </c>
      <c r="O72" s="42">
        <v>1195604.5303703626</v>
      </c>
      <c r="P72" s="42">
        <v>7034318.18320088</v>
      </c>
      <c r="Q72" s="42">
        <v>2421080.7457912448</v>
      </c>
      <c r="R72" s="42">
        <v>3152905.8279643389</v>
      </c>
      <c r="S72" s="42">
        <v>1922896.781824759</v>
      </c>
      <c r="T72" s="42">
        <v>-439711.77462303231</v>
      </c>
      <c r="U72" s="43">
        <v>63656236.107272774</v>
      </c>
      <c r="V72" s="15"/>
      <c r="W72" s="15"/>
    </row>
    <row r="73" spans="1:23" x14ac:dyDescent="0.25">
      <c r="A73" s="95"/>
      <c r="B73" s="100">
        <v>2016</v>
      </c>
      <c r="C73" s="19" t="s">
        <v>28</v>
      </c>
      <c r="D73" s="2">
        <v>1911221.9495173213</v>
      </c>
      <c r="E73" s="2">
        <v>241968.11140492925</v>
      </c>
      <c r="F73" s="2">
        <v>2636911.4662859663</v>
      </c>
      <c r="G73" s="2">
        <v>95430.374355232285</v>
      </c>
      <c r="H73" s="2">
        <v>833926.49043448362</v>
      </c>
      <c r="I73" s="2">
        <v>186401.94983341027</v>
      </c>
      <c r="J73" s="2">
        <v>2213031.2934198184</v>
      </c>
      <c r="K73" s="2">
        <v>2369214.2759264642</v>
      </c>
      <c r="L73" s="2">
        <v>388647.35966538754</v>
      </c>
      <c r="M73" s="2">
        <v>869820.58815987955</v>
      </c>
      <c r="N73" s="2">
        <v>395235.73111692187</v>
      </c>
      <c r="O73" s="2">
        <v>298200.16127647366</v>
      </c>
      <c r="P73" s="2">
        <v>1875900.5189068867</v>
      </c>
      <c r="Q73" s="2">
        <v>598397.34734398557</v>
      </c>
      <c r="R73" s="2">
        <v>758152.31300179556</v>
      </c>
      <c r="S73" s="2">
        <v>458481.32491554646</v>
      </c>
      <c r="T73" s="2">
        <v>-122636.88080184881</v>
      </c>
      <c r="U73" s="23">
        <v>16009754.11385693</v>
      </c>
    </row>
    <row r="74" spans="1:23" x14ac:dyDescent="0.25">
      <c r="A74" s="95"/>
      <c r="B74" s="100"/>
      <c r="C74" s="19" t="s">
        <v>29</v>
      </c>
      <c r="D74" s="2">
        <v>1936204.6577399424</v>
      </c>
      <c r="E74" s="2">
        <v>244301.05990699277</v>
      </c>
      <c r="F74" s="2">
        <v>2628773.2980538672</v>
      </c>
      <c r="G74" s="2">
        <v>93250.553563277383</v>
      </c>
      <c r="H74" s="2">
        <v>840021.67475273041</v>
      </c>
      <c r="I74" s="2">
        <v>190744.56498630164</v>
      </c>
      <c r="J74" s="2">
        <v>2257374.2163836719</v>
      </c>
      <c r="K74" s="2">
        <v>2352081.2869070009</v>
      </c>
      <c r="L74" s="2">
        <v>368962.6451661819</v>
      </c>
      <c r="M74" s="2">
        <v>872086.16649290873</v>
      </c>
      <c r="N74" s="2">
        <v>392966.25235965766</v>
      </c>
      <c r="O74" s="2">
        <v>299412.78489042626</v>
      </c>
      <c r="P74" s="2">
        <v>1790484.1126055913</v>
      </c>
      <c r="Q74" s="2">
        <v>602637.34968411655</v>
      </c>
      <c r="R74" s="2">
        <v>770240.74468180514</v>
      </c>
      <c r="S74" s="2">
        <v>480812.78741524921</v>
      </c>
      <c r="T74" s="2">
        <v>-124476.35639156574</v>
      </c>
      <c r="U74" s="23">
        <v>15997210.729948122</v>
      </c>
    </row>
    <row r="75" spans="1:23" x14ac:dyDescent="0.25">
      <c r="A75" s="95"/>
      <c r="B75" s="100"/>
      <c r="C75" s="19" t="s">
        <v>30</v>
      </c>
      <c r="D75" s="2">
        <v>1952886.7376752358</v>
      </c>
      <c r="E75" s="2">
        <v>259999.58464373043</v>
      </c>
      <c r="F75" s="2">
        <v>2605809.8303111768</v>
      </c>
      <c r="G75" s="2">
        <v>94608.465795012176</v>
      </c>
      <c r="H75" s="2">
        <v>856905.68301687576</v>
      </c>
      <c r="I75" s="2">
        <v>194724.61696539077</v>
      </c>
      <c r="J75" s="2">
        <v>2142599.1960089058</v>
      </c>
      <c r="K75" s="2">
        <v>2314149.3178971321</v>
      </c>
      <c r="L75" s="2">
        <v>372048.46460785222</v>
      </c>
      <c r="M75" s="2">
        <v>893183.3955380898</v>
      </c>
      <c r="N75" s="2">
        <v>386973.91088954103</v>
      </c>
      <c r="O75" s="2">
        <v>296553.32253587578</v>
      </c>
      <c r="P75" s="2">
        <v>1736910.8188785862</v>
      </c>
      <c r="Q75" s="2">
        <v>607402.42766850535</v>
      </c>
      <c r="R75" s="2">
        <v>792161.93292509485</v>
      </c>
      <c r="S75" s="2">
        <v>505110.23936533107</v>
      </c>
      <c r="T75" s="2">
        <v>-133739.44721782318</v>
      </c>
      <c r="U75" s="23">
        <v>15878797.144756313</v>
      </c>
    </row>
    <row r="76" spans="1:23" x14ac:dyDescent="0.25">
      <c r="A76" s="95"/>
      <c r="B76" s="101"/>
      <c r="C76" s="52" t="s">
        <v>31</v>
      </c>
      <c r="D76" s="20">
        <v>1933402.7037878088</v>
      </c>
      <c r="E76" s="20">
        <v>279406.68471756711</v>
      </c>
      <c r="F76" s="20">
        <v>2541598.6775159002</v>
      </c>
      <c r="G76" s="20">
        <v>93173.360450041102</v>
      </c>
      <c r="H76" s="20">
        <v>870309.87525086664</v>
      </c>
      <c r="I76" s="20">
        <v>199331.81768137583</v>
      </c>
      <c r="J76" s="20">
        <v>2174024.2034256682</v>
      </c>
      <c r="K76" s="20">
        <v>2226685.3514304943</v>
      </c>
      <c r="L76" s="20">
        <v>387777.97031813074</v>
      </c>
      <c r="M76" s="20">
        <v>894527.68380318</v>
      </c>
      <c r="N76" s="20">
        <v>373146.99748585862</v>
      </c>
      <c r="O76" s="20">
        <v>301438.26166758698</v>
      </c>
      <c r="P76" s="20">
        <v>1631022.7328098158</v>
      </c>
      <c r="Q76" s="20">
        <v>612643.6210946372</v>
      </c>
      <c r="R76" s="20">
        <v>832350.83735564339</v>
      </c>
      <c r="S76" s="20">
        <v>478492.43012863217</v>
      </c>
      <c r="T76" s="20">
        <v>-58859.090211794581</v>
      </c>
      <c r="U76" s="24">
        <v>15770474.118711416</v>
      </c>
    </row>
    <row r="77" spans="1:23" s="7" customFormat="1" ht="17.45" customHeight="1" x14ac:dyDescent="0.2">
      <c r="A77" s="95"/>
      <c r="B77" s="60"/>
      <c r="C77" s="53" t="s">
        <v>51</v>
      </c>
      <c r="D77" s="42">
        <v>7701467.1723102313</v>
      </c>
      <c r="E77" s="42">
        <v>1154666.3246597461</v>
      </c>
      <c r="F77" s="42">
        <v>9529972.0625466164</v>
      </c>
      <c r="G77" s="42">
        <v>372389.94936615427</v>
      </c>
      <c r="H77" s="42">
        <v>3530667.0392812006</v>
      </c>
      <c r="I77" s="42">
        <v>787156.80656175502</v>
      </c>
      <c r="J77" s="42">
        <v>8486502.1001941413</v>
      </c>
      <c r="K77" s="42">
        <v>8834442.4751315583</v>
      </c>
      <c r="L77" s="42">
        <v>1553106.6678715204</v>
      </c>
      <c r="M77" s="42">
        <v>3623048.6222027512</v>
      </c>
      <c r="N77" s="42">
        <v>1500637.6439053561</v>
      </c>
      <c r="O77" s="42">
        <v>1131022.2610268742</v>
      </c>
      <c r="P77" s="42">
        <v>6428027.6005737167</v>
      </c>
      <c r="Q77" s="42">
        <v>2500012.5949250152</v>
      </c>
      <c r="R77" s="42">
        <v>3562383.0190074276</v>
      </c>
      <c r="S77" s="42">
        <v>1998394.6431939583</v>
      </c>
      <c r="T77" s="42">
        <v>-188875.66555709235</v>
      </c>
      <c r="U77" s="43">
        <v>62542491.56468074</v>
      </c>
      <c r="V77" s="15"/>
      <c r="W77" s="15"/>
    </row>
    <row r="78" spans="1:23" x14ac:dyDescent="0.25">
      <c r="A78" s="95"/>
      <c r="B78" s="100">
        <v>2017</v>
      </c>
      <c r="C78" s="19" t="s">
        <v>28</v>
      </c>
      <c r="D78" s="2">
        <v>1917168.2129724205</v>
      </c>
      <c r="E78" s="2">
        <v>286129.46337785001</v>
      </c>
      <c r="F78" s="2">
        <v>2461428.1152390507</v>
      </c>
      <c r="G78" s="2">
        <v>93482.803363443963</v>
      </c>
      <c r="H78" s="2">
        <v>881688.83832507348</v>
      </c>
      <c r="I78" s="2">
        <v>198842.55699597308</v>
      </c>
      <c r="J78" s="2">
        <v>2073431.5691679632</v>
      </c>
      <c r="K78" s="2">
        <v>2190340.5823809016</v>
      </c>
      <c r="L78" s="2">
        <v>383560.5125913939</v>
      </c>
      <c r="M78" s="2">
        <v>894449.23960426252</v>
      </c>
      <c r="N78" s="2">
        <v>373899.76911586791</v>
      </c>
      <c r="O78" s="2">
        <v>293140.6049154381</v>
      </c>
      <c r="P78" s="2">
        <v>1595508.5665396594</v>
      </c>
      <c r="Q78" s="2">
        <v>617975.38939352648</v>
      </c>
      <c r="R78" s="2">
        <v>860382.0392570789</v>
      </c>
      <c r="S78" s="2">
        <v>491822.42071417818</v>
      </c>
      <c r="T78" s="2">
        <v>-56369.530454825239</v>
      </c>
      <c r="U78" s="23">
        <v>15568191.340165012</v>
      </c>
    </row>
    <row r="79" spans="1:23" x14ac:dyDescent="0.25">
      <c r="A79" s="95"/>
      <c r="B79" s="100"/>
      <c r="C79" s="19" t="s">
        <v>29</v>
      </c>
      <c r="D79" s="2">
        <v>1922606.3371449909</v>
      </c>
      <c r="E79" s="2">
        <v>296254.12620264804</v>
      </c>
      <c r="F79" s="2">
        <v>2395551.3784958301</v>
      </c>
      <c r="G79" s="2">
        <v>95823.675743482745</v>
      </c>
      <c r="H79" s="2">
        <v>881006.24990649358</v>
      </c>
      <c r="I79" s="2">
        <v>195705.75077641007</v>
      </c>
      <c r="J79" s="2">
        <v>2022554.0676197323</v>
      </c>
      <c r="K79" s="2">
        <v>2201183.5608049002</v>
      </c>
      <c r="L79" s="2">
        <v>393057.47993006697</v>
      </c>
      <c r="M79" s="2">
        <v>897346.60873738001</v>
      </c>
      <c r="N79" s="2">
        <v>373952.84503072052</v>
      </c>
      <c r="O79" s="2">
        <v>286443.57032850513</v>
      </c>
      <c r="P79" s="2">
        <v>1590077.099661899</v>
      </c>
      <c r="Q79" s="2">
        <v>623219.52640368161</v>
      </c>
      <c r="R79" s="2">
        <v>884814.88571866206</v>
      </c>
      <c r="S79" s="2">
        <v>515600.73696003365</v>
      </c>
      <c r="T79" s="2">
        <v>-49657.272593663583</v>
      </c>
      <c r="U79" s="23">
        <v>15533122.703076648</v>
      </c>
    </row>
    <row r="80" spans="1:23" x14ac:dyDescent="0.25">
      <c r="A80" s="95"/>
      <c r="B80" s="100"/>
      <c r="C80" s="19" t="s">
        <v>30</v>
      </c>
      <c r="D80" s="2">
        <v>1927041.3981316232</v>
      </c>
      <c r="E80" s="2">
        <v>295924.51880867447</v>
      </c>
      <c r="F80" s="2">
        <v>2349837.0827272646</v>
      </c>
      <c r="G80" s="2">
        <v>90636.529459551573</v>
      </c>
      <c r="H80" s="2">
        <v>883555.37916710787</v>
      </c>
      <c r="I80" s="2">
        <v>196639.55837247413</v>
      </c>
      <c r="J80" s="2">
        <v>2162017.1033497178</v>
      </c>
      <c r="K80" s="2">
        <v>2213244.6124686031</v>
      </c>
      <c r="L80" s="2">
        <v>391800.31046181283</v>
      </c>
      <c r="M80" s="2">
        <v>913568.06245204876</v>
      </c>
      <c r="N80" s="2">
        <v>376406.42788806028</v>
      </c>
      <c r="O80" s="2">
        <v>282214.85685658554</v>
      </c>
      <c r="P80" s="2">
        <v>1606949.1281583118</v>
      </c>
      <c r="Q80" s="2">
        <v>627761.73865964531</v>
      </c>
      <c r="R80" s="2">
        <v>904916.54419040272</v>
      </c>
      <c r="S80" s="2">
        <v>514661.02955933637</v>
      </c>
      <c r="T80" s="2">
        <v>-46949.898469765401</v>
      </c>
      <c r="U80" s="23">
        <v>15696675.584750233</v>
      </c>
    </row>
    <row r="81" spans="1:23" x14ac:dyDescent="0.25">
      <c r="A81" s="95"/>
      <c r="B81" s="101"/>
      <c r="C81" s="52" t="s">
        <v>31</v>
      </c>
      <c r="D81" s="20">
        <v>1934651.2240611971</v>
      </c>
      <c r="E81" s="20">
        <v>276358.21627057373</v>
      </c>
      <c r="F81" s="20">
        <v>2323155.486084471</v>
      </c>
      <c r="G81" s="20">
        <v>92446.940799676027</v>
      </c>
      <c r="H81" s="20">
        <v>884416.57188252534</v>
      </c>
      <c r="I81" s="20">
        <v>195968.94041689776</v>
      </c>
      <c r="J81" s="20">
        <v>2228499.3600567281</v>
      </c>
      <c r="K81" s="20">
        <v>2229673.7194771534</v>
      </c>
      <c r="L81" s="20">
        <v>384688.36488824664</v>
      </c>
      <c r="M81" s="20">
        <v>917684.71140906052</v>
      </c>
      <c r="N81" s="20">
        <v>376378.60187070753</v>
      </c>
      <c r="O81" s="20">
        <v>269223.22892634547</v>
      </c>
      <c r="P81" s="20">
        <v>1635492.8062138464</v>
      </c>
      <c r="Q81" s="20">
        <v>631055.94046816172</v>
      </c>
      <c r="R81" s="20">
        <v>912269.54984128382</v>
      </c>
      <c r="S81" s="20">
        <v>476310.45596041024</v>
      </c>
      <c r="T81" s="20">
        <v>-35898.964038838109</v>
      </c>
      <c r="U81" s="24">
        <v>15744501.936688852</v>
      </c>
    </row>
    <row r="82" spans="1:23" s="7" customFormat="1" ht="17.45" customHeight="1" x14ac:dyDescent="0.2">
      <c r="A82" s="95"/>
      <c r="B82" s="60"/>
      <c r="C82" s="53" t="s">
        <v>51</v>
      </c>
      <c r="D82" s="42">
        <v>7730379.5796466405</v>
      </c>
      <c r="E82" s="42">
        <v>1095827.944974937</v>
      </c>
      <c r="F82" s="42">
        <v>8800334.0554088261</v>
      </c>
      <c r="G82" s="42">
        <v>360813.01156039018</v>
      </c>
      <c r="H82" s="42">
        <v>3542716.7161084069</v>
      </c>
      <c r="I82" s="42">
        <v>806622.50922312366</v>
      </c>
      <c r="J82" s="42">
        <v>8475957.8019515499</v>
      </c>
      <c r="K82" s="42">
        <v>8871396.9465994816</v>
      </c>
      <c r="L82" s="42">
        <v>1541981.6322986381</v>
      </c>
      <c r="M82" s="42">
        <v>3690616.3305505672</v>
      </c>
      <c r="N82" s="42">
        <v>1517842.4891292772</v>
      </c>
      <c r="O82" s="42">
        <v>1218777.1056121725</v>
      </c>
      <c r="P82" s="42">
        <v>6650764.4424947053</v>
      </c>
      <c r="Q82" s="42">
        <v>2529780.2112173596</v>
      </c>
      <c r="R82" s="42">
        <v>3653879.5573921977</v>
      </c>
      <c r="S82" s="42">
        <v>1938906.0335980039</v>
      </c>
      <c r="T82" s="42">
        <v>-97760.029313360472</v>
      </c>
      <c r="U82" s="43">
        <v>62445989.426188178</v>
      </c>
      <c r="V82" s="15"/>
      <c r="W82" s="15"/>
    </row>
    <row r="83" spans="1:23" x14ac:dyDescent="0.25">
      <c r="A83" s="95"/>
      <c r="B83" s="100">
        <v>2018</v>
      </c>
      <c r="C83" s="19" t="s">
        <v>28</v>
      </c>
      <c r="D83" s="2">
        <v>1945126.2663625306</v>
      </c>
      <c r="E83" s="2">
        <v>277375.21114252828</v>
      </c>
      <c r="F83" s="2">
        <v>2283686.2447405262</v>
      </c>
      <c r="G83" s="2">
        <v>91731.447167423903</v>
      </c>
      <c r="H83" s="2">
        <v>887250.26485461032</v>
      </c>
      <c r="I83" s="2">
        <v>198589.44486612504</v>
      </c>
      <c r="J83" s="2">
        <v>2103785.3622929845</v>
      </c>
      <c r="K83" s="2">
        <v>2236024.836593166</v>
      </c>
      <c r="L83" s="2">
        <v>385950.61810829607</v>
      </c>
      <c r="M83" s="2">
        <v>924103.50641513057</v>
      </c>
      <c r="N83" s="2">
        <v>375455.94504447898</v>
      </c>
      <c r="O83" s="2">
        <v>280810.33547231054</v>
      </c>
      <c r="P83" s="2">
        <v>1661393.369134374</v>
      </c>
      <c r="Q83" s="2">
        <v>632086.55515550496</v>
      </c>
      <c r="R83" s="2">
        <v>919317.14263953397</v>
      </c>
      <c r="S83" s="2">
        <v>485923.84502581385</v>
      </c>
      <c r="T83" s="2">
        <v>-33021.35316734048</v>
      </c>
      <c r="U83" s="23">
        <v>15688462.357877117</v>
      </c>
    </row>
    <row r="84" spans="1:23" x14ac:dyDescent="0.25">
      <c r="A84" s="95"/>
      <c r="B84" s="100"/>
      <c r="C84" s="19" t="s">
        <v>29</v>
      </c>
      <c r="D84" s="2">
        <v>1931047.2307486136</v>
      </c>
      <c r="E84" s="2">
        <v>281681.06820728042</v>
      </c>
      <c r="F84" s="2">
        <v>2239856.3365950808</v>
      </c>
      <c r="G84" s="2">
        <v>91068.320302359163</v>
      </c>
      <c r="H84" s="2">
        <v>881949.94563143235</v>
      </c>
      <c r="I84" s="2">
        <v>204032.90945582511</v>
      </c>
      <c r="J84" s="2">
        <v>2070364.5386022166</v>
      </c>
      <c r="K84" s="2">
        <v>2213147.764819141</v>
      </c>
      <c r="L84" s="2">
        <v>385774.78557984496</v>
      </c>
      <c r="M84" s="2">
        <v>931029.25966280524</v>
      </c>
      <c r="N84" s="2">
        <v>379208.12509719346</v>
      </c>
      <c r="O84" s="2">
        <v>290821.72712485201</v>
      </c>
      <c r="P84" s="2">
        <v>1649626.9615918454</v>
      </c>
      <c r="Q84" s="2">
        <v>632208.61780734896</v>
      </c>
      <c r="R84" s="2">
        <v>905454.34050844575</v>
      </c>
      <c r="S84" s="2">
        <v>472726.29206464184</v>
      </c>
      <c r="T84" s="2">
        <v>-25206.46319391732</v>
      </c>
      <c r="U84" s="23">
        <v>15585446.523289621</v>
      </c>
    </row>
    <row r="85" spans="1:23" x14ac:dyDescent="0.25">
      <c r="A85" s="95"/>
      <c r="B85" s="100"/>
      <c r="C85" s="19" t="s">
        <v>30</v>
      </c>
      <c r="D85" s="2">
        <v>1924713.3991719361</v>
      </c>
      <c r="E85" s="2">
        <v>270801.82755952916</v>
      </c>
      <c r="F85" s="2">
        <v>2167122.4657374388</v>
      </c>
      <c r="G85" s="2">
        <v>88420.123169312836</v>
      </c>
      <c r="H85" s="2">
        <v>878506.40442388761</v>
      </c>
      <c r="I85" s="2">
        <v>202018.28911201001</v>
      </c>
      <c r="J85" s="2">
        <v>2073426.6749351395</v>
      </c>
      <c r="K85" s="2">
        <v>2199255.3149380498</v>
      </c>
      <c r="L85" s="2">
        <v>385414.35887062439</v>
      </c>
      <c r="M85" s="2">
        <v>919161.78055536142</v>
      </c>
      <c r="N85" s="2">
        <v>386862.78641569859</v>
      </c>
      <c r="O85" s="2">
        <v>300828.04994724964</v>
      </c>
      <c r="P85" s="2">
        <v>1670153.0338756274</v>
      </c>
      <c r="Q85" s="2">
        <v>632274.94205903704</v>
      </c>
      <c r="R85" s="2">
        <v>912827.81512654154</v>
      </c>
      <c r="S85" s="2">
        <v>478217.41123079235</v>
      </c>
      <c r="T85" s="2">
        <v>-13793.664005017119</v>
      </c>
      <c r="U85" s="23">
        <v>15507355.612900389</v>
      </c>
    </row>
    <row r="86" spans="1:23" x14ac:dyDescent="0.25">
      <c r="A86" s="95"/>
      <c r="B86" s="101"/>
      <c r="C86" s="52" t="s">
        <v>31</v>
      </c>
      <c r="D86" s="20">
        <v>1929492.6833635599</v>
      </c>
      <c r="E86" s="20">
        <v>265969.83806559921</v>
      </c>
      <c r="F86" s="20">
        <v>2109669.0083357799</v>
      </c>
      <c r="G86" s="20">
        <v>89593.120921294263</v>
      </c>
      <c r="H86" s="20">
        <v>895010.10119847697</v>
      </c>
      <c r="I86" s="20">
        <v>201981.86578916348</v>
      </c>
      <c r="J86" s="20">
        <v>2228381.2261212105</v>
      </c>
      <c r="K86" s="20">
        <v>2222969.0302491239</v>
      </c>
      <c r="L86" s="20">
        <v>384841.86973987258</v>
      </c>
      <c r="M86" s="20">
        <v>916321.7839172699</v>
      </c>
      <c r="N86" s="20">
        <v>376315.63257190614</v>
      </c>
      <c r="O86" s="20">
        <v>346316.9930677602</v>
      </c>
      <c r="P86" s="20">
        <v>1669591.0778928585</v>
      </c>
      <c r="Q86" s="20">
        <v>633210.09619546845</v>
      </c>
      <c r="R86" s="20">
        <v>916280.25911767641</v>
      </c>
      <c r="S86" s="20">
        <v>502038.48527675576</v>
      </c>
      <c r="T86" s="20">
        <v>-25738.548947085557</v>
      </c>
      <c r="U86" s="24">
        <v>15664724.932121055</v>
      </c>
    </row>
    <row r="87" spans="1:23" s="7" customFormat="1" ht="17.45" customHeight="1" x14ac:dyDescent="0.2">
      <c r="A87" s="95"/>
      <c r="B87" s="60"/>
      <c r="C87" s="53" t="s">
        <v>51</v>
      </c>
      <c r="D87" s="42">
        <v>7801570.650852601</v>
      </c>
      <c r="E87" s="42">
        <v>994014.56679472886</v>
      </c>
      <c r="F87" s="42">
        <v>8053294.8708960824</v>
      </c>
      <c r="G87" s="42">
        <v>371834.78794022917</v>
      </c>
      <c r="H87" s="42">
        <v>3490819.3590468499</v>
      </c>
      <c r="I87" s="42">
        <v>822220.91613719217</v>
      </c>
      <c r="J87" s="42">
        <v>9541804.9602257945</v>
      </c>
      <c r="K87" s="42">
        <v>9011791.4743693247</v>
      </c>
      <c r="L87" s="42">
        <v>1538855.7582764488</v>
      </c>
      <c r="M87" s="42">
        <v>3714039.1165660685</v>
      </c>
      <c r="N87" s="42">
        <v>1493736.5223073482</v>
      </c>
      <c r="O87" s="42">
        <v>1297526.3582126885</v>
      </c>
      <c r="P87" s="42">
        <v>6778479.3082949398</v>
      </c>
      <c r="Q87" s="42">
        <v>2567647.1649604957</v>
      </c>
      <c r="R87" s="42">
        <v>3738146.0259780018</v>
      </c>
      <c r="S87" s="42">
        <v>1575554.7300502425</v>
      </c>
      <c r="T87" s="42">
        <v>-103196.77756012308</v>
      </c>
      <c r="U87" s="43">
        <v>62437493.209734462</v>
      </c>
      <c r="V87" s="15"/>
      <c r="W87" s="15"/>
    </row>
    <row r="88" spans="1:23" x14ac:dyDescent="0.25">
      <c r="A88" s="95"/>
      <c r="B88" s="100">
        <v>2019</v>
      </c>
      <c r="C88" s="19" t="s">
        <v>28</v>
      </c>
      <c r="D88" s="2">
        <v>1937456.8838510667</v>
      </c>
      <c r="E88" s="2">
        <v>270079.24332340591</v>
      </c>
      <c r="F88" s="2">
        <v>2068908.8925593644</v>
      </c>
      <c r="G88" s="2">
        <v>90411.175757454854</v>
      </c>
      <c r="H88" s="2">
        <v>873309.45574360003</v>
      </c>
      <c r="I88" s="2">
        <v>202600.89683007097</v>
      </c>
      <c r="J88" s="2">
        <v>2434069.5214324044</v>
      </c>
      <c r="K88" s="2">
        <v>2231021.7259406364</v>
      </c>
      <c r="L88" s="2">
        <v>385483.33698397141</v>
      </c>
      <c r="M88" s="2">
        <v>915397.52084966179</v>
      </c>
      <c r="N88" s="2">
        <v>377138.87926157605</v>
      </c>
      <c r="O88" s="2">
        <v>341577.04935088067</v>
      </c>
      <c r="P88" s="2">
        <v>1677783.7810842323</v>
      </c>
      <c r="Q88" s="2">
        <v>635503.32146487827</v>
      </c>
      <c r="R88" s="2">
        <v>900668.83189559716</v>
      </c>
      <c r="S88" s="2">
        <v>451866.07791515207</v>
      </c>
      <c r="T88" s="2">
        <v>-25738.445576250659</v>
      </c>
      <c r="U88" s="23">
        <v>15741128.051040985</v>
      </c>
    </row>
    <row r="89" spans="1:23" x14ac:dyDescent="0.25">
      <c r="A89" s="95"/>
      <c r="B89" s="100"/>
      <c r="C89" s="19" t="s">
        <v>29</v>
      </c>
      <c r="D89" s="2">
        <v>1950515.6722921771</v>
      </c>
      <c r="E89" s="2">
        <v>256622.93859380801</v>
      </c>
      <c r="F89" s="2">
        <v>2033890.6023610986</v>
      </c>
      <c r="G89" s="2">
        <v>90031.383096447913</v>
      </c>
      <c r="H89" s="2">
        <v>877192.41870666796</v>
      </c>
      <c r="I89" s="2">
        <v>203013.93294947786</v>
      </c>
      <c r="J89" s="2">
        <v>2382683.7783700209</v>
      </c>
      <c r="K89" s="2">
        <v>2249301.9645968978</v>
      </c>
      <c r="L89" s="2">
        <v>382808.15790941054</v>
      </c>
      <c r="M89" s="2">
        <v>909014.3544673936</v>
      </c>
      <c r="N89" s="2">
        <v>374610.05794418219</v>
      </c>
      <c r="O89" s="2">
        <v>329226.63563030504</v>
      </c>
      <c r="P89" s="2">
        <v>1682438.1185184659</v>
      </c>
      <c r="Q89" s="2">
        <v>639230.53717626643</v>
      </c>
      <c r="R89" s="2">
        <v>926599.94369521295</v>
      </c>
      <c r="S89" s="2">
        <v>402945.66001692001</v>
      </c>
      <c r="T89" s="2">
        <v>-28222.911247090469</v>
      </c>
      <c r="U89" s="23">
        <v>15649607.658410002</v>
      </c>
    </row>
    <row r="90" spans="1:23" x14ac:dyDescent="0.25">
      <c r="A90" s="95"/>
      <c r="B90" s="100"/>
      <c r="C90" s="19" t="s">
        <v>30</v>
      </c>
      <c r="D90" s="2">
        <v>1957970.6124492611</v>
      </c>
      <c r="E90" s="2">
        <v>240674.93425630007</v>
      </c>
      <c r="F90" s="2">
        <v>1992640.1338552323</v>
      </c>
      <c r="G90" s="2">
        <v>97701.017284896749</v>
      </c>
      <c r="H90" s="2">
        <v>870454.14813197427</v>
      </c>
      <c r="I90" s="2">
        <v>205530.34227234387</v>
      </c>
      <c r="J90" s="2">
        <v>2396543.9341188679</v>
      </c>
      <c r="K90" s="2">
        <v>2266760.2944901469</v>
      </c>
      <c r="L90" s="2">
        <v>383743.68200622394</v>
      </c>
      <c r="M90" s="2">
        <v>909211.04234613234</v>
      </c>
      <c r="N90" s="2">
        <v>372117.68097958941</v>
      </c>
      <c r="O90" s="2">
        <v>305777.22192175972</v>
      </c>
      <c r="P90" s="2">
        <v>1708369.0447177431</v>
      </c>
      <c r="Q90" s="2">
        <v>643884.19937885832</v>
      </c>
      <c r="R90" s="2">
        <v>943457.7364576516</v>
      </c>
      <c r="S90" s="2">
        <v>357836.65752291505</v>
      </c>
      <c r="T90" s="2">
        <v>-33275.698101110269</v>
      </c>
      <c r="U90" s="23">
        <v>15547332.094357563</v>
      </c>
    </row>
    <row r="91" spans="1:23" x14ac:dyDescent="0.25">
      <c r="A91" s="95"/>
      <c r="B91" s="101"/>
      <c r="C91" s="52" t="s">
        <v>31</v>
      </c>
      <c r="D91" s="20">
        <v>1955627.4822600959</v>
      </c>
      <c r="E91" s="20">
        <v>226637.45062121484</v>
      </c>
      <c r="F91" s="20">
        <v>1957855.2421203875</v>
      </c>
      <c r="G91" s="20">
        <v>93691.211801429657</v>
      </c>
      <c r="H91" s="20">
        <v>869863.33646460751</v>
      </c>
      <c r="I91" s="20">
        <v>211075.74408529958</v>
      </c>
      <c r="J91" s="20">
        <v>2328507.7263045004</v>
      </c>
      <c r="K91" s="20">
        <v>2264707.4893416418</v>
      </c>
      <c r="L91" s="20">
        <v>386820.58137684286</v>
      </c>
      <c r="M91" s="20">
        <v>980416.19890288054</v>
      </c>
      <c r="N91" s="20">
        <v>369869.90412200062</v>
      </c>
      <c r="O91" s="20">
        <v>320945.45130974299</v>
      </c>
      <c r="P91" s="20">
        <v>1709888.3639744988</v>
      </c>
      <c r="Q91" s="20">
        <v>649029.10694049241</v>
      </c>
      <c r="R91" s="20">
        <v>967419.51392954052</v>
      </c>
      <c r="S91" s="20">
        <v>362906.33459525555</v>
      </c>
      <c r="T91" s="20">
        <v>-15959.722635671689</v>
      </c>
      <c r="U91" s="24">
        <v>15499425.405925913</v>
      </c>
    </row>
    <row r="92" spans="1:23" s="7" customFormat="1" ht="17.45" customHeight="1" x14ac:dyDescent="0.2">
      <c r="A92" s="95"/>
      <c r="B92" s="60"/>
      <c r="C92" s="53" t="s">
        <v>51</v>
      </c>
      <c r="D92" s="42">
        <v>8072965.299612592</v>
      </c>
      <c r="E92" s="42">
        <v>861643.81099415477</v>
      </c>
      <c r="F92" s="42">
        <v>7563116.0686042178</v>
      </c>
      <c r="G92" s="42">
        <v>346714.36151562392</v>
      </c>
      <c r="H92" s="42">
        <v>3566752.1282858495</v>
      </c>
      <c r="I92" s="42">
        <v>867203.73674651003</v>
      </c>
      <c r="J92" s="42">
        <v>8021109.9109537043</v>
      </c>
      <c r="K92" s="42">
        <v>9057327.7146234643</v>
      </c>
      <c r="L92" s="42">
        <v>1549533.6281165136</v>
      </c>
      <c r="M92" s="42">
        <v>2974555.100073386</v>
      </c>
      <c r="N92" s="42">
        <v>1379888.991502787</v>
      </c>
      <c r="O92" s="42">
        <v>1450278.7588455523</v>
      </c>
      <c r="P92" s="42">
        <v>6680076.603548727</v>
      </c>
      <c r="Q92" s="42">
        <v>2511189.2739094961</v>
      </c>
      <c r="R92" s="42">
        <v>3987268.3339343052</v>
      </c>
      <c r="S92" s="42">
        <v>2010589.1338535475</v>
      </c>
      <c r="T92" s="42">
        <v>-571206.6256912289</v>
      </c>
      <c r="U92" s="43">
        <v>60241310.192104451</v>
      </c>
      <c r="V92" s="15"/>
      <c r="W92" s="15"/>
    </row>
    <row r="93" spans="1:23" x14ac:dyDescent="0.25">
      <c r="A93" s="95"/>
      <c r="B93" s="100">
        <v>2020</v>
      </c>
      <c r="C93" s="19" t="s">
        <v>28</v>
      </c>
      <c r="D93" s="2">
        <v>1993074.0854012361</v>
      </c>
      <c r="E93" s="2">
        <v>225035.93804186396</v>
      </c>
      <c r="F93" s="2">
        <v>1951718.2131543439</v>
      </c>
      <c r="G93" s="2">
        <v>92347.41327974078</v>
      </c>
      <c r="H93" s="2">
        <v>887038.08260960877</v>
      </c>
      <c r="I93" s="2">
        <v>214174.40632573538</v>
      </c>
      <c r="J93" s="2">
        <v>2226914.6201883061</v>
      </c>
      <c r="K93" s="2">
        <v>2279129.4484024495</v>
      </c>
      <c r="L93" s="2">
        <v>386200.16526023624</v>
      </c>
      <c r="M93" s="2">
        <v>976117.26950925344</v>
      </c>
      <c r="N93" s="2">
        <v>359797.28015723673</v>
      </c>
      <c r="O93" s="2">
        <v>372109.99433936132</v>
      </c>
      <c r="P93" s="2">
        <v>1709833.1441896404</v>
      </c>
      <c r="Q93" s="2">
        <v>653800.72676650167</v>
      </c>
      <c r="R93" s="2">
        <v>1018992.6152323554</v>
      </c>
      <c r="S93" s="2">
        <v>422992.86732951051</v>
      </c>
      <c r="T93" s="2">
        <v>-89570.37506145591</v>
      </c>
      <c r="U93" s="23">
        <v>15541983.338824429</v>
      </c>
    </row>
    <row r="94" spans="1:23" x14ac:dyDescent="0.25">
      <c r="A94" s="95"/>
      <c r="B94" s="100"/>
      <c r="C94" s="19" t="s">
        <v>29</v>
      </c>
      <c r="D94" s="2">
        <v>1996899.2593772188</v>
      </c>
      <c r="E94" s="2">
        <v>215331.17922227399</v>
      </c>
      <c r="F94" s="2">
        <v>1906446.0012054087</v>
      </c>
      <c r="G94" s="2">
        <v>88586.854289729919</v>
      </c>
      <c r="H94" s="2">
        <v>876315.5622510562</v>
      </c>
      <c r="I94" s="2">
        <v>217136.09085054343</v>
      </c>
      <c r="J94" s="2">
        <v>2135479.1821576571</v>
      </c>
      <c r="K94" s="2">
        <v>2208243.9315001708</v>
      </c>
      <c r="L94" s="2">
        <v>388492.42835952924</v>
      </c>
      <c r="M94" s="2">
        <v>791381.52791146515</v>
      </c>
      <c r="N94" s="2">
        <v>349905.9081470446</v>
      </c>
      <c r="O94" s="2">
        <v>388058.58150412148</v>
      </c>
      <c r="P94" s="2">
        <v>1685705.0021629138</v>
      </c>
      <c r="Q94" s="2">
        <v>625293.90400248789</v>
      </c>
      <c r="R94" s="2">
        <v>979719.08131767169</v>
      </c>
      <c r="S94" s="2">
        <v>478586.86379399133</v>
      </c>
      <c r="T94" s="2">
        <v>-110955.36304948825</v>
      </c>
      <c r="U94" s="23">
        <v>15140723.84622995</v>
      </c>
    </row>
    <row r="95" spans="1:23" x14ac:dyDescent="0.25">
      <c r="A95" s="95"/>
      <c r="B95" s="100"/>
      <c r="C95" s="19" t="s">
        <v>30</v>
      </c>
      <c r="D95" s="2">
        <v>2020249.2342663989</v>
      </c>
      <c r="E95" s="2">
        <v>208413.33666536145</v>
      </c>
      <c r="F95" s="2">
        <v>1878858.8270688474</v>
      </c>
      <c r="G95" s="2">
        <v>82403.228721078864</v>
      </c>
      <c r="H95" s="2">
        <v>891514.78438388184</v>
      </c>
      <c r="I95" s="2">
        <v>218664.69754078591</v>
      </c>
      <c r="J95" s="2">
        <v>1930369.070375876</v>
      </c>
      <c r="K95" s="2">
        <v>2226492.5618146798</v>
      </c>
      <c r="L95" s="2">
        <v>388229.54434287135</v>
      </c>
      <c r="M95" s="2">
        <v>606233.23706243292</v>
      </c>
      <c r="N95" s="2">
        <v>336493.81636198919</v>
      </c>
      <c r="O95" s="2">
        <v>384943.90819356177</v>
      </c>
      <c r="P95" s="2">
        <v>1661194.8067388502</v>
      </c>
      <c r="Q95" s="2">
        <v>613509.5463044059</v>
      </c>
      <c r="R95" s="2">
        <v>993711.45167967887</v>
      </c>
      <c r="S95" s="2">
        <v>546830.5677475417</v>
      </c>
      <c r="T95" s="2">
        <v>-155346.1752309454</v>
      </c>
      <c r="U95" s="23">
        <v>14876538.448820794</v>
      </c>
    </row>
    <row r="96" spans="1:23" x14ac:dyDescent="0.25">
      <c r="A96" s="95"/>
      <c r="B96" s="101"/>
      <c r="C96" s="52" t="s">
        <v>31</v>
      </c>
      <c r="D96" s="20">
        <v>2062742.7205677375</v>
      </c>
      <c r="E96" s="20">
        <v>212863.35706465546</v>
      </c>
      <c r="F96" s="20">
        <v>1826093.0271756179</v>
      </c>
      <c r="G96" s="20">
        <v>83376.86522507442</v>
      </c>
      <c r="H96" s="20">
        <v>911883.69904130301</v>
      </c>
      <c r="I96" s="20">
        <v>217228.54202944535</v>
      </c>
      <c r="J96" s="20">
        <v>1728347.0382318641</v>
      </c>
      <c r="K96" s="20">
        <v>2343461.7729061651</v>
      </c>
      <c r="L96" s="20">
        <v>386611.49015387683</v>
      </c>
      <c r="M96" s="20">
        <v>600823.06559023459</v>
      </c>
      <c r="N96" s="20">
        <v>333691.98683651647</v>
      </c>
      <c r="O96" s="20">
        <v>305166.27480850788</v>
      </c>
      <c r="P96" s="20">
        <v>1623343.6504573228</v>
      </c>
      <c r="Q96" s="20">
        <v>618585.09683610033</v>
      </c>
      <c r="R96" s="20">
        <v>994845.18570459902</v>
      </c>
      <c r="S96" s="20">
        <v>562178.8349825039</v>
      </c>
      <c r="T96" s="20">
        <v>-215334.71234933933</v>
      </c>
      <c r="U96" s="24">
        <v>14682064.558229282</v>
      </c>
    </row>
    <row r="97" spans="1:23" s="7" customFormat="1" ht="17.45" customHeight="1" x14ac:dyDescent="0.2">
      <c r="A97" s="95"/>
      <c r="B97" s="60"/>
      <c r="C97" s="53" t="s">
        <v>51</v>
      </c>
      <c r="D97" s="42">
        <v>8357683.5239406992</v>
      </c>
      <c r="E97" s="42">
        <v>1103212.9549662946</v>
      </c>
      <c r="F97" s="42">
        <v>6650005.3403787175</v>
      </c>
      <c r="G97" s="42">
        <v>355972.89960246522</v>
      </c>
      <c r="H97" s="42">
        <v>3762956.1975872167</v>
      </c>
      <c r="I97" s="42">
        <v>877766.48147712881</v>
      </c>
      <c r="J97" s="42">
        <v>6249620.2468237998</v>
      </c>
      <c r="K97" s="42">
        <v>9901542.7878046203</v>
      </c>
      <c r="L97" s="42">
        <v>1388191.9736056617</v>
      </c>
      <c r="M97" s="42">
        <v>2662717.6981069352</v>
      </c>
      <c r="N97" s="42">
        <v>1347171.081789752</v>
      </c>
      <c r="O97" s="42">
        <v>967249.87575690553</v>
      </c>
      <c r="P97" s="42">
        <v>6617425.4409261867</v>
      </c>
      <c r="Q97" s="42">
        <v>2519774.7951256102</v>
      </c>
      <c r="R97" s="42">
        <v>4162297.7706522746</v>
      </c>
      <c r="S97" s="42">
        <v>2165456.5802908535</v>
      </c>
      <c r="T97" s="42">
        <v>-1156611.6297943124</v>
      </c>
      <c r="U97" s="43">
        <v>58173073.896426193</v>
      </c>
      <c r="V97" s="15"/>
      <c r="W97" s="15"/>
    </row>
    <row r="98" spans="1:23" x14ac:dyDescent="0.25">
      <c r="A98" s="95"/>
      <c r="B98" s="100">
        <v>2021</v>
      </c>
      <c r="C98" s="19" t="s">
        <v>28</v>
      </c>
      <c r="D98" s="2">
        <v>1996399.6867156839</v>
      </c>
      <c r="E98" s="2">
        <v>235529.6738533201</v>
      </c>
      <c r="F98" s="2">
        <v>1731215.7473816385</v>
      </c>
      <c r="G98" s="2">
        <v>89347.582132290583</v>
      </c>
      <c r="H98" s="2">
        <v>913966.57621807221</v>
      </c>
      <c r="I98" s="2">
        <v>217721.58730551286</v>
      </c>
      <c r="J98" s="2">
        <v>1609562.2017544922</v>
      </c>
      <c r="K98" s="2">
        <v>2330632.825731107</v>
      </c>
      <c r="L98" s="2">
        <v>386987.8550665619</v>
      </c>
      <c r="M98" s="2">
        <v>589161.45879055094</v>
      </c>
      <c r="N98" s="2">
        <v>330719.91066359763</v>
      </c>
      <c r="O98" s="2">
        <v>241884.34557907478</v>
      </c>
      <c r="P98" s="2">
        <v>1639735.6596965643</v>
      </c>
      <c r="Q98" s="2">
        <v>623365.44654235314</v>
      </c>
      <c r="R98" s="2">
        <v>982412.36396221886</v>
      </c>
      <c r="S98" s="2">
        <v>555061.32698770205</v>
      </c>
      <c r="T98" s="2">
        <v>-215726.95697079424</v>
      </c>
      <c r="U98" s="23">
        <v>14358132.744114516</v>
      </c>
    </row>
    <row r="99" spans="1:23" x14ac:dyDescent="0.25">
      <c r="A99" s="95"/>
      <c r="B99" s="100"/>
      <c r="C99" s="19" t="s">
        <v>29</v>
      </c>
      <c r="D99" s="2">
        <v>2077484.4630405586</v>
      </c>
      <c r="E99" s="2">
        <v>263646.11239147122</v>
      </c>
      <c r="F99" s="2">
        <v>1675336.7881403561</v>
      </c>
      <c r="G99" s="2">
        <v>87522.163473192282</v>
      </c>
      <c r="H99" s="2">
        <v>925458.83615498641</v>
      </c>
      <c r="I99" s="2">
        <v>218915.55052518824</v>
      </c>
      <c r="J99" s="2">
        <v>1534582.9609221525</v>
      </c>
      <c r="K99" s="2">
        <v>2380700.4256643234</v>
      </c>
      <c r="L99" s="2">
        <v>371655.77344253124</v>
      </c>
      <c r="M99" s="2">
        <v>619078.17571140802</v>
      </c>
      <c r="N99" s="2">
        <v>336223.00895153574</v>
      </c>
      <c r="O99" s="2">
        <v>228043.23366539046</v>
      </c>
      <c r="P99" s="2">
        <v>1653524.1539469184</v>
      </c>
      <c r="Q99" s="2">
        <v>627342.92835820373</v>
      </c>
      <c r="R99" s="2">
        <v>1054902.9209001372</v>
      </c>
      <c r="S99" s="2">
        <v>555798.64304213575</v>
      </c>
      <c r="T99" s="2">
        <v>-272912.3678440951</v>
      </c>
      <c r="U99" s="23">
        <v>14441355.156561291</v>
      </c>
    </row>
    <row r="100" spans="1:23" x14ac:dyDescent="0.25">
      <c r="A100" s="95"/>
      <c r="B100" s="100"/>
      <c r="C100" s="19" t="s">
        <v>30</v>
      </c>
      <c r="D100" s="2">
        <v>2115031.6777795372</v>
      </c>
      <c r="E100" s="2">
        <v>292362.64130743465</v>
      </c>
      <c r="F100" s="2">
        <v>1626458.8722236238</v>
      </c>
      <c r="G100" s="2">
        <v>87030.081728932651</v>
      </c>
      <c r="H100" s="2">
        <v>956455.52630200691</v>
      </c>
      <c r="I100" s="2">
        <v>220012.4107146553</v>
      </c>
      <c r="J100" s="2">
        <v>1492754.4627730027</v>
      </c>
      <c r="K100" s="2">
        <v>2518897.4614734519</v>
      </c>
      <c r="L100" s="2">
        <v>329189.87839602173</v>
      </c>
      <c r="M100" s="2">
        <v>680077.21436572331</v>
      </c>
      <c r="N100" s="2">
        <v>342031.33351580903</v>
      </c>
      <c r="O100" s="2">
        <v>240860.55916337034</v>
      </c>
      <c r="P100" s="2">
        <v>1661537.0604843134</v>
      </c>
      <c r="Q100" s="2">
        <v>631923.77048387018</v>
      </c>
      <c r="R100" s="2">
        <v>1051960.3393925219</v>
      </c>
      <c r="S100" s="2">
        <v>537511.87665438675</v>
      </c>
      <c r="T100" s="2">
        <v>-313714.73419486207</v>
      </c>
      <c r="U100" s="23">
        <v>14531401.234706609</v>
      </c>
    </row>
    <row r="101" spans="1:23" x14ac:dyDescent="0.25">
      <c r="A101" s="95"/>
      <c r="B101" s="101"/>
      <c r="C101" s="52" t="s">
        <v>31</v>
      </c>
      <c r="D101" s="20">
        <v>2168767.696404919</v>
      </c>
      <c r="E101" s="20">
        <v>311674.52741406846</v>
      </c>
      <c r="F101" s="20">
        <v>1616993.9326330991</v>
      </c>
      <c r="G101" s="20">
        <v>92073.072268049698</v>
      </c>
      <c r="H101" s="20">
        <v>967075.25891215121</v>
      </c>
      <c r="I101" s="20">
        <v>221116.93293177238</v>
      </c>
      <c r="J101" s="20">
        <v>1612720.6213741526</v>
      </c>
      <c r="K101" s="20">
        <v>2671312.0749357375</v>
      </c>
      <c r="L101" s="20">
        <v>300358.46670054691</v>
      </c>
      <c r="M101" s="20">
        <v>774400.84923925321</v>
      </c>
      <c r="N101" s="20">
        <v>338196.82865880954</v>
      </c>
      <c r="O101" s="20">
        <v>256461.73734907003</v>
      </c>
      <c r="P101" s="20">
        <v>1662628.5667983904</v>
      </c>
      <c r="Q101" s="20">
        <v>637142.64974118304</v>
      </c>
      <c r="R101" s="20">
        <v>1073022.1463973967</v>
      </c>
      <c r="S101" s="20">
        <v>517084.73360662878</v>
      </c>
      <c r="T101" s="20">
        <v>-354257.57078456105</v>
      </c>
      <c r="U101" s="24">
        <v>14842184.76104378</v>
      </c>
    </row>
    <row r="102" spans="1:23" s="7" customFormat="1" ht="17.45" customHeight="1" x14ac:dyDescent="0.2">
      <c r="A102" s="95"/>
      <c r="B102" s="60"/>
      <c r="C102" s="53" t="s">
        <v>51</v>
      </c>
      <c r="D102" s="42">
        <v>9046116.1415342465</v>
      </c>
      <c r="E102" s="42">
        <v>1276495.1916046788</v>
      </c>
      <c r="F102" s="42">
        <v>6724101.7548649255</v>
      </c>
      <c r="G102" s="42">
        <v>370123.7454829737</v>
      </c>
      <c r="H102" s="42">
        <v>3987150.6665728982</v>
      </c>
      <c r="I102" s="42">
        <v>905936.71103191923</v>
      </c>
      <c r="J102" s="42">
        <v>6646820.8093155855</v>
      </c>
      <c r="K102" s="42">
        <v>11016488.868690146</v>
      </c>
      <c r="L102" s="42">
        <v>1235823.6676454968</v>
      </c>
      <c r="M102" s="42">
        <v>3646795.6628234494</v>
      </c>
      <c r="N102" s="42">
        <v>1315887.6096431233</v>
      </c>
      <c r="O102" s="42">
        <v>1015243.5418791007</v>
      </c>
      <c r="P102" s="42">
        <v>6909656.4632631298</v>
      </c>
      <c r="Q102" s="42">
        <v>2595148.4925992349</v>
      </c>
      <c r="R102" s="42">
        <v>4334130.8478728058</v>
      </c>
      <c r="S102" s="42">
        <v>1926050.0711310911</v>
      </c>
      <c r="T102" s="42">
        <v>-1754357.5414940272</v>
      </c>
      <c r="U102" s="43">
        <v>61169589.254576914</v>
      </c>
      <c r="V102" s="15"/>
      <c r="W102" s="15"/>
    </row>
    <row r="103" spans="1:23" x14ac:dyDescent="0.25">
      <c r="A103" s="95"/>
      <c r="B103" s="100">
        <v>2022</v>
      </c>
      <c r="C103" s="19" t="s">
        <v>28</v>
      </c>
      <c r="D103" s="2">
        <v>2147432.1740144175</v>
      </c>
      <c r="E103" s="2">
        <v>315010.82421227725</v>
      </c>
      <c r="F103" s="2">
        <v>1645045.8122701589</v>
      </c>
      <c r="G103" s="2">
        <v>84668.508090638294</v>
      </c>
      <c r="H103" s="2">
        <v>990512.94390728907</v>
      </c>
      <c r="I103" s="2">
        <v>222587.42289306695</v>
      </c>
      <c r="J103" s="2">
        <v>1644656.9174517824</v>
      </c>
      <c r="K103" s="2">
        <v>2715945.9149324764</v>
      </c>
      <c r="L103" s="2">
        <v>304484.70282708015</v>
      </c>
      <c r="M103" s="2">
        <v>842176.04741167743</v>
      </c>
      <c r="N103" s="2">
        <v>334776.83001543727</v>
      </c>
      <c r="O103" s="2">
        <v>263058.18352394435</v>
      </c>
      <c r="P103" s="2">
        <v>1689382.8346541657</v>
      </c>
      <c r="Q103" s="2">
        <v>642013.90656576387</v>
      </c>
      <c r="R103" s="2">
        <v>1053593.2636699702</v>
      </c>
      <c r="S103" s="2">
        <v>496682.82931117393</v>
      </c>
      <c r="T103" s="2">
        <v>-387524.23860276351</v>
      </c>
      <c r="U103" s="23">
        <v>14969674.260844328</v>
      </c>
    </row>
    <row r="104" spans="1:23" x14ac:dyDescent="0.25">
      <c r="A104" s="95"/>
      <c r="B104" s="100"/>
      <c r="C104" s="19" t="s">
        <v>29</v>
      </c>
      <c r="D104" s="2">
        <v>2360627.0042130481</v>
      </c>
      <c r="E104" s="2">
        <v>320174.93066021422</v>
      </c>
      <c r="F104" s="2">
        <v>1674493.7514998778</v>
      </c>
      <c r="G104" s="2">
        <v>92868.31221664534</v>
      </c>
      <c r="H104" s="2">
        <v>1000699.7774449277</v>
      </c>
      <c r="I104" s="2">
        <v>224165.82589473325</v>
      </c>
      <c r="J104" s="2">
        <v>1664421.4848812534</v>
      </c>
      <c r="K104" s="2">
        <v>2837026.6413833504</v>
      </c>
      <c r="L104" s="2">
        <v>306613.45827553293</v>
      </c>
      <c r="M104" s="2">
        <v>868912.35758200963</v>
      </c>
      <c r="N104" s="2">
        <v>330891.98037543468</v>
      </c>
      <c r="O104" s="2">
        <v>262895.79874143953</v>
      </c>
      <c r="P104" s="2">
        <v>1698117.2266552583</v>
      </c>
      <c r="Q104" s="2">
        <v>646078.54010118195</v>
      </c>
      <c r="R104" s="2">
        <v>1064051.8527020481</v>
      </c>
      <c r="S104" s="2">
        <v>469066.62433686067</v>
      </c>
      <c r="T104" s="2">
        <v>-428032.83036646841</v>
      </c>
      <c r="U104" s="23">
        <v>15455473.252120752</v>
      </c>
    </row>
    <row r="105" spans="1:23" x14ac:dyDescent="0.25">
      <c r="A105" s="95"/>
      <c r="B105" s="100"/>
      <c r="C105" s="19" t="s">
        <v>30</v>
      </c>
      <c r="D105" s="2">
        <v>2286876.0944384746</v>
      </c>
      <c r="E105" s="2">
        <v>316544.57916672801</v>
      </c>
      <c r="F105" s="2">
        <v>1706524.0254202797</v>
      </c>
      <c r="G105" s="2">
        <v>95514.285083485258</v>
      </c>
      <c r="H105" s="2">
        <v>999855.20232241508</v>
      </c>
      <c r="I105" s="2">
        <v>226937.89450133822</v>
      </c>
      <c r="J105" s="2">
        <v>1636160.879370681</v>
      </c>
      <c r="K105" s="2">
        <v>2763086.9358217823</v>
      </c>
      <c r="L105" s="2">
        <v>309889.76174737059</v>
      </c>
      <c r="M105" s="2">
        <v>907225.48995511013</v>
      </c>
      <c r="N105" s="2">
        <v>327917.22154040588</v>
      </c>
      <c r="O105" s="2">
        <v>251064.0363329332</v>
      </c>
      <c r="P105" s="2">
        <v>1737001.2595580372</v>
      </c>
      <c r="Q105" s="2">
        <v>650799.1166988702</v>
      </c>
      <c r="R105" s="2">
        <v>1090693.7097711076</v>
      </c>
      <c r="S105" s="2">
        <v>461520.91296006693</v>
      </c>
      <c r="T105" s="2">
        <v>-461735.84765441011</v>
      </c>
      <c r="U105" s="23">
        <v>15374247.435160579</v>
      </c>
    </row>
    <row r="106" spans="1:23" x14ac:dyDescent="0.25">
      <c r="A106" s="95"/>
      <c r="B106" s="101"/>
      <c r="C106" s="52" t="s">
        <v>31</v>
      </c>
      <c r="D106" s="20">
        <v>2251180.8688683058</v>
      </c>
      <c r="E106" s="20">
        <v>324764.85756545933</v>
      </c>
      <c r="F106" s="20">
        <v>1698038.1656746096</v>
      </c>
      <c r="G106" s="20">
        <v>97072.640092204791</v>
      </c>
      <c r="H106" s="20">
        <v>996082.7428982663</v>
      </c>
      <c r="I106" s="20">
        <v>232245.56774278078</v>
      </c>
      <c r="J106" s="20">
        <v>1701581.5276118685</v>
      </c>
      <c r="K106" s="20">
        <v>2700429.3765525366</v>
      </c>
      <c r="L106" s="20">
        <v>314835.74479551322</v>
      </c>
      <c r="M106" s="20">
        <v>1028481.7678746522</v>
      </c>
      <c r="N106" s="20">
        <v>322301.57771184557</v>
      </c>
      <c r="O106" s="20">
        <v>238225.52328078353</v>
      </c>
      <c r="P106" s="20">
        <v>1785155.1423956682</v>
      </c>
      <c r="Q106" s="20">
        <v>656256.92923341878</v>
      </c>
      <c r="R106" s="20">
        <v>1125792.0217296795</v>
      </c>
      <c r="S106" s="20">
        <v>498779.70452298957</v>
      </c>
      <c r="T106" s="20">
        <v>-477064.62487038522</v>
      </c>
      <c r="U106" s="24">
        <v>15370194.306451254</v>
      </c>
    </row>
    <row r="107" spans="1:23" s="7" customFormat="1" ht="17.45" customHeight="1" x14ac:dyDescent="0.2">
      <c r="A107" s="95"/>
      <c r="B107" s="60"/>
      <c r="C107" s="53" t="s">
        <v>51</v>
      </c>
      <c r="D107" s="42">
        <v>9090430.6346261874</v>
      </c>
      <c r="E107" s="42">
        <v>1329131.954369643</v>
      </c>
      <c r="F107" s="42">
        <v>6641448.7669674102</v>
      </c>
      <c r="G107" s="42">
        <v>417458.37989102968</v>
      </c>
      <c r="H107" s="42">
        <v>4101961.0424407031</v>
      </c>
      <c r="I107" s="42">
        <v>964163.01242640847</v>
      </c>
      <c r="J107" s="42">
        <v>7004518.5354055595</v>
      </c>
      <c r="K107" s="42">
        <v>10941964.073524559</v>
      </c>
      <c r="L107" s="42">
        <v>1206966.4016192383</v>
      </c>
      <c r="M107" s="42">
        <v>4329191.1230805274</v>
      </c>
      <c r="N107" s="42">
        <v>1304450.0374454991</v>
      </c>
      <c r="O107" s="42">
        <v>898593.88708339632</v>
      </c>
      <c r="P107" s="42">
        <v>7341097.8493795171</v>
      </c>
      <c r="Q107" s="42">
        <v>2671677.3447334105</v>
      </c>
      <c r="R107" s="42">
        <v>4739785.8967727683</v>
      </c>
      <c r="S107" s="42">
        <v>1906371.5968328845</v>
      </c>
      <c r="T107" s="42">
        <v>-1751415.7189573087</v>
      </c>
      <c r="U107" s="43">
        <v>62375109.632549673</v>
      </c>
      <c r="V107" s="15"/>
      <c r="W107" s="15"/>
    </row>
    <row r="108" spans="1:23" x14ac:dyDescent="0.25">
      <c r="A108" s="95"/>
      <c r="B108" s="100">
        <v>2023</v>
      </c>
      <c r="C108" s="19" t="s">
        <v>28</v>
      </c>
      <c r="D108" s="2">
        <v>2235398.5492926892</v>
      </c>
      <c r="E108" s="2">
        <v>327806.48469951894</v>
      </c>
      <c r="F108" s="2">
        <v>1671355.7312106874</v>
      </c>
      <c r="G108" s="2">
        <v>102436.57197831817</v>
      </c>
      <c r="H108" s="2">
        <v>999906.96547523129</v>
      </c>
      <c r="I108" s="2">
        <v>237048.07641715504</v>
      </c>
      <c r="J108" s="2">
        <v>1678894.4414563633</v>
      </c>
      <c r="K108" s="2">
        <v>2709556.197108923</v>
      </c>
      <c r="L108" s="2">
        <v>312041.21112522774</v>
      </c>
      <c r="M108" s="2">
        <v>1095903.9085156517</v>
      </c>
      <c r="N108" s="2">
        <v>327945.07667795394</v>
      </c>
      <c r="O108" s="2">
        <v>229078.25770483454</v>
      </c>
      <c r="P108" s="2">
        <v>1809164.496051746</v>
      </c>
      <c r="Q108" s="2">
        <v>661463.278434976</v>
      </c>
      <c r="R108" s="2">
        <v>1155307.1493072791</v>
      </c>
      <c r="S108" s="2">
        <v>489964.61679744715</v>
      </c>
      <c r="T108" s="2">
        <v>-479216.0163171608</v>
      </c>
      <c r="U108" s="23">
        <v>15365322.547084011</v>
      </c>
    </row>
    <row r="109" spans="1:23" x14ac:dyDescent="0.25">
      <c r="A109" s="95"/>
      <c r="B109" s="100"/>
      <c r="C109" s="19" t="s">
        <v>29</v>
      </c>
      <c r="D109" s="2">
        <v>2266250.7215581397</v>
      </c>
      <c r="E109" s="2">
        <v>330210.82624049159</v>
      </c>
      <c r="F109" s="2">
        <v>1662637.3387323972</v>
      </c>
      <c r="G109" s="2">
        <v>98213.106747855127</v>
      </c>
      <c r="H109" s="2">
        <v>1019223.883385063</v>
      </c>
      <c r="I109" s="2">
        <v>240081.87565796426</v>
      </c>
      <c r="J109" s="2">
        <v>1768111.5150685776</v>
      </c>
      <c r="K109" s="2">
        <v>2723581.5298427804</v>
      </c>
      <c r="L109" s="2">
        <v>295154.56899439183</v>
      </c>
      <c r="M109" s="2">
        <v>1098226.4189774264</v>
      </c>
      <c r="N109" s="2">
        <v>326784.17413089098</v>
      </c>
      <c r="O109" s="2">
        <v>221346.86954081128</v>
      </c>
      <c r="P109" s="2">
        <v>1831504.509676978</v>
      </c>
      <c r="Q109" s="2">
        <v>665773.72273196606</v>
      </c>
      <c r="R109" s="2">
        <v>1203038.5469246444</v>
      </c>
      <c r="S109" s="2">
        <v>483134.22336636449</v>
      </c>
      <c r="T109" s="2">
        <v>-399503.71442929975</v>
      </c>
      <c r="U109" s="23">
        <v>15665955.896021312</v>
      </c>
    </row>
    <row r="110" spans="1:23" x14ac:dyDescent="0.25">
      <c r="A110" s="95"/>
      <c r="B110" s="100"/>
      <c r="C110" s="19" t="s">
        <v>30</v>
      </c>
      <c r="D110" s="2">
        <v>2277897.6898766709</v>
      </c>
      <c r="E110" s="2">
        <v>337205.37727055495</v>
      </c>
      <c r="F110" s="2">
        <v>1650448.9691875963</v>
      </c>
      <c r="G110" s="2">
        <v>107853.70818898812</v>
      </c>
      <c r="H110" s="2">
        <v>1032651.2931580597</v>
      </c>
      <c r="I110" s="2">
        <v>242578.02274249069</v>
      </c>
      <c r="J110" s="2">
        <v>1881597.6200026688</v>
      </c>
      <c r="K110" s="2">
        <v>2743015.4753223066</v>
      </c>
      <c r="L110" s="2">
        <v>296666.09596145019</v>
      </c>
      <c r="M110" s="2">
        <v>1098480.9318200981</v>
      </c>
      <c r="N110" s="2">
        <v>323001.3920846199</v>
      </c>
      <c r="O110" s="2">
        <v>219900.35174080188</v>
      </c>
      <c r="P110" s="2">
        <v>1846583.8468925604</v>
      </c>
      <c r="Q110" s="2">
        <v>669570.70242778561</v>
      </c>
      <c r="R110" s="2">
        <v>1205810.5171385692</v>
      </c>
      <c r="S110" s="2">
        <v>487430.28166078334</v>
      </c>
      <c r="T110" s="2">
        <v>-400861.74754496128</v>
      </c>
      <c r="U110" s="23">
        <v>15770724.823482078</v>
      </c>
    </row>
    <row r="111" spans="1:23" x14ac:dyDescent="0.25">
      <c r="A111" s="95"/>
      <c r="B111" s="101"/>
      <c r="C111" s="52" t="s">
        <v>31</v>
      </c>
      <c r="D111" s="20">
        <v>2310883.6738986871</v>
      </c>
      <c r="E111" s="20">
        <v>333909.26615907758</v>
      </c>
      <c r="F111" s="20">
        <v>1657006.72783673</v>
      </c>
      <c r="G111" s="20">
        <v>108954.99297586828</v>
      </c>
      <c r="H111" s="20">
        <v>1050178.9004223491</v>
      </c>
      <c r="I111" s="20">
        <v>244455.03760879842</v>
      </c>
      <c r="J111" s="20">
        <v>1675914.9588779488</v>
      </c>
      <c r="K111" s="20">
        <v>2765810.8712505493</v>
      </c>
      <c r="L111" s="20">
        <v>303104.52553816867</v>
      </c>
      <c r="M111" s="20">
        <v>1036579.8637673511</v>
      </c>
      <c r="N111" s="20">
        <v>326719.39455203444</v>
      </c>
      <c r="O111" s="20">
        <v>228268.40809694864</v>
      </c>
      <c r="P111" s="20">
        <v>1853844.9967582326</v>
      </c>
      <c r="Q111" s="20">
        <v>674869.64113868284</v>
      </c>
      <c r="R111" s="20">
        <v>1175629.6834022761</v>
      </c>
      <c r="S111" s="20">
        <v>445842.47500828968</v>
      </c>
      <c r="T111" s="20">
        <v>-471834.24066588667</v>
      </c>
      <c r="U111" s="24">
        <v>15573106.365962267</v>
      </c>
    </row>
    <row r="112" spans="1:23" s="7" customFormat="1" ht="17.45" customHeight="1" x14ac:dyDescent="0.2">
      <c r="A112" s="95"/>
      <c r="B112" s="60"/>
      <c r="C112" s="53" t="s">
        <v>51</v>
      </c>
      <c r="D112" s="42">
        <v>9717613.9772567917</v>
      </c>
      <c r="E112" s="42">
        <v>1340768.4728939121</v>
      </c>
      <c r="F112" s="42">
        <v>6798254.1830005469</v>
      </c>
      <c r="G112" s="42">
        <v>524873.19832795276</v>
      </c>
      <c r="H112" s="42">
        <v>4301935.1113842186</v>
      </c>
      <c r="I112" s="42">
        <v>1006434.9624259751</v>
      </c>
      <c r="J112" s="42">
        <v>6812151.5371907074</v>
      </c>
      <c r="K112" s="42">
        <v>11268105.656028658</v>
      </c>
      <c r="L112" s="42">
        <v>1274647.3997389907</v>
      </c>
      <c r="M112" s="42">
        <v>4646279.382767952</v>
      </c>
      <c r="N112" s="42">
        <v>1350521.6318984239</v>
      </c>
      <c r="O112" s="42">
        <v>926186.52968157327</v>
      </c>
      <c r="P112" s="42">
        <v>7622399.2811345588</v>
      </c>
      <c r="Q112" s="42">
        <v>2739635.4317678595</v>
      </c>
      <c r="R112" s="42">
        <v>4862658.2143818373</v>
      </c>
      <c r="S112" s="42">
        <v>1762475.5437298489</v>
      </c>
      <c r="T112" s="42">
        <v>-1960563.2588363227</v>
      </c>
      <c r="U112" s="43">
        <v>64353046.777944803</v>
      </c>
      <c r="V112" s="15"/>
      <c r="W112" s="15"/>
    </row>
    <row r="113" spans="1:23" x14ac:dyDescent="0.25">
      <c r="A113" s="95"/>
      <c r="B113" s="100">
        <v>2024</v>
      </c>
      <c r="C113" s="19" t="s">
        <v>28</v>
      </c>
      <c r="D113" s="2">
        <v>2357497.1397506576</v>
      </c>
      <c r="E113" s="2">
        <v>326875.87483488797</v>
      </c>
      <c r="F113" s="2">
        <v>1680896.0021539093</v>
      </c>
      <c r="G113" s="2">
        <v>109520.09664930066</v>
      </c>
      <c r="H113" s="2">
        <v>1054232.0874496347</v>
      </c>
      <c r="I113" s="2">
        <v>247583.78774227863</v>
      </c>
      <c r="J113" s="2">
        <v>1682776.7567440718</v>
      </c>
      <c r="K113" s="2">
        <v>2795459.7157340636</v>
      </c>
      <c r="L113" s="2">
        <v>306933.3612736772</v>
      </c>
      <c r="M113" s="2">
        <v>1125422.8963599741</v>
      </c>
      <c r="N113" s="2">
        <v>316621.76745789917</v>
      </c>
      <c r="O113" s="2">
        <v>229512.38337626995</v>
      </c>
      <c r="P113" s="2">
        <v>1877110.0021445809</v>
      </c>
      <c r="Q113" s="2">
        <v>679408.43586056074</v>
      </c>
      <c r="R113" s="2">
        <v>1168331.30911791</v>
      </c>
      <c r="S113" s="2">
        <v>450598.56527802115</v>
      </c>
      <c r="T113" s="2">
        <v>-492012.75496173277</v>
      </c>
      <c r="U113" s="23">
        <v>15744441.743806094</v>
      </c>
    </row>
    <row r="114" spans="1:23" x14ac:dyDescent="0.25">
      <c r="A114" s="95"/>
      <c r="B114" s="100"/>
      <c r="C114" s="19" t="s">
        <v>29</v>
      </c>
      <c r="D114" s="2">
        <v>2446051.4701004624</v>
      </c>
      <c r="E114" s="2">
        <v>329334.08752564451</v>
      </c>
      <c r="F114" s="2">
        <v>1693661.8936591048</v>
      </c>
      <c r="G114" s="2">
        <v>122486.97528169345</v>
      </c>
      <c r="H114" s="2">
        <v>1069083.378707326</v>
      </c>
      <c r="I114" s="2">
        <v>252054.18266528859</v>
      </c>
      <c r="J114" s="2">
        <v>1700904.789437748</v>
      </c>
      <c r="K114" s="2">
        <v>2831461.3563397229</v>
      </c>
      <c r="L114" s="2">
        <v>319271.01610136271</v>
      </c>
      <c r="M114" s="2">
        <v>1143252.7085950903</v>
      </c>
      <c r="N114" s="2">
        <v>327649.96338913788</v>
      </c>
      <c r="O114" s="2">
        <v>230004.10662275326</v>
      </c>
      <c r="P114" s="2">
        <v>1896239.8632956194</v>
      </c>
      <c r="Q114" s="2">
        <v>683051.46636648895</v>
      </c>
      <c r="R114" s="2">
        <v>1207764.4468698502</v>
      </c>
      <c r="S114" s="2">
        <v>447533.53487341024</v>
      </c>
      <c r="T114" s="2">
        <v>-531912.5824042696</v>
      </c>
      <c r="U114" s="23">
        <v>16047391.868354961</v>
      </c>
    </row>
    <row r="115" spans="1:23" x14ac:dyDescent="0.25">
      <c r="A115" s="95"/>
      <c r="B115" s="100"/>
      <c r="C115" s="19" t="s">
        <v>30</v>
      </c>
      <c r="D115" s="2">
        <v>2459492.01056568</v>
      </c>
      <c r="E115" s="2">
        <v>339893.74682954483</v>
      </c>
      <c r="F115" s="2">
        <v>1711312.6970128259</v>
      </c>
      <c r="G115" s="2">
        <v>135869.47462279908</v>
      </c>
      <c r="H115" s="2">
        <v>1084025.3024741421</v>
      </c>
      <c r="I115" s="2">
        <v>252538.9941459159</v>
      </c>
      <c r="J115" s="2">
        <v>1713779.270946672</v>
      </c>
      <c r="K115" s="2">
        <v>2835187.8708158922</v>
      </c>
      <c r="L115" s="2">
        <v>320384.49121970963</v>
      </c>
      <c r="M115" s="2">
        <v>1168743.6155628245</v>
      </c>
      <c r="N115" s="2">
        <v>340370.73156401364</v>
      </c>
      <c r="O115" s="2">
        <v>233335.71277107939</v>
      </c>
      <c r="P115" s="2">
        <v>1914451.5062556539</v>
      </c>
      <c r="Q115" s="2">
        <v>686127.0412328986</v>
      </c>
      <c r="R115" s="2">
        <v>1225543.0630848932</v>
      </c>
      <c r="S115" s="2">
        <v>439511.24868676928</v>
      </c>
      <c r="T115" s="2">
        <v>-504308.26223367831</v>
      </c>
      <c r="U115" s="23">
        <v>16216820.892815839</v>
      </c>
    </row>
    <row r="116" spans="1:23" x14ac:dyDescent="0.25">
      <c r="A116" s="95"/>
      <c r="B116" s="101"/>
      <c r="C116" s="52" t="s">
        <v>31</v>
      </c>
      <c r="D116" s="20">
        <v>2454573.3568399921</v>
      </c>
      <c r="E116" s="20">
        <v>344664.76370383467</v>
      </c>
      <c r="F116" s="20">
        <v>1712383.5901747067</v>
      </c>
      <c r="G116" s="20">
        <v>156996.6517741596</v>
      </c>
      <c r="H116" s="20">
        <v>1094594.3427531158</v>
      </c>
      <c r="I116" s="20">
        <v>254257.99787249212</v>
      </c>
      <c r="J116" s="20">
        <v>1714690.7200622158</v>
      </c>
      <c r="K116" s="20">
        <v>2805996.7131389794</v>
      </c>
      <c r="L116" s="20">
        <v>328058.53114424116</v>
      </c>
      <c r="M116" s="20">
        <v>1208860.1622500634</v>
      </c>
      <c r="N116" s="20">
        <v>365879.1694873732</v>
      </c>
      <c r="O116" s="20">
        <v>233334.32691147071</v>
      </c>
      <c r="P116" s="20">
        <v>1934597.9094387053</v>
      </c>
      <c r="Q116" s="20">
        <v>691048.4883079112</v>
      </c>
      <c r="R116" s="20">
        <v>1261019.3953091835</v>
      </c>
      <c r="S116" s="20">
        <v>424832.19489164813</v>
      </c>
      <c r="T116" s="20">
        <v>-432329.65923664207</v>
      </c>
      <c r="U116" s="24">
        <v>16344392.272967907</v>
      </c>
    </row>
    <row r="117" spans="1:23" s="7" customFormat="1" ht="17.45" customHeight="1" x14ac:dyDescent="0.2">
      <c r="A117" s="95"/>
      <c r="B117" s="60"/>
      <c r="C117" s="53" t="s">
        <v>51</v>
      </c>
      <c r="D117" s="42">
        <v>10080094.74549713</v>
      </c>
      <c r="E117" s="42">
        <v>1378943.720913982</v>
      </c>
      <c r="F117" s="42">
        <v>6604505.2599451719</v>
      </c>
      <c r="G117" s="42">
        <v>687342.06253938156</v>
      </c>
      <c r="H117" s="42">
        <v>4600558.8378294837</v>
      </c>
      <c r="I117" s="42">
        <v>1022657.6713336939</v>
      </c>
      <c r="J117" s="42">
        <v>6989970.5156242512</v>
      </c>
      <c r="K117" s="42">
        <v>11368813.213599889</v>
      </c>
      <c r="L117" s="42">
        <v>1348767.255327215</v>
      </c>
      <c r="M117" s="42">
        <v>5019433.0196189471</v>
      </c>
      <c r="N117" s="42">
        <v>1918920.150570363</v>
      </c>
      <c r="O117" s="42">
        <v>975460.7504170516</v>
      </c>
      <c r="P117" s="42">
        <v>7967055.3802758139</v>
      </c>
      <c r="Q117" s="42">
        <v>2813861.0011132266</v>
      </c>
      <c r="R117" s="42">
        <v>5102196.6149404813</v>
      </c>
      <c r="S117" s="42">
        <v>1580448.8178587235</v>
      </c>
      <c r="T117" s="42">
        <v>-1354641.5913547724</v>
      </c>
      <c r="U117" s="43">
        <v>66607231.016602814</v>
      </c>
      <c r="V117" s="15"/>
      <c r="W117" s="15"/>
    </row>
    <row r="118" spans="1:23" x14ac:dyDescent="0.25">
      <c r="A118" s="95"/>
      <c r="B118" s="100">
        <v>2025</v>
      </c>
      <c r="C118" s="19" t="s">
        <v>28</v>
      </c>
      <c r="D118" s="2">
        <v>2480263.9224599572</v>
      </c>
      <c r="E118" s="2">
        <v>346740.63517922699</v>
      </c>
      <c r="F118" s="2">
        <v>1695168.1173058646</v>
      </c>
      <c r="G118" s="2">
        <v>170433.22673205257</v>
      </c>
      <c r="H118" s="2">
        <v>1109258.4350738614</v>
      </c>
      <c r="I118" s="2">
        <v>254369.12652122404</v>
      </c>
      <c r="J118" s="2">
        <v>1732793.9621654518</v>
      </c>
      <c r="K118" s="2">
        <v>2822280.0633768579</v>
      </c>
      <c r="L118" s="2">
        <v>325981.8000002426</v>
      </c>
      <c r="M118" s="2">
        <v>1231029.432878986</v>
      </c>
      <c r="N118" s="2">
        <v>398730.6599227945</v>
      </c>
      <c r="O118" s="2">
        <v>237236.68858969826</v>
      </c>
      <c r="P118" s="2">
        <v>1987283.0032363469</v>
      </c>
      <c r="Q118" s="2">
        <v>695883.54592720175</v>
      </c>
      <c r="R118" s="2">
        <v>1267030.3699461289</v>
      </c>
      <c r="S118" s="2">
        <v>422382.21454274765</v>
      </c>
      <c r="T118" s="2">
        <v>-391722.11435504007</v>
      </c>
      <c r="U118" s="23">
        <v>16514209.15222371</v>
      </c>
    </row>
    <row r="119" spans="1:23" x14ac:dyDescent="0.25">
      <c r="A119" s="95"/>
      <c r="B119" s="100"/>
      <c r="C119" s="19" t="s">
        <v>29</v>
      </c>
      <c r="D119" s="2">
        <v>2520274.4644137849</v>
      </c>
      <c r="E119" s="2">
        <v>346659.06990595377</v>
      </c>
      <c r="F119" s="2">
        <v>1658637.6475349618</v>
      </c>
      <c r="G119" s="2">
        <v>172904.28016529221</v>
      </c>
      <c r="H119" s="2">
        <v>1125990.7832439719</v>
      </c>
      <c r="I119" s="2">
        <v>255787.15522963624</v>
      </c>
      <c r="J119" s="2">
        <v>1738777.3724258051</v>
      </c>
      <c r="K119" s="2">
        <v>2830033.6488001747</v>
      </c>
      <c r="L119" s="2">
        <v>336286.62660082662</v>
      </c>
      <c r="M119" s="2">
        <v>1242103.0771872888</v>
      </c>
      <c r="N119" s="2">
        <v>457562.37572732678</v>
      </c>
      <c r="O119" s="2">
        <v>240876.22217021207</v>
      </c>
      <c r="P119" s="2">
        <v>1967902.9941994338</v>
      </c>
      <c r="Q119" s="2">
        <v>700121.31268241501</v>
      </c>
      <c r="R119" s="2">
        <v>1269931.2400108215</v>
      </c>
      <c r="S119" s="2">
        <v>398859.43938931299</v>
      </c>
      <c r="T119" s="2">
        <v>-356060.67006105167</v>
      </c>
      <c r="U119" s="23">
        <v>16585297.893583853</v>
      </c>
    </row>
    <row r="120" spans="1:23" x14ac:dyDescent="0.25">
      <c r="A120" s="95"/>
      <c r="B120" s="100"/>
      <c r="C120" s="19" t="s">
        <v>30</v>
      </c>
      <c r="D120" s="2">
        <v>2534945.1677472144</v>
      </c>
      <c r="E120" s="2">
        <v>339997.26390359458</v>
      </c>
      <c r="F120" s="2">
        <v>1627864.1698524118</v>
      </c>
      <c r="G120" s="2">
        <v>173844.16968383329</v>
      </c>
      <c r="H120" s="2">
        <v>1155833.7664738153</v>
      </c>
      <c r="I120" s="2">
        <v>255773.96527648836</v>
      </c>
      <c r="J120" s="2">
        <v>1753718.2418244323</v>
      </c>
      <c r="K120" s="2">
        <v>2844244.6037826068</v>
      </c>
      <c r="L120" s="2">
        <v>336020.65056821337</v>
      </c>
      <c r="M120" s="2">
        <v>1260654.7069855249</v>
      </c>
      <c r="N120" s="2">
        <v>511898.66903996619</v>
      </c>
      <c r="O120" s="2">
        <v>246367.1273963314</v>
      </c>
      <c r="P120" s="2">
        <v>1994379.9931172212</v>
      </c>
      <c r="Q120" s="2">
        <v>705714.81487094541</v>
      </c>
      <c r="R120" s="2">
        <v>1280035.347020912</v>
      </c>
      <c r="S120" s="2">
        <v>375165.85128543858</v>
      </c>
      <c r="T120" s="2">
        <v>-330446.85675736493</v>
      </c>
      <c r="U120" s="23">
        <v>16651174.376034658</v>
      </c>
    </row>
    <row r="121" spans="1:23" x14ac:dyDescent="0.25">
      <c r="A121" s="95"/>
      <c r="B121" s="101"/>
      <c r="C121" s="52" t="s">
        <v>31</v>
      </c>
      <c r="D121" s="20">
        <v>2544611.1908761733</v>
      </c>
      <c r="E121" s="20">
        <v>345546.75192520674</v>
      </c>
      <c r="F121" s="20">
        <v>1622835.3252519344</v>
      </c>
      <c r="G121" s="20">
        <v>170160.38595820349</v>
      </c>
      <c r="H121" s="20">
        <v>1209475.8530378356</v>
      </c>
      <c r="I121" s="20">
        <v>256727.42430634523</v>
      </c>
      <c r="J121" s="20">
        <v>1764680.9392085616</v>
      </c>
      <c r="K121" s="20">
        <v>2872254.8976402492</v>
      </c>
      <c r="L121" s="20">
        <v>350478.17815793247</v>
      </c>
      <c r="M121" s="20">
        <v>1285645.8025671474</v>
      </c>
      <c r="N121" s="20">
        <v>550728.44588027545</v>
      </c>
      <c r="O121" s="20">
        <v>250980.7122608099</v>
      </c>
      <c r="P121" s="20">
        <v>2017489.3897228115</v>
      </c>
      <c r="Q121" s="20">
        <v>712141.32763266482</v>
      </c>
      <c r="R121" s="20">
        <v>1285199.6579626186</v>
      </c>
      <c r="S121" s="20">
        <v>384041.31264122436</v>
      </c>
      <c r="T121" s="20">
        <v>-276411.95018131571</v>
      </c>
      <c r="U121" s="24">
        <v>16856549.594760593</v>
      </c>
    </row>
    <row r="122" spans="1:23" s="7" customFormat="1" ht="17.45" customHeight="1" x14ac:dyDescent="0.2">
      <c r="A122" s="95"/>
      <c r="B122" s="60"/>
      <c r="C122" s="53" t="s">
        <v>51</v>
      </c>
      <c r="D122" s="42">
        <f>+D123</f>
        <v>2554700.5119854179</v>
      </c>
      <c r="E122" s="42">
        <f t="shared" ref="E122:U122" si="0">+E123</f>
        <v>353486.84329718369</v>
      </c>
      <c r="F122" s="42">
        <f t="shared" si="0"/>
        <v>1621990.2628751029</v>
      </c>
      <c r="G122" s="42">
        <f t="shared" si="0"/>
        <v>171902.86116390891</v>
      </c>
      <c r="H122" s="42">
        <f t="shared" si="0"/>
        <v>1229432.81273649</v>
      </c>
      <c r="I122" s="42">
        <f t="shared" si="0"/>
        <v>262240.97722708841</v>
      </c>
      <c r="J122" s="42">
        <f t="shared" si="0"/>
        <v>1771071.9763899387</v>
      </c>
      <c r="K122" s="42">
        <f t="shared" si="0"/>
        <v>2887091.1006681221</v>
      </c>
      <c r="L122" s="42">
        <f t="shared" si="0"/>
        <v>348083.70080941753</v>
      </c>
      <c r="M122" s="42">
        <f t="shared" si="0"/>
        <v>1359838.1121484237</v>
      </c>
      <c r="N122" s="42">
        <f t="shared" si="0"/>
        <v>579859.29834924394</v>
      </c>
      <c r="O122" s="42">
        <f t="shared" si="0"/>
        <v>255199.95094781002</v>
      </c>
      <c r="P122" s="42">
        <f t="shared" si="0"/>
        <v>2033290.3979270048</v>
      </c>
      <c r="Q122" s="42">
        <f t="shared" si="0"/>
        <v>718565.63160315179</v>
      </c>
      <c r="R122" s="42">
        <f t="shared" si="0"/>
        <v>1288301.4731592734</v>
      </c>
      <c r="S122" s="42">
        <f t="shared" si="0"/>
        <v>369955.88884131733</v>
      </c>
      <c r="T122" s="42">
        <f t="shared" si="0"/>
        <v>-238810.82517727802</v>
      </c>
      <c r="U122" s="42">
        <f t="shared" si="0"/>
        <v>17073504.129132606</v>
      </c>
      <c r="V122" s="15"/>
      <c r="W122" s="15"/>
    </row>
    <row r="123" spans="1:23" x14ac:dyDescent="0.25">
      <c r="A123" s="95"/>
      <c r="B123" s="100">
        <v>2026</v>
      </c>
      <c r="C123" s="19" t="s">
        <v>28</v>
      </c>
      <c r="D123" s="2">
        <v>2554700.5119854179</v>
      </c>
      <c r="E123" s="2">
        <v>353486.84329718369</v>
      </c>
      <c r="F123" s="2">
        <v>1621990.2628751029</v>
      </c>
      <c r="G123" s="2">
        <v>171902.86116390891</v>
      </c>
      <c r="H123" s="2">
        <v>1229432.81273649</v>
      </c>
      <c r="I123" s="2">
        <v>262240.97722708841</v>
      </c>
      <c r="J123" s="2">
        <v>1771071.9763899387</v>
      </c>
      <c r="K123" s="2">
        <v>2887091.1006681221</v>
      </c>
      <c r="L123" s="2">
        <v>348083.70080941753</v>
      </c>
      <c r="M123" s="2">
        <v>1359838.1121484237</v>
      </c>
      <c r="N123" s="2">
        <v>579859.29834924394</v>
      </c>
      <c r="O123" s="2">
        <v>255199.95094781002</v>
      </c>
      <c r="P123" s="2">
        <v>2033290.3979270048</v>
      </c>
      <c r="Q123" s="2">
        <v>718565.63160315179</v>
      </c>
      <c r="R123" s="2">
        <v>1288301.4731592734</v>
      </c>
      <c r="S123" s="2">
        <v>369955.88884131733</v>
      </c>
      <c r="T123" s="2">
        <v>-238810.82517727802</v>
      </c>
      <c r="U123" s="23">
        <v>17073504.129132606</v>
      </c>
    </row>
    <row r="124" spans="1:23" x14ac:dyDescent="0.25">
      <c r="A124" s="95"/>
      <c r="B124" s="100"/>
      <c r="C124" s="19" t="s">
        <v>29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3"/>
    </row>
    <row r="125" spans="1:23" x14ac:dyDescent="0.25">
      <c r="A125" s="95"/>
      <c r="B125" s="100"/>
      <c r="C125" s="19" t="s">
        <v>30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3" x14ac:dyDescent="0.25">
      <c r="A126" s="95"/>
      <c r="B126" s="101"/>
      <c r="C126" s="52" t="s">
        <v>31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</row>
  </sheetData>
  <mergeCells count="28">
    <mergeCell ref="B123:B126"/>
    <mergeCell ref="A1:A126"/>
    <mergeCell ref="C1:U1"/>
    <mergeCell ref="B2:C2"/>
    <mergeCell ref="B3:B6"/>
    <mergeCell ref="B8:B11"/>
    <mergeCell ref="B13:B16"/>
    <mergeCell ref="B18:B21"/>
    <mergeCell ref="B23:B26"/>
    <mergeCell ref="B28:B31"/>
    <mergeCell ref="B33:B36"/>
    <mergeCell ref="B38:B41"/>
    <mergeCell ref="B43:B46"/>
    <mergeCell ref="B48:B51"/>
    <mergeCell ref="B53:B56"/>
    <mergeCell ref="B58:B61"/>
    <mergeCell ref="B63:B66"/>
    <mergeCell ref="B68:B71"/>
    <mergeCell ref="B73:B76"/>
    <mergeCell ref="B78:B81"/>
    <mergeCell ref="B83:B86"/>
    <mergeCell ref="B88:B91"/>
    <mergeCell ref="B118:B121"/>
    <mergeCell ref="B93:B96"/>
    <mergeCell ref="B98:B101"/>
    <mergeCell ref="B103:B106"/>
    <mergeCell ref="B108:B111"/>
    <mergeCell ref="B113:B1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127"/>
  <sheetViews>
    <sheetView showGridLines="0" zoomScaleNormal="100" workbookViewId="0">
      <pane xSplit="3" ySplit="2" topLeftCell="D105" activePane="bottomRight" state="frozen"/>
      <selection activeCell="A2" sqref="A2:B98"/>
      <selection pane="topRight" activeCell="A2" sqref="A2:B98"/>
      <selection pane="bottomLeft" activeCell="A2" sqref="A2:B98"/>
      <selection pane="bottomRight" activeCell="C1" sqref="C1:U1"/>
    </sheetView>
  </sheetViews>
  <sheetFormatPr defaultRowHeight="15.75" x14ac:dyDescent="0.25"/>
  <cols>
    <col min="2" max="3" width="7.375" style="18" customWidth="1"/>
    <col min="4" max="4" width="14.125" customWidth="1"/>
  </cols>
  <sheetData>
    <row r="1" spans="1:23" x14ac:dyDescent="0.25">
      <c r="A1" s="95"/>
      <c r="C1" s="102" t="s">
        <v>38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99">
        <v>2002</v>
      </c>
      <c r="C3" s="61" t="s">
        <v>28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2">
        <v>0</v>
      </c>
    </row>
    <row r="4" spans="1:23" x14ac:dyDescent="0.25">
      <c r="A4" s="95"/>
      <c r="B4" s="100"/>
      <c r="C4" s="19" t="s">
        <v>29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3">
        <v>0</v>
      </c>
    </row>
    <row r="5" spans="1:23" x14ac:dyDescent="0.25">
      <c r="A5" s="95"/>
      <c r="B5" s="100"/>
      <c r="C5" s="19" t="s">
        <v>30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3">
        <v>0</v>
      </c>
    </row>
    <row r="6" spans="1:23" x14ac:dyDescent="0.25">
      <c r="A6" s="95"/>
      <c r="B6" s="101"/>
      <c r="C6" s="52" t="s">
        <v>31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4">
        <v>0</v>
      </c>
    </row>
    <row r="7" spans="1:23" x14ac:dyDescent="0.25">
      <c r="A7" s="95"/>
      <c r="B7" s="51"/>
      <c r="C7" s="1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3"/>
    </row>
    <row r="8" spans="1:23" x14ac:dyDescent="0.25">
      <c r="A8" s="95"/>
      <c r="B8" s="99">
        <v>2003</v>
      </c>
      <c r="C8" s="61" t="s">
        <v>28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2">
        <v>0</v>
      </c>
    </row>
    <row r="9" spans="1:23" x14ac:dyDescent="0.25">
      <c r="A9" s="95"/>
      <c r="B9" s="100"/>
      <c r="C9" s="19" t="s">
        <v>29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3">
        <v>0</v>
      </c>
    </row>
    <row r="10" spans="1:23" x14ac:dyDescent="0.25">
      <c r="A10" s="95"/>
      <c r="B10" s="100"/>
      <c r="C10" s="19" t="s">
        <v>30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3">
        <v>0</v>
      </c>
    </row>
    <row r="11" spans="1:23" x14ac:dyDescent="0.25">
      <c r="A11" s="95"/>
      <c r="B11" s="101"/>
      <c r="C11" s="52" t="s">
        <v>31</v>
      </c>
      <c r="D11" s="20">
        <f>+IFERROR('Q10'!D11/'Q10'!D6*100-100,0)</f>
        <v>8.3983943389876146</v>
      </c>
      <c r="E11" s="20">
        <f>+IFERROR('Q10'!E11/'Q10'!E6*100-100,0)</f>
        <v>7.5785256720993743</v>
      </c>
      <c r="F11" s="20">
        <f>+IFERROR('Q10'!F11/'Q10'!F6*100-100,0)</f>
        <v>-3.8749524772044452</v>
      </c>
      <c r="G11" s="20">
        <f>+IFERROR('Q10'!G11/'Q10'!G6*100-100,0)</f>
        <v>19.806284674996107</v>
      </c>
      <c r="H11" s="20">
        <f>+IFERROR('Q10'!H11/'Q10'!H6*100-100,0)</f>
        <v>6.2291452826921585</v>
      </c>
      <c r="I11" s="20">
        <f>+IFERROR('Q10'!I11/'Q10'!I6*100-100,0)</f>
        <v>12.035862993712726</v>
      </c>
      <c r="J11" s="20">
        <f>+IFERROR('Q10'!J11/'Q10'!J6*100-100,0)</f>
        <v>16.418557900225949</v>
      </c>
      <c r="K11" s="20">
        <f>+IFERROR('Q10'!K11/'Q10'!K6*100-100,0)</f>
        <v>6.3049019587802206</v>
      </c>
      <c r="L11" s="20">
        <f>+IFERROR('Q10'!L11/'Q10'!L6*100-100,0)</f>
        <v>12.58360186502172</v>
      </c>
      <c r="M11" s="20">
        <f>+IFERROR('Q10'!M11/'Q10'!M6*100-100,0)</f>
        <v>0.90967306744079224</v>
      </c>
      <c r="N11" s="20">
        <f>+IFERROR('Q10'!N11/'Q10'!N6*100-100,0)</f>
        <v>4.7738001016516307</v>
      </c>
      <c r="O11" s="20">
        <f>+IFERROR('Q10'!O11/'Q10'!O6*100-100,0)</f>
        <v>6.0331707128020327</v>
      </c>
      <c r="P11" s="20">
        <f>+IFERROR('Q10'!P11/'Q10'!P6*100-100,0)</f>
        <v>7.5874450487426657</v>
      </c>
      <c r="Q11" s="20">
        <f>+IFERROR('Q10'!Q11/'Q10'!Q6*100-100,0)</f>
        <v>3.0573830513807536</v>
      </c>
      <c r="R11" s="20">
        <f>+IFERROR('Q10'!R11/'Q10'!R6*100-100,0)</f>
        <v>2.4987107993508175</v>
      </c>
      <c r="S11" s="20">
        <f>+IFERROR('Q10'!S11/'Q10'!S6*100-100,0)</f>
        <v>13.911839578402052</v>
      </c>
      <c r="T11" s="20">
        <f>+IFERROR('Q10'!T11/'Q10'!T6*100-100,0)</f>
        <v>-6.5346418287594616</v>
      </c>
      <c r="U11" s="20">
        <f>+IFERROR('Q10'!U11/'Q10'!U6*100-100,0)</f>
        <v>3.4873124009751706</v>
      </c>
    </row>
    <row r="12" spans="1:23" x14ac:dyDescent="0.25">
      <c r="A12" s="95"/>
      <c r="B12" s="58"/>
      <c r="C12" s="16" t="s">
        <v>51</v>
      </c>
      <c r="D12" s="26">
        <f>+IFERROR('Q10'!D12/'Q10'!D7*100-100,0)</f>
        <v>9.7953635733747433</v>
      </c>
      <c r="E12" s="26">
        <f>+IFERROR('Q10'!E12/'Q10'!E7*100-100,0)</f>
        <v>7.7427119316417787</v>
      </c>
      <c r="F12" s="26">
        <f>+IFERROR('Q10'!F12/'Q10'!F7*100-100,0)</f>
        <v>6.9115070321277017</v>
      </c>
      <c r="G12" s="26">
        <f>+IFERROR('Q10'!G12/'Q10'!G7*100-100,0)</f>
        <v>15.068537252959317</v>
      </c>
      <c r="H12" s="26">
        <f>+IFERROR('Q10'!H12/'Q10'!H7*100-100,0)</f>
        <v>15.118711858938184</v>
      </c>
      <c r="I12" s="26">
        <f>+IFERROR('Q10'!I12/'Q10'!I7*100-100,0)</f>
        <v>9.4625751238993132</v>
      </c>
      <c r="J12" s="26">
        <f>+IFERROR('Q10'!J12/'Q10'!J7*100-100,0)</f>
        <v>22.775140566326129</v>
      </c>
      <c r="K12" s="26">
        <f>+IFERROR('Q10'!K12/'Q10'!K7*100-100,0)</f>
        <v>7.0144846416461633</v>
      </c>
      <c r="L12" s="26">
        <f>+IFERROR('Q10'!L12/'Q10'!L7*100-100,0)</f>
        <v>17.929288131473015</v>
      </c>
      <c r="M12" s="26">
        <f>+IFERROR('Q10'!M12/'Q10'!M7*100-100,0)</f>
        <v>4.412776188867241</v>
      </c>
      <c r="N12" s="26">
        <f>+IFERROR('Q10'!N12/'Q10'!N7*100-100,0)</f>
        <v>3.5947256040903994</v>
      </c>
      <c r="O12" s="26">
        <f>+IFERROR('Q10'!O12/'Q10'!O7*100-100,0)</f>
        <v>6.637037798953088</v>
      </c>
      <c r="P12" s="26">
        <f>+IFERROR('Q10'!P12/'Q10'!P7*100-100,0)</f>
        <v>9.4584278352549944</v>
      </c>
      <c r="Q12" s="26">
        <f>+IFERROR('Q10'!Q12/'Q10'!Q7*100-100,0)</f>
        <v>8.0808898090342467</v>
      </c>
      <c r="R12" s="26">
        <f>+IFERROR('Q10'!R12/'Q10'!R7*100-100,0)</f>
        <v>10.205485057840519</v>
      </c>
      <c r="S12" s="26">
        <f>+IFERROR('Q10'!S12/'Q10'!S7*100-100,0)</f>
        <v>6.196497565650688</v>
      </c>
      <c r="T12" s="26">
        <f>+IFERROR('Q10'!T12/'Q10'!T7*100-100,0)</f>
        <v>36.826577032301088</v>
      </c>
      <c r="U12" s="26">
        <f>+IFERROR('Q10'!U12/'Q10'!U7*100-100,0)</f>
        <v>7.5885257553974412</v>
      </c>
    </row>
    <row r="13" spans="1:23" x14ac:dyDescent="0.25">
      <c r="A13" s="95"/>
      <c r="B13" s="99">
        <v>2004</v>
      </c>
      <c r="C13" s="61" t="s">
        <v>28</v>
      </c>
      <c r="D13" s="21">
        <f>+IFERROR('Q10'!D13/'Q10'!D8*100-100,0)</f>
        <v>9.5466149980599084</v>
      </c>
      <c r="E13" s="21">
        <f>+IFERROR('Q10'!E13/'Q10'!E8*100-100,0)</f>
        <v>8.3190354528946955</v>
      </c>
      <c r="F13" s="21">
        <f>+IFERROR('Q10'!F13/'Q10'!F8*100-100,0)</f>
        <v>0.26036482220423807</v>
      </c>
      <c r="G13" s="21">
        <f>+IFERROR('Q10'!G13/'Q10'!G8*100-100,0)</f>
        <v>25.80806169660768</v>
      </c>
      <c r="H13" s="21">
        <f>+IFERROR('Q10'!H13/'Q10'!H8*100-100,0)</f>
        <v>9.4350280052975819</v>
      </c>
      <c r="I13" s="21">
        <f>+IFERROR('Q10'!I13/'Q10'!I8*100-100,0)</f>
        <v>6.1080698735456167</v>
      </c>
      <c r="J13" s="21">
        <f>+IFERROR('Q10'!J13/'Q10'!J8*100-100,0)</f>
        <v>20.128588010620916</v>
      </c>
      <c r="K13" s="21">
        <f>+IFERROR('Q10'!K13/'Q10'!K8*100-100,0)</f>
        <v>8.5673702760290951</v>
      </c>
      <c r="L13" s="21">
        <f>+IFERROR('Q10'!L13/'Q10'!L8*100-100,0)</f>
        <v>14.286004174790378</v>
      </c>
      <c r="M13" s="21">
        <f>+IFERROR('Q10'!M13/'Q10'!M8*100-100,0)</f>
        <v>1.9493668009505427</v>
      </c>
      <c r="N13" s="21">
        <f>+IFERROR('Q10'!N13/'Q10'!N8*100-100,0)</f>
        <v>4.1510476719102627</v>
      </c>
      <c r="O13" s="21">
        <f>+IFERROR('Q10'!O13/'Q10'!O8*100-100,0)</f>
        <v>10.971490810023241</v>
      </c>
      <c r="P13" s="21">
        <f>+IFERROR('Q10'!P13/'Q10'!P8*100-100,0)</f>
        <v>9.1896870361588157</v>
      </c>
      <c r="Q13" s="21">
        <f>+IFERROR('Q10'!Q13/'Q10'!Q8*100-100,0)</f>
        <v>10.245673480423733</v>
      </c>
      <c r="R13" s="21">
        <f>+IFERROR('Q10'!R13/'Q10'!R8*100-100,0)</f>
        <v>6.8822342553882123</v>
      </c>
      <c r="S13" s="21">
        <f>+IFERROR('Q10'!S13/'Q10'!S8*100-100,0)</f>
        <v>10.161335867006073</v>
      </c>
      <c r="T13" s="21">
        <f>+IFERROR('Q10'!T13/'Q10'!T8*100-100,0)</f>
        <v>64.178661525655372</v>
      </c>
      <c r="U13" s="21">
        <f>+IFERROR('Q10'!U13/'Q10'!U8*100-100,0)</f>
        <v>3.4125373065545972</v>
      </c>
    </row>
    <row r="14" spans="1:23" x14ac:dyDescent="0.25">
      <c r="A14" s="95"/>
      <c r="B14" s="100"/>
      <c r="C14" s="19" t="s">
        <v>29</v>
      </c>
      <c r="D14" s="2">
        <f>+IFERROR('Q10'!D14/'Q10'!D9*100-100,0)</f>
        <v>10.004479489582494</v>
      </c>
      <c r="E14" s="2">
        <f>+IFERROR('Q10'!E14/'Q10'!E9*100-100,0)</f>
        <v>8.390909013143883</v>
      </c>
      <c r="F14" s="2">
        <f>+IFERROR('Q10'!F14/'Q10'!F9*100-100,0)</f>
        <v>4.6029750984091891</v>
      </c>
      <c r="G14" s="2">
        <f>+IFERROR('Q10'!G14/'Q10'!G9*100-100,0)</f>
        <v>20.140042192437164</v>
      </c>
      <c r="H14" s="2">
        <f>+IFERROR('Q10'!H14/'Q10'!H9*100-100,0)</f>
        <v>13.473852830787877</v>
      </c>
      <c r="I14" s="2">
        <f>+IFERROR('Q10'!I14/'Q10'!I9*100-100,0)</f>
        <v>4.9151976785414462</v>
      </c>
      <c r="J14" s="2">
        <f>+IFERROR('Q10'!J14/'Q10'!J9*100-100,0)</f>
        <v>22.648933075466786</v>
      </c>
      <c r="K14" s="2">
        <f>+IFERROR('Q10'!K14/'Q10'!K9*100-100,0)</f>
        <v>7.5406118611017519</v>
      </c>
      <c r="L14" s="2">
        <f>+IFERROR('Q10'!L14/'Q10'!L9*100-100,0)</f>
        <v>17.762925306465348</v>
      </c>
      <c r="M14" s="2">
        <f>+IFERROR('Q10'!M14/'Q10'!M9*100-100,0)</f>
        <v>3.3820370490914513</v>
      </c>
      <c r="N14" s="2">
        <f>+IFERROR('Q10'!N14/'Q10'!N9*100-100,0)</f>
        <v>3.3867483937791008</v>
      </c>
      <c r="O14" s="2">
        <f>+IFERROR('Q10'!O14/'Q10'!O9*100-100,0)</f>
        <v>8.1059593317859537</v>
      </c>
      <c r="P14" s="2">
        <f>+IFERROR('Q10'!P14/'Q10'!P9*100-100,0)</f>
        <v>8.4924552810436467</v>
      </c>
      <c r="Q14" s="2">
        <f>+IFERROR('Q10'!Q14/'Q10'!Q9*100-100,0)</f>
        <v>12.842428586622702</v>
      </c>
      <c r="R14" s="2">
        <f>+IFERROR('Q10'!R14/'Q10'!R9*100-100,0)</f>
        <v>9.7513909842594728</v>
      </c>
      <c r="S14" s="2">
        <f>+IFERROR('Q10'!S14/'Q10'!S9*100-100,0)</f>
        <v>8.4602539801053496</v>
      </c>
      <c r="T14" s="2">
        <f>+IFERROR('Q10'!T14/'Q10'!T9*100-100,0)</f>
        <v>42.568720936057787</v>
      </c>
      <c r="U14" s="2">
        <f>+IFERROR('Q10'!U14/'Q10'!U9*100-100,0)</f>
        <v>6.6380287374362439</v>
      </c>
    </row>
    <row r="15" spans="1:23" x14ac:dyDescent="0.25">
      <c r="A15" s="95"/>
      <c r="B15" s="100"/>
      <c r="C15" s="19" t="s">
        <v>30</v>
      </c>
      <c r="D15" s="2">
        <f>+IFERROR('Q10'!D15/'Q10'!D10*100-100,0)</f>
        <v>9.9293425411162559</v>
      </c>
      <c r="E15" s="2">
        <f>+IFERROR('Q10'!E15/'Q10'!E10*100-100,0)</f>
        <v>7.9413132201685812</v>
      </c>
      <c r="F15" s="2">
        <f>+IFERROR('Q10'!F15/'Q10'!F10*100-100,0)</f>
        <v>9.2484425319154866</v>
      </c>
      <c r="G15" s="2">
        <f>+IFERROR('Q10'!G15/'Q10'!G10*100-100,0)</f>
        <v>8.9799081113900172</v>
      </c>
      <c r="H15" s="2">
        <f>+IFERROR('Q10'!H15/'Q10'!H10*100-100,0)</f>
        <v>17.406750333525451</v>
      </c>
      <c r="I15" s="2">
        <f>+IFERROR('Q10'!I15/'Q10'!I10*100-100,0)</f>
        <v>12.513758607507569</v>
      </c>
      <c r="J15" s="2">
        <f>+IFERROR('Q10'!J15/'Q10'!J10*100-100,0)</f>
        <v>24.124455043921884</v>
      </c>
      <c r="K15" s="2">
        <f>+IFERROR('Q10'!K15/'Q10'!K10*100-100,0)</f>
        <v>5.8138956069650618</v>
      </c>
      <c r="L15" s="2">
        <f>+IFERROR('Q10'!L15/'Q10'!L10*100-100,0)</f>
        <v>20.300996928728281</v>
      </c>
      <c r="M15" s="2">
        <f>+IFERROR('Q10'!M15/'Q10'!M10*100-100,0)</f>
        <v>5.2416893742900754</v>
      </c>
      <c r="N15" s="2">
        <f>+IFERROR('Q10'!N15/'Q10'!N10*100-100,0)</f>
        <v>3.2728684682726197</v>
      </c>
      <c r="O15" s="2">
        <f>+IFERROR('Q10'!O15/'Q10'!O10*100-100,0)</f>
        <v>4.4044199577386962</v>
      </c>
      <c r="P15" s="2">
        <f>+IFERROR('Q10'!P15/'Q10'!P10*100-100,0)</f>
        <v>10.101115795392857</v>
      </c>
      <c r="Q15" s="2">
        <f>+IFERROR('Q10'!Q15/'Q10'!Q10*100-100,0)</f>
        <v>7.218148035276954</v>
      </c>
      <c r="R15" s="2">
        <f>+IFERROR('Q10'!R15/'Q10'!R10*100-100,0)</f>
        <v>11.190123152420071</v>
      </c>
      <c r="S15" s="2">
        <f>+IFERROR('Q10'!S15/'Q10'!S10*100-100,0)</f>
        <v>2.3223809229987893</v>
      </c>
      <c r="T15" s="2">
        <f>+IFERROR('Q10'!T15/'Q10'!T10*100-100,0)</f>
        <v>26.193715344558825</v>
      </c>
      <c r="U15" s="2">
        <f>+IFERROR('Q10'!U15/'Q10'!U10*100-100,0)</f>
        <v>8.7409610573358663</v>
      </c>
    </row>
    <row r="16" spans="1:23" x14ac:dyDescent="0.25">
      <c r="A16" s="95"/>
      <c r="B16" s="101"/>
      <c r="C16" s="52" t="s">
        <v>31</v>
      </c>
      <c r="D16" s="20">
        <f>+IFERROR('Q10'!D16/'Q10'!D11*100-100,0)</f>
        <v>9.6942046749858548</v>
      </c>
      <c r="E16" s="20">
        <f>+IFERROR('Q10'!E16/'Q10'!E11*100-100,0)</f>
        <v>6.3857050147774856</v>
      </c>
      <c r="F16" s="20">
        <f>+IFERROR('Q10'!F16/'Q10'!F11*100-100,0)</f>
        <v>13.7555858740199</v>
      </c>
      <c r="G16" s="20">
        <f>+IFERROR('Q10'!G16/'Q10'!G11*100-100,0)</f>
        <v>7.4830692030236463</v>
      </c>
      <c r="H16" s="20">
        <f>+IFERROR('Q10'!H16/'Q10'!H11*100-100,0)</f>
        <v>19.858222216696461</v>
      </c>
      <c r="I16" s="20">
        <f>+IFERROR('Q10'!I16/'Q10'!I11*100-100,0)</f>
        <v>14.105669432185238</v>
      </c>
      <c r="J16" s="20">
        <f>+IFERROR('Q10'!J16/'Q10'!J11*100-100,0)</f>
        <v>23.939903472872757</v>
      </c>
      <c r="K16" s="20">
        <f>+IFERROR('Q10'!K16/'Q10'!K11*100-100,0)</f>
        <v>6.2160717001583805</v>
      </c>
      <c r="L16" s="20">
        <f>+IFERROR('Q10'!L16/'Q10'!L11*100-100,0)</f>
        <v>19.089565716242163</v>
      </c>
      <c r="M16" s="20">
        <f>+IFERROR('Q10'!M16/'Q10'!M11*100-100,0)</f>
        <v>7.0505503742361242</v>
      </c>
      <c r="N16" s="20">
        <f>+IFERROR('Q10'!N16/'Q10'!N11*100-100,0)</f>
        <v>3.5795998302872221</v>
      </c>
      <c r="O16" s="20">
        <f>+IFERROR('Q10'!O16/'Q10'!O11*100-100,0)</f>
        <v>3.3612219305298794</v>
      </c>
      <c r="P16" s="20">
        <f>+IFERROR('Q10'!P16/'Q10'!P11*100-100,0)</f>
        <v>10.013680659192033</v>
      </c>
      <c r="Q16" s="20">
        <f>+IFERROR('Q10'!Q16/'Q10'!Q11*100-100,0)</f>
        <v>2.256944289183167</v>
      </c>
      <c r="R16" s="20">
        <f>+IFERROR('Q10'!R16/'Q10'!R11*100-100,0)</f>
        <v>12.929761650426912</v>
      </c>
      <c r="S16" s="20">
        <f>+IFERROR('Q10'!S16/'Q10'!S11*100-100,0)</f>
        <v>4.2198252165835726</v>
      </c>
      <c r="T16" s="20">
        <f>+IFERROR('Q10'!T16/'Q10'!T11*100-100,0)</f>
        <v>11.618172537008718</v>
      </c>
      <c r="U16" s="20">
        <f>+IFERROR('Q10'!U16/'Q10'!U11*100-100,0)</f>
        <v>11.419863390458488</v>
      </c>
    </row>
    <row r="17" spans="1:21" x14ac:dyDescent="0.25">
      <c r="A17" s="95"/>
      <c r="B17" s="58"/>
      <c r="C17" s="16" t="s">
        <v>51</v>
      </c>
      <c r="D17" s="26">
        <f>+IFERROR('Q10'!D17/'Q10'!D12*100-100,0)</f>
        <v>5.4846302950095662</v>
      </c>
      <c r="E17" s="26">
        <f>+IFERROR('Q10'!E17/'Q10'!E12*100-100,0)</f>
        <v>3.9427988558085474</v>
      </c>
      <c r="F17" s="26">
        <f>+IFERROR('Q10'!F17/'Q10'!F12*100-100,0)</f>
        <v>21.831559684325441</v>
      </c>
      <c r="G17" s="26">
        <f>+IFERROR('Q10'!G17/'Q10'!G12*100-100,0)</f>
        <v>-7.17757262755282</v>
      </c>
      <c r="H17" s="26">
        <f>+IFERROR('Q10'!H17/'Q10'!H12*100-100,0)</f>
        <v>12.680568774179207</v>
      </c>
      <c r="I17" s="26">
        <f>+IFERROR('Q10'!I17/'Q10'!I12*100-100,0)</f>
        <v>11.711768091535887</v>
      </c>
      <c r="J17" s="26">
        <f>+IFERROR('Q10'!J17/'Q10'!J12*100-100,0)</f>
        <v>17.184519409018591</v>
      </c>
      <c r="K17" s="26">
        <f>+IFERROR('Q10'!K17/'Q10'!K12*100-100,0)</f>
        <v>7.9119487412487928</v>
      </c>
      <c r="L17" s="26">
        <f>+IFERROR('Q10'!L17/'Q10'!L12*100-100,0)</f>
        <v>4.3716784229215193</v>
      </c>
      <c r="M17" s="26">
        <f>+IFERROR('Q10'!M17/'Q10'!M12*100-100,0)</f>
        <v>9.3725118738157107</v>
      </c>
      <c r="N17" s="26">
        <f>+IFERROR('Q10'!N17/'Q10'!N12*100-100,0)</f>
        <v>-7.4198834702649634</v>
      </c>
      <c r="O17" s="26">
        <f>+IFERROR('Q10'!O17/'Q10'!O12*100-100,0)</f>
        <v>9.891560675149222</v>
      </c>
      <c r="P17" s="26">
        <f>+IFERROR('Q10'!P17/'Q10'!P12*100-100,0)</f>
        <v>11.101195442906658</v>
      </c>
      <c r="Q17" s="26">
        <f>+IFERROR('Q10'!Q17/'Q10'!Q12*100-100,0)</f>
        <v>-0.73932451200616356</v>
      </c>
      <c r="R17" s="26">
        <f>+IFERROR('Q10'!R17/'Q10'!R12*100-100,0)</f>
        <v>7.6197197813061592</v>
      </c>
      <c r="S17" s="26">
        <f>+IFERROR('Q10'!S17/'Q10'!S12*100-100,0)</f>
        <v>9.1511717153825742</v>
      </c>
      <c r="T17" s="26">
        <f>+IFERROR('Q10'!T17/'Q10'!T12*100-100,0)</f>
        <v>-74.925835932532721</v>
      </c>
      <c r="U17" s="26">
        <f>+IFERROR('Q10'!U17/'Q10'!U12*100-100,0)</f>
        <v>18.302547483969178</v>
      </c>
    </row>
    <row r="18" spans="1:21" x14ac:dyDescent="0.25">
      <c r="A18" s="95"/>
      <c r="B18" s="99">
        <v>2005</v>
      </c>
      <c r="C18" s="61" t="s">
        <v>28</v>
      </c>
      <c r="D18" s="21">
        <f>+IFERROR('Q10'!D18/'Q10'!D13*100-100,0)</f>
        <v>7.815984795851378</v>
      </c>
      <c r="E18" s="21">
        <f>+IFERROR('Q10'!E18/'Q10'!E13*100-100,0)</f>
        <v>4.5634277567810528</v>
      </c>
      <c r="F18" s="21">
        <f>+IFERROR('Q10'!F18/'Q10'!F13*100-100,0)</f>
        <v>17.615330789678737</v>
      </c>
      <c r="G18" s="21">
        <f>+IFERROR('Q10'!G18/'Q10'!G13*100-100,0)</f>
        <v>-0.42648646353255515</v>
      </c>
      <c r="H18" s="21">
        <f>+IFERROR('Q10'!H18/'Q10'!H13*100-100,0)</f>
        <v>18.27632820579494</v>
      </c>
      <c r="I18" s="21">
        <f>+IFERROR('Q10'!I18/'Q10'!I13*100-100,0)</f>
        <v>17.653384202840527</v>
      </c>
      <c r="J18" s="21">
        <f>+IFERROR('Q10'!J18/'Q10'!J13*100-100,0)</f>
        <v>21.78657979299939</v>
      </c>
      <c r="K18" s="21">
        <f>+IFERROR('Q10'!K18/'Q10'!K13*100-100,0)</f>
        <v>5.7331628901804379</v>
      </c>
      <c r="L18" s="21">
        <f>+IFERROR('Q10'!L18/'Q10'!L13*100-100,0)</f>
        <v>16.674508420438471</v>
      </c>
      <c r="M18" s="21">
        <f>+IFERROR('Q10'!M18/'Q10'!M13*100-100,0)</f>
        <v>8.2874635931410978</v>
      </c>
      <c r="N18" s="21">
        <f>+IFERROR('Q10'!N18/'Q10'!N13*100-100,0)</f>
        <v>2.4770480579078509</v>
      </c>
      <c r="O18" s="21">
        <f>+IFERROR('Q10'!O18/'Q10'!O13*100-100,0)</f>
        <v>-0.6691154079625079</v>
      </c>
      <c r="P18" s="21">
        <f>+IFERROR('Q10'!P18/'Q10'!P13*100-100,0)</f>
        <v>10.237413054785719</v>
      </c>
      <c r="Q18" s="21">
        <f>+IFERROR('Q10'!Q18/'Q10'!Q13*100-100,0)</f>
        <v>-2.5315760210229996</v>
      </c>
      <c r="R18" s="21">
        <f>+IFERROR('Q10'!R18/'Q10'!R13*100-100,0)</f>
        <v>10.231604558921788</v>
      </c>
      <c r="S18" s="21">
        <f>+IFERROR('Q10'!S18/'Q10'!S13*100-100,0)</f>
        <v>7.3439377950142131</v>
      </c>
      <c r="T18" s="21">
        <f>+IFERROR('Q10'!T18/'Q10'!T13*100-100,0)</f>
        <v>-95.746103584577426</v>
      </c>
      <c r="U18" s="21">
        <f>+IFERROR('Q10'!U18/'Q10'!U13*100-100,0)</f>
        <v>20.451811274992664</v>
      </c>
    </row>
    <row r="19" spans="1:21" x14ac:dyDescent="0.25">
      <c r="A19" s="95"/>
      <c r="B19" s="100"/>
      <c r="C19" s="19" t="s">
        <v>29</v>
      </c>
      <c r="D19" s="2">
        <f>+IFERROR('Q10'!D19/'Q10'!D14*100-100,0)</f>
        <v>5.4280463083911741</v>
      </c>
      <c r="E19" s="2">
        <f>+IFERROR('Q10'!E19/'Q10'!E14*100-100,0)</f>
        <v>3.2742967497782445</v>
      </c>
      <c r="F19" s="2">
        <f>+IFERROR('Q10'!F19/'Q10'!F14*100-100,0)</f>
        <v>20.725293054026267</v>
      </c>
      <c r="G19" s="2">
        <f>+IFERROR('Q10'!G19/'Q10'!G14*100-100,0)</f>
        <v>-4.4291636722869612</v>
      </c>
      <c r="H19" s="2">
        <f>+IFERROR('Q10'!H19/'Q10'!H14*100-100,0)</f>
        <v>14.692105990160755</v>
      </c>
      <c r="I19" s="2">
        <f>+IFERROR('Q10'!I19/'Q10'!I14*100-100,0)</f>
        <v>15.268054425864321</v>
      </c>
      <c r="J19" s="2">
        <f>+IFERROR('Q10'!J19/'Q10'!J14*100-100,0)</f>
        <v>18.983173267544331</v>
      </c>
      <c r="K19" s="2">
        <f>+IFERROR('Q10'!K19/'Q10'!K14*100-100,0)</f>
        <v>6.7379534052583949</v>
      </c>
      <c r="L19" s="2">
        <f>+IFERROR('Q10'!L19/'Q10'!L14*100-100,0)</f>
        <v>8.8893634961725922</v>
      </c>
      <c r="M19" s="2">
        <f>+IFERROR('Q10'!M19/'Q10'!M14*100-100,0)</f>
        <v>9.2454049106551963</v>
      </c>
      <c r="N19" s="2">
        <f>+IFERROR('Q10'!N19/'Q10'!N14*100-100,0)</f>
        <v>-2.1097211406466272</v>
      </c>
      <c r="O19" s="2">
        <f>+IFERROR('Q10'!O19/'Q10'!O14*100-100,0)</f>
        <v>6.5147184161508989</v>
      </c>
      <c r="P19" s="2">
        <f>+IFERROR('Q10'!P19/'Q10'!P14*100-100,0)</f>
        <v>12.313019111705771</v>
      </c>
      <c r="Q19" s="2">
        <f>+IFERROR('Q10'!Q19/'Q10'!Q14*100-100,0)</f>
        <v>-4.3676766908823339</v>
      </c>
      <c r="R19" s="2">
        <f>+IFERROR('Q10'!R19/'Q10'!R14*100-100,0)</f>
        <v>7.3365409756042794</v>
      </c>
      <c r="S19" s="2">
        <f>+IFERROR('Q10'!S19/'Q10'!S14*100-100,0)</f>
        <v>6.0907130656900961</v>
      </c>
      <c r="T19" s="2">
        <f>+IFERROR('Q10'!T19/'Q10'!T14*100-100,0)</f>
        <v>-94.080587571098562</v>
      </c>
      <c r="U19" s="2">
        <f>+IFERROR('Q10'!U19/'Q10'!U14*100-100,0)</f>
        <v>19.597620132821248</v>
      </c>
    </row>
    <row r="20" spans="1:21" x14ac:dyDescent="0.25">
      <c r="A20" s="95"/>
      <c r="B20" s="100"/>
      <c r="C20" s="19" t="s">
        <v>30</v>
      </c>
      <c r="D20" s="2">
        <f>+IFERROR('Q10'!D20/'Q10'!D15*100-100,0)</f>
        <v>4.5086093283040753</v>
      </c>
      <c r="E20" s="2">
        <f>+IFERROR('Q10'!E20/'Q10'!E15*100-100,0)</f>
        <v>2.9942824632281457</v>
      </c>
      <c r="F20" s="2">
        <f>+IFERROR('Q10'!F20/'Q10'!F15*100-100,0)</f>
        <v>23.315834208056458</v>
      </c>
      <c r="G20" s="2">
        <f>+IFERROR('Q10'!G20/'Q10'!G15*100-100,0)</f>
        <v>-7.0876468213785131</v>
      </c>
      <c r="H20" s="2">
        <f>+IFERROR('Q10'!H20/'Q10'!H15*100-100,0)</f>
        <v>10.647175520789816</v>
      </c>
      <c r="I20" s="2">
        <f>+IFERROR('Q10'!I20/'Q10'!I15*100-100,0)</f>
        <v>7.3205333394936929</v>
      </c>
      <c r="J20" s="2">
        <f>+IFERROR('Q10'!J20/'Q10'!J15*100-100,0)</f>
        <v>15.685339795961227</v>
      </c>
      <c r="K20" s="2">
        <f>+IFERROR('Q10'!K20/'Q10'!K15*100-100,0)</f>
        <v>8.7883904416937213</v>
      </c>
      <c r="L20" s="2">
        <f>+IFERROR('Q10'!L20/'Q10'!L15*100-100,0)</f>
        <v>-0.26476872862384937</v>
      </c>
      <c r="M20" s="2">
        <f>+IFERROR('Q10'!M20/'Q10'!M15*100-100,0)</f>
        <v>9.8902005078680872</v>
      </c>
      <c r="N20" s="2">
        <f>+IFERROR('Q10'!N20/'Q10'!N15*100-100,0)</f>
        <v>-10.04887182317762</v>
      </c>
      <c r="O20" s="2">
        <f>+IFERROR('Q10'!O20/'Q10'!O15*100-100,0)</f>
        <v>13.062420793219331</v>
      </c>
      <c r="P20" s="2">
        <f>+IFERROR('Q10'!P20/'Q10'!P15*100-100,0)</f>
        <v>9.2410269911293454</v>
      </c>
      <c r="Q20" s="2">
        <f>+IFERROR('Q10'!Q20/'Q10'!Q15*100-100,0)</f>
        <v>-0.71155336181644202</v>
      </c>
      <c r="R20" s="2">
        <f>+IFERROR('Q10'!R20/'Q10'!R15*100-100,0)</f>
        <v>6.1910227271140457</v>
      </c>
      <c r="S20" s="2">
        <f>+IFERROR('Q10'!S20/'Q10'!S15*100-100,0)</f>
        <v>12.543282348877824</v>
      </c>
      <c r="T20" s="2">
        <f>+IFERROR('Q10'!T20/'Q10'!T15*100-100,0)</f>
        <v>-91.966056699383472</v>
      </c>
      <c r="U20" s="2">
        <f>+IFERROR('Q10'!U20/'Q10'!U15*100-100,0)</f>
        <v>19.340479769478719</v>
      </c>
    </row>
    <row r="21" spans="1:21" x14ac:dyDescent="0.25">
      <c r="A21" s="95"/>
      <c r="B21" s="101"/>
      <c r="C21" s="52" t="s">
        <v>31</v>
      </c>
      <c r="D21" s="20">
        <f>+IFERROR('Q10'!D21/'Q10'!D16*100-100,0)</f>
        <v>4.3161188417969214</v>
      </c>
      <c r="E21" s="20">
        <f>+IFERROR('Q10'!E21/'Q10'!E16*100-100,0)</f>
        <v>4.9350389538817865</v>
      </c>
      <c r="F21" s="20">
        <f>+IFERROR('Q10'!F21/'Q10'!F16*100-100,0)</f>
        <v>25.256772285398867</v>
      </c>
      <c r="G21" s="20">
        <f>+IFERROR('Q10'!G21/'Q10'!G16*100-100,0)</f>
        <v>-16.574856438030878</v>
      </c>
      <c r="H21" s="20">
        <f>+IFERROR('Q10'!H21/'Q10'!H16*100-100,0)</f>
        <v>7.9470849220541169</v>
      </c>
      <c r="I21" s="20">
        <f>+IFERROR('Q10'!I21/'Q10'!I16*100-100,0)</f>
        <v>7.5220979666503922</v>
      </c>
      <c r="J21" s="20">
        <f>+IFERROR('Q10'!J21/'Q10'!J16*100-100,0)</f>
        <v>13.054783990059548</v>
      </c>
      <c r="K21" s="20">
        <f>+IFERROR('Q10'!K21/'Q10'!K16*100-100,0)</f>
        <v>10.336279370869434</v>
      </c>
      <c r="L21" s="20">
        <f>+IFERROR('Q10'!L21/'Q10'!L16*100-100,0)</f>
        <v>-5.8291252342353488</v>
      </c>
      <c r="M21" s="20">
        <f>+IFERROR('Q10'!M21/'Q10'!M16*100-100,0)</f>
        <v>10.012028480081312</v>
      </c>
      <c r="N21" s="20">
        <f>+IFERROR('Q10'!N21/'Q10'!N16*100-100,0)</f>
        <v>-19.597366399843452</v>
      </c>
      <c r="O21" s="20">
        <f>+IFERROR('Q10'!O21/'Q10'!O16*100-100,0)</f>
        <v>20.750617991164759</v>
      </c>
      <c r="P21" s="20">
        <f>+IFERROR('Q10'!P21/'Q10'!P16*100-100,0)</f>
        <v>12.593025102612955</v>
      </c>
      <c r="Q21" s="20">
        <f>+IFERROR('Q10'!Q21/'Q10'!Q16*100-100,0)</f>
        <v>4.9572415795389162</v>
      </c>
      <c r="R21" s="20">
        <f>+IFERROR('Q10'!R21/'Q10'!R16*100-100,0)</f>
        <v>6.881277036968811</v>
      </c>
      <c r="S21" s="20">
        <f>+IFERROR('Q10'!S21/'Q10'!S16*100-100,0)</f>
        <v>10.658925195787219</v>
      </c>
      <c r="T21" s="20">
        <f>+IFERROR('Q10'!T21/'Q10'!T16*100-100,0)</f>
        <v>7.1484834163424438</v>
      </c>
      <c r="U21" s="20">
        <f>+IFERROR('Q10'!U21/'Q10'!U16*100-100,0)</f>
        <v>14.154777534395507</v>
      </c>
    </row>
    <row r="22" spans="1:21" x14ac:dyDescent="0.25">
      <c r="A22" s="95"/>
      <c r="B22" s="58"/>
      <c r="C22" s="16" t="s">
        <v>51</v>
      </c>
      <c r="D22" s="26">
        <f>+IFERROR('Q10'!D22/'Q10'!D17*100-100,0)</f>
        <v>10.925432511993733</v>
      </c>
      <c r="E22" s="26">
        <f>+IFERROR('Q10'!E22/'Q10'!E17*100-100,0)</f>
        <v>16.239699553300227</v>
      </c>
      <c r="F22" s="26">
        <f>+IFERROR('Q10'!F22/'Q10'!F17*100-100,0)</f>
        <v>16.328511136701479</v>
      </c>
      <c r="G22" s="26">
        <f>+IFERROR('Q10'!G22/'Q10'!G17*100-100,0)</f>
        <v>5.6111728998934325</v>
      </c>
      <c r="H22" s="26">
        <f>+IFERROR('Q10'!H22/'Q10'!H17*100-100,0)</f>
        <v>7.7071530440745875</v>
      </c>
      <c r="I22" s="26">
        <f>+IFERROR('Q10'!I22/'Q10'!I17*100-100,0)</f>
        <v>15.167660730426007</v>
      </c>
      <c r="J22" s="26">
        <f>+IFERROR('Q10'!J22/'Q10'!J17*100-100,0)</f>
        <v>10.713935937595181</v>
      </c>
      <c r="K22" s="26">
        <f>+IFERROR('Q10'!K22/'Q10'!K17*100-100,0)</f>
        <v>5.9176747753051302</v>
      </c>
      <c r="L22" s="26">
        <f>+IFERROR('Q10'!L22/'Q10'!L17*100-100,0)</f>
        <v>9.3449183710422261</v>
      </c>
      <c r="M22" s="26">
        <f>+IFERROR('Q10'!M22/'Q10'!M17*100-100,0)</f>
        <v>8.3604288669005768</v>
      </c>
      <c r="N22" s="26">
        <f>+IFERROR('Q10'!N22/'Q10'!N17*100-100,0)</f>
        <v>-9.9625283656974943</v>
      </c>
      <c r="O22" s="26">
        <f>+IFERROR('Q10'!O22/'Q10'!O17*100-100,0)</f>
        <v>16.944607350156332</v>
      </c>
      <c r="P22" s="26">
        <f>+IFERROR('Q10'!P22/'Q10'!P17*100-100,0)</f>
        <v>10.961967291466834</v>
      </c>
      <c r="Q22" s="26">
        <f>+IFERROR('Q10'!Q22/'Q10'!Q17*100-100,0)</f>
        <v>5.1984243636265148</v>
      </c>
      <c r="R22" s="26">
        <f>+IFERROR('Q10'!R22/'Q10'!R17*100-100,0)</f>
        <v>12.59838154951413</v>
      </c>
      <c r="S22" s="26">
        <f>+IFERROR('Q10'!S22/'Q10'!S17*100-100,0)</f>
        <v>4.1657495745925956</v>
      </c>
      <c r="T22" s="26">
        <f>+IFERROR('Q10'!T22/'Q10'!T17*100-100,0)</f>
        <v>328.92921989312356</v>
      </c>
      <c r="U22" s="26">
        <f>+IFERROR('Q10'!U22/'Q10'!U17*100-100,0)</f>
        <v>7.4282264806492435</v>
      </c>
    </row>
    <row r="23" spans="1:21" x14ac:dyDescent="0.25">
      <c r="A23" s="95"/>
      <c r="B23" s="99">
        <v>2006</v>
      </c>
      <c r="C23" s="61" t="s">
        <v>28</v>
      </c>
      <c r="D23" s="21">
        <f>+IFERROR('Q10'!D23/'Q10'!D18*100-100,0)</f>
        <v>6.6419531371252134</v>
      </c>
      <c r="E23" s="21">
        <f>+IFERROR('Q10'!E23/'Q10'!E18*100-100,0)</f>
        <v>9.4843272020344642</v>
      </c>
      <c r="F23" s="21">
        <f>+IFERROR('Q10'!F23/'Q10'!F18*100-100,0)</f>
        <v>21.071015420370671</v>
      </c>
      <c r="G23" s="21">
        <f>+IFERROR('Q10'!G23/'Q10'!G18*100-100,0)</f>
        <v>-8.2430984861974821</v>
      </c>
      <c r="H23" s="21">
        <f>+IFERROR('Q10'!H23/'Q10'!H18*100-100,0)</f>
        <v>7.3424658469256201</v>
      </c>
      <c r="I23" s="21">
        <f>+IFERROR('Q10'!I23/'Q10'!I18*100-100,0)</f>
        <v>8.6932694041649228</v>
      </c>
      <c r="J23" s="21">
        <f>+IFERROR('Q10'!J23/'Q10'!J18*100-100,0)</f>
        <v>11.118991420290186</v>
      </c>
      <c r="K23" s="21">
        <f>+IFERROR('Q10'!K23/'Q10'!K18*100-100,0)</f>
        <v>8.548116490348832</v>
      </c>
      <c r="L23" s="21">
        <f>+IFERROR('Q10'!L23/'Q10'!L18*100-100,0)</f>
        <v>-4.854970586506937</v>
      </c>
      <c r="M23" s="21">
        <f>+IFERROR('Q10'!M23/'Q10'!M18*100-100,0)</f>
        <v>9.6559408431420763</v>
      </c>
      <c r="N23" s="21">
        <f>+IFERROR('Q10'!N23/'Q10'!N18*100-100,0)</f>
        <v>-22.355321593164163</v>
      </c>
      <c r="O23" s="21">
        <f>+IFERROR('Q10'!O23/'Q10'!O18*100-100,0)</f>
        <v>22.700382839136537</v>
      </c>
      <c r="P23" s="21">
        <f>+IFERROR('Q10'!P23/'Q10'!P18*100-100,0)</f>
        <v>9.3458280183889713</v>
      </c>
      <c r="Q23" s="21">
        <f>+IFERROR('Q10'!Q23/'Q10'!Q18*100-100,0)</f>
        <v>5.0559603205305024</v>
      </c>
      <c r="R23" s="21">
        <f>+IFERROR('Q10'!R23/'Q10'!R18*100-100,0)</f>
        <v>8.8137788782696873</v>
      </c>
      <c r="S23" s="21">
        <f>+IFERROR('Q10'!S23/'Q10'!S18*100-100,0)</f>
        <v>4.3781011706110178</v>
      </c>
      <c r="T23" s="21">
        <f>+IFERROR('Q10'!T23/'Q10'!T18*100-100,0)</f>
        <v>1737.9099105976973</v>
      </c>
      <c r="U23" s="21">
        <f>+IFERROR('Q10'!U23/'Q10'!U18*100-100,0)</f>
        <v>7.4293016500233193</v>
      </c>
    </row>
    <row r="24" spans="1:21" x14ac:dyDescent="0.25">
      <c r="A24" s="95"/>
      <c r="B24" s="100"/>
      <c r="C24" s="19" t="s">
        <v>29</v>
      </c>
      <c r="D24" s="2">
        <f>+IFERROR('Q10'!D24/'Q10'!D19*100-100,0)</f>
        <v>10.788871205781987</v>
      </c>
      <c r="E24" s="2">
        <f>+IFERROR('Q10'!E24/'Q10'!E19*100-100,0)</f>
        <v>14.40230624903846</v>
      </c>
      <c r="F24" s="2">
        <f>+IFERROR('Q10'!F24/'Q10'!F19*100-100,0)</f>
        <v>17.349494588464935</v>
      </c>
      <c r="G24" s="2">
        <f>+IFERROR('Q10'!G24/'Q10'!G19*100-100,0)</f>
        <v>-3.0688795565792049</v>
      </c>
      <c r="H24" s="2">
        <f>+IFERROR('Q10'!H24/'Q10'!H19*100-100,0)</f>
        <v>7.4658420545354431</v>
      </c>
      <c r="I24" s="2">
        <f>+IFERROR('Q10'!I24/'Q10'!I19*100-100,0)</f>
        <v>12.478003898838153</v>
      </c>
      <c r="J24" s="2">
        <f>+IFERROR('Q10'!J24/'Q10'!J19*100-100,0)</f>
        <v>10.263244268679443</v>
      </c>
      <c r="K24" s="2">
        <f>+IFERROR('Q10'!K24/'Q10'!K19*100-100,0)</f>
        <v>6.3725937541879887</v>
      </c>
      <c r="L24" s="2">
        <f>+IFERROR('Q10'!L24/'Q10'!L19*100-100,0)</f>
        <v>2.1581723556452772</v>
      </c>
      <c r="M24" s="2">
        <f>+IFERROR('Q10'!M24/'Q10'!M19*100-100,0)</f>
        <v>8.9648676570506893</v>
      </c>
      <c r="N24" s="2">
        <f>+IFERROR('Q10'!N24/'Q10'!N19*100-100,0)</f>
        <v>-17.774643653153333</v>
      </c>
      <c r="O24" s="2">
        <f>+IFERROR('Q10'!O24/'Q10'!O19*100-100,0)</f>
        <v>15.068592703217206</v>
      </c>
      <c r="P24" s="2">
        <f>+IFERROR('Q10'!P24/'Q10'!P19*100-100,0)</f>
        <v>10.989088629802751</v>
      </c>
      <c r="Q24" s="2">
        <f>+IFERROR('Q10'!Q24/'Q10'!Q19*100-100,0)</f>
        <v>4.9622454756721623</v>
      </c>
      <c r="R24" s="2">
        <f>+IFERROR('Q10'!R24/'Q10'!R19*100-100,0)</f>
        <v>12.278893523414354</v>
      </c>
      <c r="S24" s="2">
        <f>+IFERROR('Q10'!S24/'Q10'!S19*100-100,0)</f>
        <v>2.4944805389398113</v>
      </c>
      <c r="T24" s="2">
        <f>+IFERROR('Q10'!T24/'Q10'!T19*100-100,0)</f>
        <v>1664.8113778895952</v>
      </c>
      <c r="U24" s="2">
        <f>+IFERROR('Q10'!U24/'Q10'!U19*100-100,0)</f>
        <v>5.7301344601308415</v>
      </c>
    </row>
    <row r="25" spans="1:21" x14ac:dyDescent="0.25">
      <c r="A25" s="95"/>
      <c r="B25" s="100"/>
      <c r="C25" s="19" t="s">
        <v>30</v>
      </c>
      <c r="D25" s="2">
        <f>+IFERROR('Q10'!D25/'Q10'!D20*100-100,0)</f>
        <v>12.768611421178576</v>
      </c>
      <c r="E25" s="2">
        <f>+IFERROR('Q10'!E25/'Q10'!E20*100-100,0)</f>
        <v>18.485549657536808</v>
      </c>
      <c r="F25" s="2">
        <f>+IFERROR('Q10'!F25/'Q10'!F20*100-100,0)</f>
        <v>14.646259266052141</v>
      </c>
      <c r="G25" s="2">
        <f>+IFERROR('Q10'!G25/'Q10'!G20*100-100,0)</f>
        <v>8.3993352838862592</v>
      </c>
      <c r="H25" s="2">
        <f>+IFERROR('Q10'!H25/'Q10'!H20*100-100,0)</f>
        <v>7.876777349272146</v>
      </c>
      <c r="I25" s="2">
        <f>+IFERROR('Q10'!I25/'Q10'!I20*100-100,0)</f>
        <v>18.420802451408889</v>
      </c>
      <c r="J25" s="2">
        <f>+IFERROR('Q10'!J25/'Q10'!J20*100-100,0)</f>
        <v>10.281938505961264</v>
      </c>
      <c r="K25" s="2">
        <f>+IFERROR('Q10'!K25/'Q10'!K20*100-100,0)</f>
        <v>4.6646839015848371</v>
      </c>
      <c r="L25" s="2">
        <f>+IFERROR('Q10'!L25/'Q10'!L20*100-100,0)</f>
        <v>14.418062863510301</v>
      </c>
      <c r="M25" s="2">
        <f>+IFERROR('Q10'!M25/'Q10'!M20*100-100,0)</f>
        <v>7.9719611401046961</v>
      </c>
      <c r="N25" s="2">
        <f>+IFERROR('Q10'!N25/'Q10'!N20*100-100,0)</f>
        <v>-6.4233227465719267</v>
      </c>
      <c r="O25" s="2">
        <f>+IFERROR('Q10'!O25/'Q10'!O20*100-100,0)</f>
        <v>13.345273878960001</v>
      </c>
      <c r="P25" s="2">
        <f>+IFERROR('Q10'!P25/'Q10'!P20*100-100,0)</f>
        <v>11.303004215279458</v>
      </c>
      <c r="Q25" s="2">
        <f>+IFERROR('Q10'!Q25/'Q10'!Q20*100-100,0)</f>
        <v>4.4036294079799347</v>
      </c>
      <c r="R25" s="2">
        <f>+IFERROR('Q10'!R25/'Q10'!R20*100-100,0)</f>
        <v>14.829275987945081</v>
      </c>
      <c r="S25" s="2">
        <f>+IFERROR('Q10'!S25/'Q10'!S20*100-100,0)</f>
        <v>3.3251364879448602</v>
      </c>
      <c r="T25" s="2">
        <f>+IFERROR('Q10'!T25/'Q10'!T20*100-100,0)</f>
        <v>1649.8228602734041</v>
      </c>
      <c r="U25" s="2">
        <f>+IFERROR('Q10'!U25/'Q10'!U20*100-100,0)</f>
        <v>4.7092284953786248</v>
      </c>
    </row>
    <row r="26" spans="1:21" x14ac:dyDescent="0.25">
      <c r="A26" s="95"/>
      <c r="B26" s="101"/>
      <c r="C26" s="52" t="s">
        <v>31</v>
      </c>
      <c r="D26" s="20">
        <f>+IFERROR('Q10'!D26/'Q10'!D21*100-100,0)</f>
        <v>13.389902443903367</v>
      </c>
      <c r="E26" s="20">
        <f>+IFERROR('Q10'!E26/'Q10'!E21*100-100,0)</f>
        <v>22.289837350169378</v>
      </c>
      <c r="F26" s="20">
        <f>+IFERROR('Q10'!F26/'Q10'!F21*100-100,0)</f>
        <v>12.969346715565578</v>
      </c>
      <c r="G26" s="20">
        <f>+IFERROR('Q10'!G26/'Q10'!G21*100-100,0)</f>
        <v>28.57130375254394</v>
      </c>
      <c r="H26" s="20">
        <f>+IFERROR('Q10'!H26/'Q10'!H21*100-100,0)</f>
        <v>8.1203608206550655</v>
      </c>
      <c r="I26" s="20">
        <f>+IFERROR('Q10'!I26/'Q10'!I21*100-100,0)</f>
        <v>20.855088993769357</v>
      </c>
      <c r="J26" s="20">
        <f>+IFERROR('Q10'!J26/'Q10'!J21*100-100,0)</f>
        <v>11.190965142254171</v>
      </c>
      <c r="K26" s="20">
        <f>+IFERROR('Q10'!K26/'Q10'!K21*100-100,0)</f>
        <v>4.2494850829398132</v>
      </c>
      <c r="L26" s="20">
        <f>+IFERROR('Q10'!L26/'Q10'!L21*100-100,0)</f>
        <v>26.809793829923905</v>
      </c>
      <c r="M26" s="20">
        <f>+IFERROR('Q10'!M26/'Q10'!M21*100-100,0)</f>
        <v>6.9621842918434567</v>
      </c>
      <c r="N26" s="20">
        <f>+IFERROR('Q10'!N26/'Q10'!N21*100-100,0)</f>
        <v>10.715180498715583</v>
      </c>
      <c r="O26" s="20">
        <f>+IFERROR('Q10'!O26/'Q10'!O21*100-100,0)</f>
        <v>17.164312762207118</v>
      </c>
      <c r="P26" s="20">
        <f>+IFERROR('Q10'!P26/'Q10'!P21*100-100,0)</f>
        <v>12.097594681399642</v>
      </c>
      <c r="Q26" s="20">
        <f>+IFERROR('Q10'!Q26/'Q10'!Q21*100-100,0)</f>
        <v>6.3480899008273184</v>
      </c>
      <c r="R26" s="20">
        <f>+IFERROR('Q10'!R26/'Q10'!R21*100-100,0)</f>
        <v>14.341177924552454</v>
      </c>
      <c r="S26" s="20">
        <f>+IFERROR('Q10'!S26/'Q10'!S21*100-100,0)</f>
        <v>6.3811764705882439</v>
      </c>
      <c r="T26" s="20">
        <f>+IFERROR('Q10'!T26/'Q10'!T21*100-100,0)</f>
        <v>11.43356370309634</v>
      </c>
      <c r="U26" s="20">
        <f>+IFERROR('Q10'!U26/'Q10'!U21*100-100,0)</f>
        <v>11.841817875704237</v>
      </c>
    </row>
    <row r="27" spans="1:21" x14ac:dyDescent="0.25">
      <c r="A27" s="95"/>
      <c r="B27" s="58"/>
      <c r="C27" s="16" t="s">
        <v>51</v>
      </c>
      <c r="D27" s="26">
        <f>+IFERROR('Q10'!D27/'Q10'!D22*100-100,0)</f>
        <v>8.0151119970895479</v>
      </c>
      <c r="E27" s="26">
        <f>+IFERROR('Q10'!E27/'Q10'!E22*100-100,0)</f>
        <v>13.938190455443376</v>
      </c>
      <c r="F27" s="26">
        <f>+IFERROR('Q10'!F27/'Q10'!F22*100-100,0)</f>
        <v>18.960870113897002</v>
      </c>
      <c r="G27" s="26">
        <f>+IFERROR('Q10'!G27/'Q10'!G22*100-100,0)</f>
        <v>19.500887464098042</v>
      </c>
      <c r="H27" s="26">
        <f>+IFERROR('Q10'!H27/'Q10'!H22*100-100,0)</f>
        <v>5.4734028996501252</v>
      </c>
      <c r="I27" s="26">
        <f>+IFERROR('Q10'!I27/'Q10'!I22*100-100,0)</f>
        <v>9.4526380280693019</v>
      </c>
      <c r="J27" s="26">
        <f>+IFERROR('Q10'!J27/'Q10'!J22*100-100,0)</f>
        <v>15.671571433842573</v>
      </c>
      <c r="K27" s="26">
        <f>+IFERROR('Q10'!K27/'Q10'!K22*100-100,0)</f>
        <v>8.4585458533828159</v>
      </c>
      <c r="L27" s="26">
        <f>+IFERROR('Q10'!L27/'Q10'!L22*100-100,0)</f>
        <v>19.688687497676611</v>
      </c>
      <c r="M27" s="26">
        <f>+IFERROR('Q10'!M27/'Q10'!M22*100-100,0)</f>
        <v>6.7201196040102218</v>
      </c>
      <c r="N27" s="26">
        <f>+IFERROR('Q10'!N27/'Q10'!N22*100-100,0)</f>
        <v>15.288704643576281</v>
      </c>
      <c r="O27" s="26">
        <f>+IFERROR('Q10'!O27/'Q10'!O22*100-100,0)</f>
        <v>18.627875172205876</v>
      </c>
      <c r="P27" s="26">
        <f>+IFERROR('Q10'!P27/'Q10'!P22*100-100,0)</f>
        <v>13.08192406624444</v>
      </c>
      <c r="Q27" s="26">
        <f>+IFERROR('Q10'!Q27/'Q10'!Q22*100-100,0)</f>
        <v>7.1359968351402614</v>
      </c>
      <c r="R27" s="26">
        <f>+IFERROR('Q10'!R27/'Q10'!R22*100-100,0)</f>
        <v>-3.2778966011008919</v>
      </c>
      <c r="S27" s="26">
        <f>+IFERROR('Q10'!S27/'Q10'!S22*100-100,0)</f>
        <v>20.426393343634302</v>
      </c>
      <c r="T27" s="26">
        <f>+IFERROR('Q10'!T27/'Q10'!T22*100-100,0)</f>
        <v>-15.810823701071968</v>
      </c>
      <c r="U27" s="26">
        <f>+IFERROR('Q10'!U27/'Q10'!U22*100-100,0)</f>
        <v>14.646285341607495</v>
      </c>
    </row>
    <row r="28" spans="1:21" x14ac:dyDescent="0.25">
      <c r="A28" s="95"/>
      <c r="B28" s="99">
        <v>2007</v>
      </c>
      <c r="C28" s="61" t="s">
        <v>28</v>
      </c>
      <c r="D28" s="21">
        <f>+IFERROR('Q10'!D28/'Q10'!D23*100-100,0)</f>
        <v>12.008118783763464</v>
      </c>
      <c r="E28" s="21">
        <f>+IFERROR('Q10'!E28/'Q10'!E23*100-100,0)</f>
        <v>20.631594226788621</v>
      </c>
      <c r="F28" s="21">
        <f>+IFERROR('Q10'!F28/'Q10'!F23*100-100,0)</f>
        <v>15.592673395580263</v>
      </c>
      <c r="G28" s="21">
        <f>+IFERROR('Q10'!G28/'Q10'!G23*100-100,0)</f>
        <v>23.975456992018394</v>
      </c>
      <c r="H28" s="21">
        <f>+IFERROR('Q10'!H28/'Q10'!H23*100-100,0)</f>
        <v>7.3414142100468212</v>
      </c>
      <c r="I28" s="21">
        <f>+IFERROR('Q10'!I28/'Q10'!I23*100-100,0)</f>
        <v>6.5733278870618221</v>
      </c>
      <c r="J28" s="21">
        <f>+IFERROR('Q10'!J28/'Q10'!J23*100-100,0)</f>
        <v>13.170944421414802</v>
      </c>
      <c r="K28" s="21">
        <f>+IFERROR('Q10'!K28/'Q10'!K23*100-100,0)</f>
        <v>4.5410792353929281</v>
      </c>
      <c r="L28" s="21">
        <f>+IFERROR('Q10'!L28/'Q10'!L23*100-100,0)</f>
        <v>27.97318526573649</v>
      </c>
      <c r="M28" s="21">
        <f>+IFERROR('Q10'!M28/'Q10'!M23*100-100,0)</f>
        <v>6.2301114063355385</v>
      </c>
      <c r="N28" s="21">
        <f>+IFERROR('Q10'!N28/'Q10'!N23*100-100,0)</f>
        <v>19.337180131243898</v>
      </c>
      <c r="O28" s="21">
        <f>+IFERROR('Q10'!O28/'Q10'!O23*100-100,0)</f>
        <v>20.316214046569996</v>
      </c>
      <c r="P28" s="21">
        <f>+IFERROR('Q10'!P28/'Q10'!P23*100-100,0)</f>
        <v>15.290846868191949</v>
      </c>
      <c r="Q28" s="21">
        <f>+IFERROR('Q10'!Q28/'Q10'!Q23*100-100,0)</f>
        <v>7.0985830737123194</v>
      </c>
      <c r="R28" s="21">
        <f>+IFERROR('Q10'!R28/'Q10'!R23*100-100,0)</f>
        <v>8.0569751921523221</v>
      </c>
      <c r="S28" s="21">
        <f>+IFERROR('Q10'!S28/'Q10'!S23*100-100,0)</f>
        <v>18.017132944005326</v>
      </c>
      <c r="T28" s="21">
        <f>+IFERROR('Q10'!T28/'Q10'!T23*100-100,0)</f>
        <v>1.3686520861487992</v>
      </c>
      <c r="U28" s="21">
        <f>+IFERROR('Q10'!U28/'Q10'!U23*100-100,0)</f>
        <v>13.609576585358468</v>
      </c>
    </row>
    <row r="29" spans="1:21" x14ac:dyDescent="0.25">
      <c r="A29" s="95"/>
      <c r="B29" s="100"/>
      <c r="C29" s="19" t="s">
        <v>29</v>
      </c>
      <c r="D29" s="2">
        <f>+IFERROR('Q10'!D29/'Q10'!D24*100-100,0)</f>
        <v>8.4648386256886141</v>
      </c>
      <c r="E29" s="2">
        <f>+IFERROR('Q10'!E29/'Q10'!E24*100-100,0)</f>
        <v>16.972240894170355</v>
      </c>
      <c r="F29" s="2">
        <f>+IFERROR('Q10'!F29/'Q10'!F24*100-100,0)</f>
        <v>18.205820156409033</v>
      </c>
      <c r="G29" s="2">
        <f>+IFERROR('Q10'!G29/'Q10'!G24*100-100,0)</f>
        <v>19.49690747244621</v>
      </c>
      <c r="H29" s="2">
        <f>+IFERROR('Q10'!H29/'Q10'!H24*100-100,0)</f>
        <v>6.1137677388576179</v>
      </c>
      <c r="I29" s="2">
        <f>+IFERROR('Q10'!I29/'Q10'!I24*100-100,0)</f>
        <v>10.116716256386553</v>
      </c>
      <c r="J29" s="2">
        <f>+IFERROR('Q10'!J29/'Q10'!J24*100-100,0)</f>
        <v>15.124442163185677</v>
      </c>
      <c r="K29" s="2">
        <f>+IFERROR('Q10'!K29/'Q10'!K24*100-100,0)</f>
        <v>6.5831268072741551</v>
      </c>
      <c r="L29" s="2">
        <f>+IFERROR('Q10'!L29/'Q10'!L24*100-100,0)</f>
        <v>24.966324888113107</v>
      </c>
      <c r="M29" s="2">
        <f>+IFERROR('Q10'!M29/'Q10'!M24*100-100,0)</f>
        <v>5.8983324127430308</v>
      </c>
      <c r="N29" s="2">
        <f>+IFERROR('Q10'!N29/'Q10'!N24*100-100,0)</f>
        <v>19.200184157858786</v>
      </c>
      <c r="O29" s="2">
        <f>+IFERROR('Q10'!O29/'Q10'!O24*100-100,0)</f>
        <v>26.461176420514263</v>
      </c>
      <c r="P29" s="2">
        <f>+IFERROR('Q10'!P29/'Q10'!P24*100-100,0)</f>
        <v>11.261358937496937</v>
      </c>
      <c r="Q29" s="2">
        <f>+IFERROR('Q10'!Q29/'Q10'!Q24*100-100,0)</f>
        <v>7.7653983590965368</v>
      </c>
      <c r="R29" s="2">
        <f>+IFERROR('Q10'!R29/'Q10'!R24*100-100,0)</f>
        <v>-0.43489096369371794</v>
      </c>
      <c r="S29" s="2">
        <f>+IFERROR('Q10'!S29/'Q10'!S24*100-100,0)</f>
        <v>25.572036593268635</v>
      </c>
      <c r="T29" s="2">
        <f>+IFERROR('Q10'!T29/'Q10'!T24*100-100,0)</f>
        <v>-17.99264484948975</v>
      </c>
      <c r="U29" s="2">
        <f>+IFERROR('Q10'!U29/'Q10'!U24*100-100,0)</f>
        <v>15.187917622011398</v>
      </c>
    </row>
    <row r="30" spans="1:21" x14ac:dyDescent="0.25">
      <c r="A30" s="95"/>
      <c r="B30" s="100"/>
      <c r="C30" s="19" t="s">
        <v>30</v>
      </c>
      <c r="D30" s="2">
        <f>+IFERROR('Q10'!D30/'Q10'!D25*100-100,0)</f>
        <v>6.4526214555421575</v>
      </c>
      <c r="E30" s="2">
        <f>+IFERROR('Q10'!E30/'Q10'!E25*100-100,0)</f>
        <v>12.851230096030349</v>
      </c>
      <c r="F30" s="2">
        <f>+IFERROR('Q10'!F30/'Q10'!F25*100-100,0)</f>
        <v>20.090161929493064</v>
      </c>
      <c r="G30" s="2">
        <f>+IFERROR('Q10'!G30/'Q10'!G25*100-100,0)</f>
        <v>15.882300241478305</v>
      </c>
      <c r="H30" s="2">
        <f>+IFERROR('Q10'!H30/'Q10'!H25*100-100,0)</f>
        <v>4.8195273719154272</v>
      </c>
      <c r="I30" s="2">
        <f>+IFERROR('Q10'!I30/'Q10'!I25*100-100,0)</f>
        <v>12.249889296803815</v>
      </c>
      <c r="J30" s="2">
        <f>+IFERROR('Q10'!J30/'Q10'!J25*100-100,0)</f>
        <v>16.826117623415143</v>
      </c>
      <c r="K30" s="2">
        <f>+IFERROR('Q10'!K30/'Q10'!K25*100-100,0)</f>
        <v>9.648298661794513</v>
      </c>
      <c r="L30" s="2">
        <f>+IFERROR('Q10'!L30/'Q10'!L25*100-100,0)</f>
        <v>17.843483483061505</v>
      </c>
      <c r="M30" s="2">
        <f>+IFERROR('Q10'!M30/'Q10'!M25*100-100,0)</f>
        <v>6.4142688698851629</v>
      </c>
      <c r="N30" s="2">
        <f>+IFERROR('Q10'!N30/'Q10'!N25*100-100,0)</f>
        <v>14.013081721242003</v>
      </c>
      <c r="O30" s="2">
        <f>+IFERROR('Q10'!O30/'Q10'!O25*100-100,0)</f>
        <v>24.007730855631991</v>
      </c>
      <c r="P30" s="2">
        <f>+IFERROR('Q10'!P30/'Q10'!P25*100-100,0)</f>
        <v>16.300554204517212</v>
      </c>
      <c r="Q30" s="2">
        <f>+IFERROR('Q10'!Q30/'Q10'!Q25*100-100,0)</f>
        <v>8.8036216707681803</v>
      </c>
      <c r="R30" s="2">
        <f>+IFERROR('Q10'!R30/'Q10'!R25*100-100,0)</f>
        <v>-7.8851823786249042</v>
      </c>
      <c r="S30" s="2">
        <f>+IFERROR('Q10'!S30/'Q10'!S25*100-100,0)</f>
        <v>24.801925116673345</v>
      </c>
      <c r="T30" s="2">
        <f>+IFERROR('Q10'!T30/'Q10'!T25*100-100,0)</f>
        <v>-43.164269073394379</v>
      </c>
      <c r="U30" s="2">
        <f>+IFERROR('Q10'!U30/'Q10'!U25*100-100,0)</f>
        <v>16.849773327152477</v>
      </c>
    </row>
    <row r="31" spans="1:21" x14ac:dyDescent="0.25">
      <c r="A31" s="95"/>
      <c r="B31" s="101"/>
      <c r="C31" s="52" t="s">
        <v>31</v>
      </c>
      <c r="D31" s="20">
        <f>+IFERROR('Q10'!D31/'Q10'!D26*100-100,0)</f>
        <v>5.4788235625841821</v>
      </c>
      <c r="E31" s="20">
        <f>+IFERROR('Q10'!E31/'Q10'!E26*100-100,0)</f>
        <v>6.5017581482033222</v>
      </c>
      <c r="F31" s="20">
        <f>+IFERROR('Q10'!F31/'Q10'!F26*100-100,0)</f>
        <v>21.652374113726665</v>
      </c>
      <c r="G31" s="20">
        <f>+IFERROR('Q10'!G31/'Q10'!G26*100-100,0)</f>
        <v>19.106849583208756</v>
      </c>
      <c r="H31" s="20">
        <f>+IFERROR('Q10'!H31/'Q10'!H26*100-100,0)</f>
        <v>3.7370839230856205</v>
      </c>
      <c r="I31" s="20">
        <f>+IFERROR('Q10'!I31/'Q10'!I26*100-100,0)</f>
        <v>8.7069236281863738</v>
      </c>
      <c r="J31" s="20">
        <f>+IFERROR('Q10'!J31/'Q10'!J26*100-100,0)</f>
        <v>17.371417085106032</v>
      </c>
      <c r="K31" s="20">
        <f>+IFERROR('Q10'!K31/'Q10'!K26*100-100,0)</f>
        <v>12.94840741545849</v>
      </c>
      <c r="L31" s="20">
        <f>+IFERROR('Q10'!L31/'Q10'!L26*100-100,0)</f>
        <v>10.323288748083087</v>
      </c>
      <c r="M31" s="20">
        <f>+IFERROR('Q10'!M31/'Q10'!M26*100-100,0)</f>
        <v>8.2832720451720547</v>
      </c>
      <c r="N31" s="20">
        <f>+IFERROR('Q10'!N31/'Q10'!N26*100-100,0)</f>
        <v>9.5231229813617801</v>
      </c>
      <c r="O31" s="20">
        <f>+IFERROR('Q10'!O31/'Q10'!O26*100-100,0)</f>
        <v>5.5729926630472022</v>
      </c>
      <c r="P31" s="20">
        <f>+IFERROR('Q10'!P31/'Q10'!P26*100-100,0)</f>
        <v>9.7537552666660901</v>
      </c>
      <c r="Q31" s="20">
        <f>+IFERROR('Q10'!Q31/'Q10'!Q26*100-100,0)</f>
        <v>4.9545791281681915</v>
      </c>
      <c r="R31" s="20">
        <f>+IFERROR('Q10'!R31/'Q10'!R26*100-100,0)</f>
        <v>-11.775704511395432</v>
      </c>
      <c r="S31" s="20">
        <f>+IFERROR('Q10'!S31/'Q10'!S26*100-100,0)</f>
        <v>13.757495003331101</v>
      </c>
      <c r="T31" s="20">
        <f>+IFERROR('Q10'!T31/'Q10'!T26*100-100,0)</f>
        <v>7.9799999999999898</v>
      </c>
      <c r="U31" s="20">
        <f>+IFERROR('Q10'!U31/'Q10'!U26*100-100,0)</f>
        <v>13.002688945797473</v>
      </c>
    </row>
    <row r="32" spans="1:21" x14ac:dyDescent="0.25">
      <c r="A32" s="95"/>
      <c r="B32" s="58"/>
      <c r="C32" s="16" t="s">
        <v>51</v>
      </c>
      <c r="D32" s="26">
        <f>+IFERROR('Q10'!D32/'Q10'!D27*100-100,0)</f>
        <v>5.501806759271588</v>
      </c>
      <c r="E32" s="26">
        <f>+IFERROR('Q10'!E32/'Q10'!E27*100-100,0)</f>
        <v>2.1966304769720892</v>
      </c>
      <c r="F32" s="26">
        <f>+IFERROR('Q10'!F32/'Q10'!F27*100-100,0)</f>
        <v>14.075372966376861</v>
      </c>
      <c r="G32" s="26">
        <f>+IFERROR('Q10'!G32/'Q10'!G27*100-100,0)</f>
        <v>17.658055194387728</v>
      </c>
      <c r="H32" s="26">
        <f>+IFERROR('Q10'!H32/'Q10'!H27*100-100,0)</f>
        <v>3.6666193051215572</v>
      </c>
      <c r="I32" s="26">
        <f>+IFERROR('Q10'!I32/'Q10'!I27*100-100,0)</f>
        <v>18.452909532017344</v>
      </c>
      <c r="J32" s="26">
        <f>+IFERROR('Q10'!J32/'Q10'!J27*100-100,0)</f>
        <v>12.788173478741854</v>
      </c>
      <c r="K32" s="26">
        <f>+IFERROR('Q10'!K32/'Q10'!K27*100-100,0)</f>
        <v>16.643861335849564</v>
      </c>
      <c r="L32" s="26">
        <f>+IFERROR('Q10'!L32/'Q10'!L27*100-100,0)</f>
        <v>8.5247846099126434</v>
      </c>
      <c r="M32" s="26">
        <f>+IFERROR('Q10'!M32/'Q10'!M27*100-100,0)</f>
        <v>15.94274588413802</v>
      </c>
      <c r="N32" s="26">
        <f>+IFERROR('Q10'!N32/'Q10'!N27*100-100,0)</f>
        <v>25.486418788110328</v>
      </c>
      <c r="O32" s="26">
        <f>+IFERROR('Q10'!O32/'Q10'!O27*100-100,0)</f>
        <v>-1.1223911481080791</v>
      </c>
      <c r="P32" s="26">
        <f>+IFERROR('Q10'!P32/'Q10'!P27*100-100,0)</f>
        <v>2.3362118300373425</v>
      </c>
      <c r="Q32" s="26">
        <f>+IFERROR('Q10'!Q32/'Q10'!Q27*100-100,0)</f>
        <v>6.8991785609489966</v>
      </c>
      <c r="R32" s="26">
        <f>+IFERROR('Q10'!R32/'Q10'!R27*100-100,0)</f>
        <v>-3.2153156881937548</v>
      </c>
      <c r="S32" s="26">
        <f>+IFERROR('Q10'!S32/'Q10'!S27*100-100,0)</f>
        <v>6.531812472474428</v>
      </c>
      <c r="T32" s="26">
        <f>+IFERROR('Q10'!T32/'Q10'!T27*100-100,0)</f>
        <v>25.870454492059736</v>
      </c>
      <c r="U32" s="26">
        <f>+IFERROR('Q10'!U32/'Q10'!U27*100-100,0)</f>
        <v>10.12900522852236</v>
      </c>
    </row>
    <row r="33" spans="1:21" x14ac:dyDescent="0.25">
      <c r="A33" s="95"/>
      <c r="B33" s="99">
        <v>2008</v>
      </c>
      <c r="C33" s="61" t="s">
        <v>28</v>
      </c>
      <c r="D33" s="21">
        <f>+IFERROR('Q10'!D33/'Q10'!D28*100-100,0)</f>
        <v>4.8509274759601624</v>
      </c>
      <c r="E33" s="21">
        <f>+IFERROR('Q10'!E33/'Q10'!E28*100-100,0)</f>
        <v>3.3255171662009104</v>
      </c>
      <c r="F33" s="21">
        <f>+IFERROR('Q10'!F33/'Q10'!F28*100-100,0)</f>
        <v>18.336751219396064</v>
      </c>
      <c r="G33" s="21">
        <f>+IFERROR('Q10'!G33/'Q10'!G28*100-100,0)</f>
        <v>19.411955468178931</v>
      </c>
      <c r="H33" s="21">
        <f>+IFERROR('Q10'!H33/'Q10'!H28*100-100,0)</f>
        <v>3.4597499601231476</v>
      </c>
      <c r="I33" s="21">
        <f>+IFERROR('Q10'!I33/'Q10'!I28*100-100,0)</f>
        <v>34.988214699067441</v>
      </c>
      <c r="J33" s="21">
        <f>+IFERROR('Q10'!J33/'Q10'!J28*100-100,0)</f>
        <v>16.288982907163984</v>
      </c>
      <c r="K33" s="21">
        <f>+IFERROR('Q10'!K33/'Q10'!K28*100-100,0)</f>
        <v>15.165546365185364</v>
      </c>
      <c r="L33" s="21">
        <f>+IFERROR('Q10'!L33/'Q10'!L28*100-100,0)</f>
        <v>8.9257173948918052</v>
      </c>
      <c r="M33" s="21">
        <f>+IFERROR('Q10'!M33/'Q10'!M28*100-100,0)</f>
        <v>11.325497431807435</v>
      </c>
      <c r="N33" s="21">
        <f>+IFERROR('Q10'!N33/'Q10'!N28*100-100,0)</f>
        <v>12.609027182428918</v>
      </c>
      <c r="O33" s="21">
        <f>+IFERROR('Q10'!O33/'Q10'!O28*100-100,0)</f>
        <v>-0.32446964082629393</v>
      </c>
      <c r="P33" s="21">
        <f>+IFERROR('Q10'!P33/'Q10'!P28*100-100,0)</f>
        <v>3.135800689114518</v>
      </c>
      <c r="Q33" s="21">
        <f>+IFERROR('Q10'!Q33/'Q10'!Q28*100-100,0)</f>
        <v>4.9393191561643164</v>
      </c>
      <c r="R33" s="21">
        <f>+IFERROR('Q10'!R33/'Q10'!R28*100-100,0)</f>
        <v>-10.959947112225947</v>
      </c>
      <c r="S33" s="21">
        <f>+IFERROR('Q10'!S33/'Q10'!S28*100-100,0)</f>
        <v>2.193553763612627</v>
      </c>
      <c r="T33" s="21">
        <f>+IFERROR('Q10'!T33/'Q10'!T28*100-100,0)</f>
        <v>-6.133207987319679</v>
      </c>
      <c r="U33" s="21">
        <f>+IFERROR('Q10'!U33/'Q10'!U28*100-100,0)</f>
        <v>11.847390407291684</v>
      </c>
    </row>
    <row r="34" spans="1:21" x14ac:dyDescent="0.25">
      <c r="A34" s="95"/>
      <c r="B34" s="100"/>
      <c r="C34" s="19" t="s">
        <v>29</v>
      </c>
      <c r="D34" s="2">
        <f>+IFERROR('Q10'!D34/'Q10'!D29*100-100,0)</f>
        <v>5.3163604184114348</v>
      </c>
      <c r="E34" s="2">
        <f>+IFERROR('Q10'!E34/'Q10'!E29*100-100,0)</f>
        <v>1.8487762912341168</v>
      </c>
      <c r="F34" s="2">
        <f>+IFERROR('Q10'!F34/'Q10'!F29*100-100,0)</f>
        <v>15.536273939129174</v>
      </c>
      <c r="G34" s="2">
        <f>+IFERROR('Q10'!G34/'Q10'!G29*100-100,0)</f>
        <v>29.236168014460844</v>
      </c>
      <c r="H34" s="2">
        <f>+IFERROR('Q10'!H34/'Q10'!H29*100-100,0)</f>
        <v>3.5270948234466175</v>
      </c>
      <c r="I34" s="2">
        <f>+IFERROR('Q10'!I34/'Q10'!I29*100-100,0)</f>
        <v>19.602417646867238</v>
      </c>
      <c r="J34" s="2">
        <f>+IFERROR('Q10'!J34/'Q10'!J29*100-100,0)</f>
        <v>14.36058657794463</v>
      </c>
      <c r="K34" s="2">
        <f>+IFERROR('Q10'!K34/'Q10'!K29*100-100,0)</f>
        <v>16.739018644105428</v>
      </c>
      <c r="L34" s="2">
        <f>+IFERROR('Q10'!L34/'Q10'!L29*100-100,0)</f>
        <v>7.7638355900320022</v>
      </c>
      <c r="M34" s="2">
        <f>+IFERROR('Q10'!M34/'Q10'!M29*100-100,0)</f>
        <v>14.943748420759917</v>
      </c>
      <c r="N34" s="2">
        <f>+IFERROR('Q10'!N34/'Q10'!N29*100-100,0)</f>
        <v>20.488837800217041</v>
      </c>
      <c r="O34" s="2">
        <f>+IFERROR('Q10'!O34/'Q10'!O29*100-100,0)</f>
        <v>-6.4637259838056025</v>
      </c>
      <c r="P34" s="2">
        <f>+IFERROR('Q10'!P34/'Q10'!P29*100-100,0)</f>
        <v>1.2150090414820909</v>
      </c>
      <c r="Q34" s="2">
        <f>+IFERROR('Q10'!Q34/'Q10'!Q29*100-100,0)</f>
        <v>5.5805085514430743</v>
      </c>
      <c r="R34" s="2">
        <f>+IFERROR('Q10'!R34/'Q10'!R29*100-100,0)</f>
        <v>-6.3938821149261003</v>
      </c>
      <c r="S34" s="2">
        <f>+IFERROR('Q10'!S34/'Q10'!S29*100-100,0)</f>
        <v>2.1315827126501716</v>
      </c>
      <c r="T34" s="2">
        <f>+IFERROR('Q10'!T34/'Q10'!T29*100-100,0)</f>
        <v>28.298749709059933</v>
      </c>
      <c r="U34" s="2">
        <f>+IFERROR('Q10'!U34/'Q10'!U29*100-100,0)</f>
        <v>9.9479469808829037</v>
      </c>
    </row>
    <row r="35" spans="1:21" x14ac:dyDescent="0.25">
      <c r="A35" s="95"/>
      <c r="B35" s="100"/>
      <c r="C35" s="19" t="s">
        <v>30</v>
      </c>
      <c r="D35" s="2">
        <f>+IFERROR('Q10'!D35/'Q10'!D30*100-100,0)</f>
        <v>5.7987211522901845</v>
      </c>
      <c r="E35" s="2">
        <f>+IFERROR('Q10'!E35/'Q10'!E30*100-100,0)</f>
        <v>1.4360025354553443</v>
      </c>
      <c r="F35" s="2">
        <f>+IFERROR('Q10'!F35/'Q10'!F30*100-100,0)</f>
        <v>12.89678143846487</v>
      </c>
      <c r="G35" s="2">
        <f>+IFERROR('Q10'!G35/'Q10'!G30*100-100,0)</f>
        <v>26.695843226348345</v>
      </c>
      <c r="H35" s="2">
        <f>+IFERROR('Q10'!H35/'Q10'!H30*100-100,0)</f>
        <v>3.7366958054528396</v>
      </c>
      <c r="I35" s="2">
        <f>+IFERROR('Q10'!I35/'Q10'!I30*100-100,0)</f>
        <v>12.184926938879983</v>
      </c>
      <c r="J35" s="2">
        <f>+IFERROR('Q10'!J35/'Q10'!J30*100-100,0)</f>
        <v>11.713202330667798</v>
      </c>
      <c r="K35" s="2">
        <f>+IFERROR('Q10'!K35/'Q10'!K30*100-100,0)</f>
        <v>17.457844730059847</v>
      </c>
      <c r="L35" s="2">
        <f>+IFERROR('Q10'!L35/'Q10'!L30*100-100,0)</f>
        <v>8.013791169191478</v>
      </c>
      <c r="M35" s="2">
        <f>+IFERROR('Q10'!M35/'Q10'!M30*100-100,0)</f>
        <v>18.217786846782218</v>
      </c>
      <c r="N35" s="2">
        <f>+IFERROR('Q10'!N35/'Q10'!N30*100-100,0)</f>
        <v>29.972168263920452</v>
      </c>
      <c r="O35" s="2">
        <f>+IFERROR('Q10'!O35/'Q10'!O30*100-100,0)</f>
        <v>-7.539884600772595</v>
      </c>
      <c r="P35" s="2">
        <f>+IFERROR('Q10'!P35/'Q10'!P30*100-100,0)</f>
        <v>-1.6923587994808003</v>
      </c>
      <c r="Q35" s="2">
        <f>+IFERROR('Q10'!Q35/'Q10'!Q30*100-100,0)</f>
        <v>6.6093090462327524</v>
      </c>
      <c r="R35" s="2">
        <f>+IFERROR('Q10'!R35/'Q10'!R30*100-100,0)</f>
        <v>0.10734737379596027</v>
      </c>
      <c r="S35" s="2">
        <f>+IFERROR('Q10'!S35/'Q10'!S30*100-100,0)</f>
        <v>5.041208052313209</v>
      </c>
      <c r="T35" s="2">
        <f>+IFERROR('Q10'!T35/'Q10'!T30*100-100,0)</f>
        <v>101.19483963390664</v>
      </c>
      <c r="U35" s="2">
        <f>+IFERROR('Q10'!U35/'Q10'!U30*100-100,0)</f>
        <v>8.0241517462631151</v>
      </c>
    </row>
    <row r="36" spans="1:21" x14ac:dyDescent="0.25">
      <c r="A36" s="95"/>
      <c r="B36" s="101"/>
      <c r="C36" s="52" t="s">
        <v>31</v>
      </c>
      <c r="D36" s="20">
        <f>+IFERROR('Q10'!D36/'Q10'!D31*100-100,0)</f>
        <v>6.0204047127220122</v>
      </c>
      <c r="E36" s="20">
        <f>+IFERROR('Q10'!E36/'Q10'!E31*100-100,0)</f>
        <v>2.2010415842712092</v>
      </c>
      <c r="F36" s="20">
        <f>+IFERROR('Q10'!F36/'Q10'!F31*100-100,0)</f>
        <v>10.171586878772999</v>
      </c>
      <c r="G36" s="20">
        <f>+IFERROR('Q10'!G36/'Q10'!G31*100-100,0)</f>
        <v>-1.8818318834851908</v>
      </c>
      <c r="H36" s="20">
        <f>+IFERROR('Q10'!H36/'Q10'!H31*100-100,0)</f>
        <v>3.9363035562316924</v>
      </c>
      <c r="I36" s="20">
        <f>+IFERROR('Q10'!I36/'Q10'!I31*100-100,0)</f>
        <v>9.5057442563441015</v>
      </c>
      <c r="J36" s="20">
        <f>+IFERROR('Q10'!J36/'Q10'!J31*100-100,0)</f>
        <v>9.2628160211291259</v>
      </c>
      <c r="K36" s="20">
        <f>+IFERROR('Q10'!K36/'Q10'!K31*100-100,0)</f>
        <v>17.108357168367007</v>
      </c>
      <c r="L36" s="20">
        <f>+IFERROR('Q10'!L36/'Q10'!L31*100-100,0)</f>
        <v>9.3796558543201485</v>
      </c>
      <c r="M36" s="20">
        <f>+IFERROR('Q10'!M36/'Q10'!M31*100-100,0)</f>
        <v>18.998394462073477</v>
      </c>
      <c r="N36" s="20">
        <f>+IFERROR('Q10'!N36/'Q10'!N31*100-100,0)</f>
        <v>38.084943418788754</v>
      </c>
      <c r="O36" s="20">
        <f>+IFERROR('Q10'!O36/'Q10'!O31*100-100,0)</f>
        <v>10.37619501849818</v>
      </c>
      <c r="P36" s="20">
        <f>+IFERROR('Q10'!P36/'Q10'!P31*100-100,0)</f>
        <v>6.7103980735311808</v>
      </c>
      <c r="Q36" s="20">
        <f>+IFERROR('Q10'!Q36/'Q10'!Q31*100-100,0)</f>
        <v>10.387764749715231</v>
      </c>
      <c r="R36" s="20">
        <f>+IFERROR('Q10'!R36/'Q10'!R31*100-100,0)</f>
        <v>5.4302307676104675</v>
      </c>
      <c r="S36" s="20">
        <f>+IFERROR('Q10'!S36/'Q10'!S31*100-100,0)</f>
        <v>16.688761495282463</v>
      </c>
      <c r="T36" s="20">
        <f>+IFERROR('Q10'!T36/'Q10'!T31*100-100,0)</f>
        <v>-1.480000000000004</v>
      </c>
      <c r="U36" s="20">
        <f>+IFERROR('Q10'!U36/'Q10'!U31*100-100,0)</f>
        <v>10.786636049658298</v>
      </c>
    </row>
    <row r="37" spans="1:21" x14ac:dyDescent="0.25">
      <c r="A37" s="95"/>
      <c r="B37" s="58"/>
      <c r="C37" s="16" t="s">
        <v>51</v>
      </c>
      <c r="D37" s="26">
        <f>+IFERROR('Q10'!D37/'Q10'!D32*100-100,0)</f>
        <v>5.202292061038861</v>
      </c>
      <c r="E37" s="26">
        <f>+IFERROR('Q10'!E37/'Q10'!E32*100-100,0)</f>
        <v>5.7471569906978317</v>
      </c>
      <c r="F37" s="26">
        <f>+IFERROR('Q10'!F37/'Q10'!F32*100-100,0)</f>
        <v>-0.81436392470270391</v>
      </c>
      <c r="G37" s="26">
        <f>+IFERROR('Q10'!G37/'Q10'!G32*100-100,0)</f>
        <v>-9.6490667747652736</v>
      </c>
      <c r="H37" s="26">
        <f>+IFERROR('Q10'!H37/'Q10'!H32*100-100,0)</f>
        <v>7.0991359652656172</v>
      </c>
      <c r="I37" s="26">
        <f>+IFERROR('Q10'!I37/'Q10'!I32*100-100,0)</f>
        <v>1.9647845908744301</v>
      </c>
      <c r="J37" s="26">
        <f>+IFERROR('Q10'!J37/'Q10'!J32*100-100,0)</f>
        <v>5.9405064881914456</v>
      </c>
      <c r="K37" s="26">
        <f>+IFERROR('Q10'!K37/'Q10'!K32*100-100,0)</f>
        <v>11.30843636529481</v>
      </c>
      <c r="L37" s="26">
        <f>+IFERROR('Q10'!L37/'Q10'!L32*100-100,0)</f>
        <v>11.660334466682869</v>
      </c>
      <c r="M37" s="26">
        <f>+IFERROR('Q10'!M37/'Q10'!M32*100-100,0)</f>
        <v>9.825457236067848</v>
      </c>
      <c r="N37" s="26">
        <f>+IFERROR('Q10'!N37/'Q10'!N32*100-100,0)</f>
        <v>30.061155480753143</v>
      </c>
      <c r="O37" s="26">
        <f>+IFERROR('Q10'!O37/'Q10'!O32*100-100,0)</f>
        <v>21.737331535884422</v>
      </c>
      <c r="P37" s="26">
        <f>+IFERROR('Q10'!P37/'Q10'!P32*100-100,0)</f>
        <v>18.856417264136979</v>
      </c>
      <c r="Q37" s="26">
        <f>+IFERROR('Q10'!Q37/'Q10'!Q32*100-100,0)</f>
        <v>8.4372139694418564</v>
      </c>
      <c r="R37" s="26">
        <f>+IFERROR('Q10'!R37/'Q10'!R32*100-100,0)</f>
        <v>6.1587412224328091</v>
      </c>
      <c r="S37" s="26">
        <f>+IFERROR('Q10'!S37/'Q10'!S32*100-100,0)</f>
        <v>13.286162548605034</v>
      </c>
      <c r="T37" s="26">
        <f>+IFERROR('Q10'!T37/'Q10'!T32*100-100,0)</f>
        <v>-38.740120951574205</v>
      </c>
      <c r="U37" s="26">
        <f>+IFERROR('Q10'!U37/'Q10'!U32*100-100,0)</f>
        <v>6.7176674419683735</v>
      </c>
    </row>
    <row r="38" spans="1:21" x14ac:dyDescent="0.25">
      <c r="A38" s="95"/>
      <c r="B38" s="99">
        <v>2009</v>
      </c>
      <c r="C38" s="61" t="s">
        <v>28</v>
      </c>
      <c r="D38" s="21">
        <f>+IFERROR('Q10'!D38/'Q10'!D33*100-100,0)</f>
        <v>5.7380196740148364</v>
      </c>
      <c r="E38" s="21">
        <f>+IFERROR('Q10'!E38/'Q10'!E33*100-100,0)</f>
        <v>3.8351809105873258</v>
      </c>
      <c r="F38" s="21">
        <f>+IFERROR('Q10'!F38/'Q10'!F33*100-100,0)</f>
        <v>5.2783341675795725</v>
      </c>
      <c r="G38" s="21">
        <f>+IFERROR('Q10'!G38/'Q10'!G33*100-100,0)</f>
        <v>-10.602787835880449</v>
      </c>
      <c r="H38" s="21">
        <f>+IFERROR('Q10'!H38/'Q10'!H33*100-100,0)</f>
        <v>4.6967311611732185</v>
      </c>
      <c r="I38" s="21">
        <f>+IFERROR('Q10'!I38/'Q10'!I33*100-100,0)</f>
        <v>-6.7627044131670999</v>
      </c>
      <c r="J38" s="21">
        <f>+IFERROR('Q10'!J38/'Q10'!J33*100-100,0)</f>
        <v>7.0128317466928252</v>
      </c>
      <c r="K38" s="21">
        <f>+IFERROR('Q10'!K38/'Q10'!K33*100-100,0)</f>
        <v>15.224966122913358</v>
      </c>
      <c r="L38" s="21">
        <f>+IFERROR('Q10'!L38/'Q10'!L33*100-100,0)</f>
        <v>9.904126798616474</v>
      </c>
      <c r="M38" s="21">
        <f>+IFERROR('Q10'!M38/'Q10'!M33*100-100,0)</f>
        <v>16.49190523739064</v>
      </c>
      <c r="N38" s="21">
        <f>+IFERROR('Q10'!N38/'Q10'!N33*100-100,0)</f>
        <v>38.718705246994915</v>
      </c>
      <c r="O38" s="21">
        <f>+IFERROR('Q10'!O38/'Q10'!O33*100-100,0)</f>
        <v>20.295024355356148</v>
      </c>
      <c r="P38" s="21">
        <f>+IFERROR('Q10'!P38/'Q10'!P33*100-100,0)</f>
        <v>15.971900588698148</v>
      </c>
      <c r="Q38" s="21">
        <f>+IFERROR('Q10'!Q38/'Q10'!Q33*100-100,0)</f>
        <v>8.6187879404088648</v>
      </c>
      <c r="R38" s="21">
        <f>+IFERROR('Q10'!R38/'Q10'!R33*100-100,0)</f>
        <v>7.3233239280555296</v>
      </c>
      <c r="S38" s="21">
        <f>+IFERROR('Q10'!S38/'Q10'!S33*100-100,0)</f>
        <v>29.062853969105333</v>
      </c>
      <c r="T38" s="21">
        <f>+IFERROR('Q10'!T38/'Q10'!T33*100-100,0)</f>
        <v>-8.1558818892362126</v>
      </c>
      <c r="U38" s="21">
        <f>+IFERROR('Q10'!U38/'Q10'!U33*100-100,0)</f>
        <v>8.5559871500700382</v>
      </c>
    </row>
    <row r="39" spans="1:21" x14ac:dyDescent="0.25">
      <c r="A39" s="95"/>
      <c r="B39" s="100"/>
      <c r="C39" s="19" t="s">
        <v>29</v>
      </c>
      <c r="D39" s="2">
        <f>+IFERROR('Q10'!D39/'Q10'!D34*100-100,0)</f>
        <v>5.0560908180216018</v>
      </c>
      <c r="E39" s="2">
        <f>+IFERROR('Q10'!E39/'Q10'!E34*100-100,0)</f>
        <v>5.4559890226796313</v>
      </c>
      <c r="F39" s="2">
        <f>+IFERROR('Q10'!F39/'Q10'!F34*100-100,0)</f>
        <v>0.98993070464450739</v>
      </c>
      <c r="G39" s="2">
        <f>+IFERROR('Q10'!G39/'Q10'!G34*100-100,0)</f>
        <v>-14.584108950333132</v>
      </c>
      <c r="H39" s="2">
        <f>+IFERROR('Q10'!H39/'Q10'!H34*100-100,0)</f>
        <v>6.0710690459903702</v>
      </c>
      <c r="I39" s="2">
        <f>+IFERROR('Q10'!I39/'Q10'!I34*100-100,0)</f>
        <v>4.201470882039132</v>
      </c>
      <c r="J39" s="2">
        <f>+IFERROR('Q10'!J39/'Q10'!J34*100-100,0)</f>
        <v>5.6926307049246105</v>
      </c>
      <c r="K39" s="2">
        <f>+IFERROR('Q10'!K39/'Q10'!K34*100-100,0)</f>
        <v>12.699271934593952</v>
      </c>
      <c r="L39" s="2">
        <f>+IFERROR('Q10'!L39/'Q10'!L34*100-100,0)</f>
        <v>11.068173853792061</v>
      </c>
      <c r="M39" s="2">
        <f>+IFERROR('Q10'!M39/'Q10'!M34*100-100,0)</f>
        <v>12.282402098362184</v>
      </c>
      <c r="N39" s="2">
        <f>+IFERROR('Q10'!N39/'Q10'!N34*100-100,0)</f>
        <v>34.781362892268731</v>
      </c>
      <c r="O39" s="2">
        <f>+IFERROR('Q10'!O39/'Q10'!O34*100-100,0)</f>
        <v>28.392006150848459</v>
      </c>
      <c r="P39" s="2">
        <f>+IFERROR('Q10'!P39/'Q10'!P34*100-100,0)</f>
        <v>22.425513849831162</v>
      </c>
      <c r="Q39" s="2">
        <f>+IFERROR('Q10'!Q39/'Q10'!Q34*100-100,0)</f>
        <v>8.8328326697309194</v>
      </c>
      <c r="R39" s="2">
        <f>+IFERROR('Q10'!R39/'Q10'!R34*100-100,0)</f>
        <v>6.9979675816712756</v>
      </c>
      <c r="S39" s="2">
        <f>+IFERROR('Q10'!S39/'Q10'!S34*100-100,0)</f>
        <v>17.962547612937314</v>
      </c>
      <c r="T39" s="2">
        <f>+IFERROR('Q10'!T39/'Q10'!T34*100-100,0)</f>
        <v>-50.587761344871154</v>
      </c>
      <c r="U39" s="2">
        <f>+IFERROR('Q10'!U39/'Q10'!U34*100-100,0)</f>
        <v>8.6198407844364056</v>
      </c>
    </row>
    <row r="40" spans="1:21" x14ac:dyDescent="0.25">
      <c r="A40" s="95"/>
      <c r="B40" s="100"/>
      <c r="C40" s="19" t="s">
        <v>30</v>
      </c>
      <c r="D40" s="2">
        <f>+IFERROR('Q10'!D40/'Q10'!D35*100-100,0)</f>
        <v>4.8972562503836343</v>
      </c>
      <c r="E40" s="2">
        <f>+IFERROR('Q10'!E40/'Q10'!E35*100-100,0)</f>
        <v>6.5958061590306869</v>
      </c>
      <c r="F40" s="2">
        <f>+IFERROR('Q10'!F40/'Q10'!F35*100-100,0)</f>
        <v>-2.8591502312128085</v>
      </c>
      <c r="G40" s="2">
        <f>+IFERROR('Q10'!G40/'Q10'!G35*100-100,0)</f>
        <v>-16.042942403967373</v>
      </c>
      <c r="H40" s="2">
        <f>+IFERROR('Q10'!H40/'Q10'!H35*100-100,0)</f>
        <v>8.0412577789949324</v>
      </c>
      <c r="I40" s="2">
        <f>+IFERROR('Q10'!I40/'Q10'!I35*100-100,0)</f>
        <v>4.9308325435125226</v>
      </c>
      <c r="J40" s="2">
        <f>+IFERROR('Q10'!J40/'Q10'!J35*100-100,0)</f>
        <v>5.2201810904163324</v>
      </c>
      <c r="K40" s="2">
        <f>+IFERROR('Q10'!K40/'Q10'!K35*100-100,0)</f>
        <v>10.002732212987908</v>
      </c>
      <c r="L40" s="2">
        <f>+IFERROR('Q10'!L40/'Q10'!L35*100-100,0)</f>
        <v>12.320426100650721</v>
      </c>
      <c r="M40" s="2">
        <f>+IFERROR('Q10'!M40/'Q10'!M35*100-100,0)</f>
        <v>7.3845301265756262</v>
      </c>
      <c r="N40" s="2">
        <f>+IFERROR('Q10'!N40/'Q10'!N35*100-100,0)</f>
        <v>28.632997532298475</v>
      </c>
      <c r="O40" s="2">
        <f>+IFERROR('Q10'!O40/'Q10'!O35*100-100,0)</f>
        <v>35.303037070933698</v>
      </c>
      <c r="P40" s="2">
        <f>+IFERROR('Q10'!P40/'Q10'!P35*100-100,0)</f>
        <v>20.891975592256614</v>
      </c>
      <c r="Q40" s="2">
        <f>+IFERROR('Q10'!Q40/'Q10'!Q35*100-100,0)</f>
        <v>8.7640732837638069</v>
      </c>
      <c r="R40" s="2">
        <f>+IFERROR('Q10'!R40/'Q10'!R35*100-100,0)</f>
        <v>5.6305213598838861</v>
      </c>
      <c r="S40" s="2">
        <f>+IFERROR('Q10'!S40/'Q10'!S35*100-100,0)</f>
        <v>8.9773742023034657</v>
      </c>
      <c r="T40" s="2">
        <f>+IFERROR('Q10'!T40/'Q10'!T35*100-100,0)</f>
        <v>-73.1813375308095</v>
      </c>
      <c r="U40" s="2">
        <f>+IFERROR('Q10'!U40/'Q10'!U35*100-100,0)</f>
        <v>8.0149802055706374</v>
      </c>
    </row>
    <row r="41" spans="1:21" x14ac:dyDescent="0.25">
      <c r="A41" s="95"/>
      <c r="B41" s="101"/>
      <c r="C41" s="52" t="s">
        <v>31</v>
      </c>
      <c r="D41" s="20">
        <f>+IFERROR('Q10'!D41/'Q10'!D36*100-100,0)</f>
        <v>5.1350108018457092</v>
      </c>
      <c r="E41" s="20">
        <f>+IFERROR('Q10'!E41/'Q10'!E36*100-100,0)</f>
        <v>7.0707604618523732</v>
      </c>
      <c r="F41" s="20">
        <f>+IFERROR('Q10'!F41/'Q10'!F36*100-100,0)</f>
        <v>-6.2164048813682626</v>
      </c>
      <c r="G41" s="20">
        <f>+IFERROR('Q10'!G41/'Q10'!G36*100-100,0)</f>
        <v>4.3115567152619718</v>
      </c>
      <c r="H41" s="20">
        <f>+IFERROR('Q10'!H41/'Q10'!H36*100-100,0)</f>
        <v>9.5084537488309877</v>
      </c>
      <c r="I41" s="20">
        <f>+IFERROR('Q10'!I41/'Q10'!I36*100-100,0)</f>
        <v>5.8900899911991047</v>
      </c>
      <c r="J41" s="20">
        <f>+IFERROR('Q10'!J41/'Q10'!J36*100-100,0)</f>
        <v>5.8771481767393396</v>
      </c>
      <c r="K41" s="20">
        <f>+IFERROR('Q10'!K41/'Q10'!K36*100-100,0)</f>
        <v>7.8013502799159511</v>
      </c>
      <c r="L41" s="20">
        <f>+IFERROR('Q10'!L41/'Q10'!L36*100-100,0)</f>
        <v>13.197919056555605</v>
      </c>
      <c r="M41" s="20">
        <f>+IFERROR('Q10'!M41/'Q10'!M36*100-100,0)</f>
        <v>4.101663988135698</v>
      </c>
      <c r="N41" s="20">
        <f>+IFERROR('Q10'!N41/'Q10'!N36*100-100,0)</f>
        <v>20.74973977669184</v>
      </c>
      <c r="O41" s="20">
        <f>+IFERROR('Q10'!O41/'Q10'!O36*100-100,0)</f>
        <v>5.2168077747237049</v>
      </c>
      <c r="P41" s="20">
        <f>+IFERROR('Q10'!P41/'Q10'!P36*100-100,0)</f>
        <v>16.364681109784158</v>
      </c>
      <c r="Q41" s="20">
        <f>+IFERROR('Q10'!Q41/'Q10'!Q36*100-100,0)</f>
        <v>7.5806983330089679</v>
      </c>
      <c r="R41" s="20">
        <f>+IFERROR('Q10'!R41/'Q10'!R36*100-100,0)</f>
        <v>4.7752143716909217</v>
      </c>
      <c r="S41" s="20">
        <f>+IFERROR('Q10'!S41/'Q10'!S36*100-100,0)</f>
        <v>-1.4210854715202004E-14</v>
      </c>
      <c r="T41" s="20">
        <f>+IFERROR('Q10'!T41/'Q10'!T36*100-100,0)</f>
        <v>2.8421709430404007E-14</v>
      </c>
      <c r="U41" s="20">
        <f>+IFERROR('Q10'!U41/'Q10'!U36*100-100,0)</f>
        <v>1.9955890978894217</v>
      </c>
    </row>
    <row r="42" spans="1:21" x14ac:dyDescent="0.25">
      <c r="A42" s="95"/>
      <c r="B42" s="58"/>
      <c r="C42" s="16" t="s">
        <v>51</v>
      </c>
      <c r="D42" s="26">
        <f>+IFERROR('Q10'!D42/'Q10'!D37*100-100,0)</f>
        <v>10.02434746367129</v>
      </c>
      <c r="E42" s="26">
        <f>+IFERROR('Q10'!E42/'Q10'!E37*100-100,0)</f>
        <v>2.9403283636026742</v>
      </c>
      <c r="F42" s="26">
        <f>+IFERROR('Q10'!F42/'Q10'!F37*100-100,0)</f>
        <v>-2.4403673180253094</v>
      </c>
      <c r="G42" s="26">
        <f>+IFERROR('Q10'!G42/'Q10'!G37*100-100,0)</f>
        <v>4.0681861201725837</v>
      </c>
      <c r="H42" s="26">
        <f>+IFERROR('Q10'!H42/'Q10'!H37*100-100,0)</f>
        <v>9.4242378426352644</v>
      </c>
      <c r="I42" s="26">
        <f>+IFERROR('Q10'!I42/'Q10'!I37*100-100,0)</f>
        <v>9.9275057390085379</v>
      </c>
      <c r="J42" s="26">
        <f>+IFERROR('Q10'!J42/'Q10'!J37*100-100,0)</f>
        <v>10.712977870625195</v>
      </c>
      <c r="K42" s="26">
        <f>+IFERROR('Q10'!K42/'Q10'!K37*100-100,0)</f>
        <v>7.5178775646117515</v>
      </c>
      <c r="L42" s="26">
        <f>+IFERROR('Q10'!L42/'Q10'!L37*100-100,0)</f>
        <v>12.370743059552083</v>
      </c>
      <c r="M42" s="26">
        <f>+IFERROR('Q10'!M42/'Q10'!M37*100-100,0)</f>
        <v>6.4948100833996278</v>
      </c>
      <c r="N42" s="26">
        <f>+IFERROR('Q10'!N42/'Q10'!N37*100-100,0)</f>
        <v>7.2613065154204293</v>
      </c>
      <c r="O42" s="26">
        <f>+IFERROR('Q10'!O42/'Q10'!O37*100-100,0)</f>
        <v>-7.980700028573338</v>
      </c>
      <c r="P42" s="26">
        <f>+IFERROR('Q10'!P42/'Q10'!P37*100-100,0)</f>
        <v>8.3766906722499499</v>
      </c>
      <c r="Q42" s="26">
        <f>+IFERROR('Q10'!Q42/'Q10'!Q37*100-100,0)</f>
        <v>8.7290708125797494</v>
      </c>
      <c r="R42" s="26">
        <f>+IFERROR('Q10'!R42/'Q10'!R37*100-100,0)</f>
        <v>8.1526371491917189</v>
      </c>
      <c r="S42" s="26">
        <f>+IFERROR('Q10'!S42/'Q10'!S37*100-100,0)</f>
        <v>-5.5275754832928783</v>
      </c>
      <c r="T42" s="26">
        <f>+IFERROR('Q10'!T42/'Q10'!T37*100-100,0)</f>
        <v>29.024578998237217</v>
      </c>
      <c r="U42" s="26">
        <f>+IFERROR('Q10'!U42/'Q10'!U37*100-100,0)</f>
        <v>4.7544055533144274</v>
      </c>
    </row>
    <row r="43" spans="1:21" x14ac:dyDescent="0.25">
      <c r="A43" s="95"/>
      <c r="B43" s="99">
        <v>2010</v>
      </c>
      <c r="C43" s="61" t="s">
        <v>28</v>
      </c>
      <c r="D43" s="21">
        <f>+IFERROR('Q10'!D43/'Q10'!D38*100-100,0)</f>
        <v>6.963599362966292</v>
      </c>
      <c r="E43" s="21">
        <f>+IFERROR('Q10'!E43/'Q10'!E38*100-100,0)</f>
        <v>5.4035097490364024</v>
      </c>
      <c r="F43" s="21">
        <f>+IFERROR('Q10'!F43/'Q10'!F38*100-100,0)</f>
        <v>-4.096394334369009</v>
      </c>
      <c r="G43" s="21">
        <f>+IFERROR('Q10'!G43/'Q10'!G38*100-100,0)</f>
        <v>16.520302928629761</v>
      </c>
      <c r="H43" s="21">
        <f>+IFERROR('Q10'!H43/'Q10'!H38*100-100,0)</f>
        <v>9.699380258263318</v>
      </c>
      <c r="I43" s="21">
        <f>+IFERROR('Q10'!I43/'Q10'!I38*100-100,0)</f>
        <v>14.984829300645515</v>
      </c>
      <c r="J43" s="21">
        <f>+IFERROR('Q10'!J43/'Q10'!J38*100-100,0)</f>
        <v>7.9619984787324682</v>
      </c>
      <c r="K43" s="21">
        <f>+IFERROR('Q10'!K43/'Q10'!K38*100-100,0)</f>
        <v>7.0316872874239351</v>
      </c>
      <c r="L43" s="21">
        <f>+IFERROR('Q10'!L43/'Q10'!L38*100-100,0)</f>
        <v>13.240490576189785</v>
      </c>
      <c r="M43" s="21">
        <f>+IFERROR('Q10'!M43/'Q10'!M38*100-100,0)</f>
        <v>3.8044802357541414</v>
      </c>
      <c r="N43" s="21">
        <f>+IFERROR('Q10'!N43/'Q10'!N38*100-100,0)</f>
        <v>13.339885003152403</v>
      </c>
      <c r="O43" s="21">
        <f>+IFERROR('Q10'!O43/'Q10'!O38*100-100,0)</f>
        <v>-5.3077310127754487</v>
      </c>
      <c r="P43" s="21">
        <f>+IFERROR('Q10'!P43/'Q10'!P38*100-100,0)</f>
        <v>11.953569683714107</v>
      </c>
      <c r="Q43" s="21">
        <f>+IFERROR('Q10'!Q43/'Q10'!Q38*100-100,0)</f>
        <v>11.198610355680344</v>
      </c>
      <c r="R43" s="21">
        <f>+IFERROR('Q10'!R43/'Q10'!R38*100-100,0)</f>
        <v>5.3272736481078056</v>
      </c>
      <c r="S43" s="21">
        <f>+IFERROR('Q10'!S43/'Q10'!S38*100-100,0)</f>
        <v>-14.534027361056687</v>
      </c>
      <c r="T43" s="21">
        <f>+IFERROR('Q10'!T43/'Q10'!T38*100-100,0)</f>
        <v>7.241658631916053</v>
      </c>
      <c r="U43" s="21">
        <f>+IFERROR('Q10'!U43/'Q10'!U38*100-100,0)</f>
        <v>3.6195900061781998</v>
      </c>
    </row>
    <row r="44" spans="1:21" x14ac:dyDescent="0.25">
      <c r="A44" s="95"/>
      <c r="B44" s="100"/>
      <c r="C44" s="19" t="s">
        <v>29</v>
      </c>
      <c r="D44" s="2">
        <f>+IFERROR('Q10'!D44/'Q10'!D39*100-100,0)</f>
        <v>9.9431430190048928</v>
      </c>
      <c r="E44" s="2">
        <f>+IFERROR('Q10'!E44/'Q10'!E39*100-100,0)</f>
        <v>3.3780809106257692</v>
      </c>
      <c r="F44" s="2">
        <f>+IFERROR('Q10'!F44/'Q10'!F39*100-100,0)</f>
        <v>-2.1079213676346171</v>
      </c>
      <c r="G44" s="2">
        <f>+IFERROR('Q10'!G44/'Q10'!G39*100-100,0)</f>
        <v>5.6644472164481812</v>
      </c>
      <c r="H44" s="2">
        <f>+IFERROR('Q10'!H44/'Q10'!H39*100-100,0)</f>
        <v>9.6614983196574542</v>
      </c>
      <c r="I44" s="2">
        <f>+IFERROR('Q10'!I44/'Q10'!I39*100-100,0)</f>
        <v>7.2721080908716402</v>
      </c>
      <c r="J44" s="2">
        <f>+IFERROR('Q10'!J44/'Q10'!J39*100-100,0)</f>
        <v>10.149508199823572</v>
      </c>
      <c r="K44" s="2">
        <f>+IFERROR('Q10'!K44/'Q10'!K39*100-100,0)</f>
        <v>6.9541786624752291</v>
      </c>
      <c r="L44" s="2">
        <f>+IFERROR('Q10'!L44/'Q10'!L39*100-100,0)</f>
        <v>12.905393164002149</v>
      </c>
      <c r="M44" s="2">
        <f>+IFERROR('Q10'!M44/'Q10'!M39*100-100,0)</f>
        <v>5.0811546367639124</v>
      </c>
      <c r="N44" s="2">
        <f>+IFERROR('Q10'!N44/'Q10'!N39*100-100,0)</f>
        <v>6.5690087407366207</v>
      </c>
      <c r="O44" s="2">
        <f>+IFERROR('Q10'!O44/'Q10'!O39*100-100,0)</f>
        <v>-9.2205084015863861</v>
      </c>
      <c r="P44" s="2">
        <f>+IFERROR('Q10'!P44/'Q10'!P39*100-100,0)</f>
        <v>9.2645188976828479</v>
      </c>
      <c r="Q44" s="2">
        <f>+IFERROR('Q10'!Q44/'Q10'!Q39*100-100,0)</f>
        <v>10.041798049845568</v>
      </c>
      <c r="R44" s="2">
        <f>+IFERROR('Q10'!R44/'Q10'!R39*100-100,0)</f>
        <v>6.9887866431778178</v>
      </c>
      <c r="S44" s="2">
        <f>+IFERROR('Q10'!S44/'Q10'!S39*100-100,0)</f>
        <v>-9.7426576807596916</v>
      </c>
      <c r="T44" s="2">
        <f>+IFERROR('Q10'!T44/'Q10'!T39*100-100,0)</f>
        <v>39.193495521804351</v>
      </c>
      <c r="U44" s="2">
        <f>+IFERROR('Q10'!U44/'Q10'!U39*100-100,0)</f>
        <v>4.5928867863652698</v>
      </c>
    </row>
    <row r="45" spans="1:21" x14ac:dyDescent="0.25">
      <c r="A45" s="95"/>
      <c r="B45" s="100"/>
      <c r="C45" s="19" t="s">
        <v>30</v>
      </c>
      <c r="D45" s="2">
        <f>+IFERROR('Q10'!D45/'Q10'!D40*100-100,0)</f>
        <v>11.329066121731529</v>
      </c>
      <c r="E45" s="2">
        <f>+IFERROR('Q10'!E45/'Q10'!E40*100-100,0)</f>
        <v>1.8741543788012223</v>
      </c>
      <c r="F45" s="2">
        <f>+IFERROR('Q10'!F45/'Q10'!F40*100-100,0)</f>
        <v>-1.1930939719506597</v>
      </c>
      <c r="G45" s="2">
        <f>+IFERROR('Q10'!G45/'Q10'!G40*100-100,0)</f>
        <v>2.4651467516094243</v>
      </c>
      <c r="H45" s="2">
        <f>+IFERROR('Q10'!H45/'Q10'!H40*100-100,0)</f>
        <v>9.2456312190506651</v>
      </c>
      <c r="I45" s="2">
        <f>+IFERROR('Q10'!I45/'Q10'!I40*100-100,0)</f>
        <v>7.9524956469109327</v>
      </c>
      <c r="J45" s="2">
        <f>+IFERROR('Q10'!J45/'Q10'!J40*100-100,0)</f>
        <v>12.061153672115154</v>
      </c>
      <c r="K45" s="2">
        <f>+IFERROR('Q10'!K45/'Q10'!K40*100-100,0)</f>
        <v>7.5119947027630047</v>
      </c>
      <c r="L45" s="2">
        <f>+IFERROR('Q10'!L45/'Q10'!L40*100-100,0)</f>
        <v>12.174922639650305</v>
      </c>
      <c r="M45" s="2">
        <f>+IFERROR('Q10'!M45/'Q10'!M40*100-100,0)</f>
        <v>7.4407950297169236</v>
      </c>
      <c r="N45" s="2">
        <f>+IFERROR('Q10'!N45/'Q10'!N40*100-100,0)</f>
        <v>3.0329907326013199</v>
      </c>
      <c r="O45" s="2">
        <f>+IFERROR('Q10'!O45/'Q10'!O40*100-100,0)</f>
        <v>-18.309107821910487</v>
      </c>
      <c r="P45" s="2">
        <f>+IFERROR('Q10'!P45/'Q10'!P40*100-100,0)</f>
        <v>10.691165425433908</v>
      </c>
      <c r="Q45" s="2">
        <f>+IFERROR('Q10'!Q45/'Q10'!Q40*100-100,0)</f>
        <v>7.8832323292270132</v>
      </c>
      <c r="R45" s="2">
        <f>+IFERROR('Q10'!R45/'Q10'!R40*100-100,0)</f>
        <v>9.1652289658268558</v>
      </c>
      <c r="S45" s="2">
        <f>+IFERROR('Q10'!S45/'Q10'!S40*100-100,0)</f>
        <v>-3.5080260274843198</v>
      </c>
      <c r="T45" s="2">
        <f>+IFERROR('Q10'!T45/'Q10'!T40*100-100,0)</f>
        <v>78.449082822360822</v>
      </c>
      <c r="U45" s="2">
        <f>+IFERROR('Q10'!U45/'Q10'!U40*100-100,0)</f>
        <v>5.4853465872953393</v>
      </c>
    </row>
    <row r="46" spans="1:21" x14ac:dyDescent="0.25">
      <c r="A46" s="95"/>
      <c r="B46" s="101"/>
      <c r="C46" s="52" t="s">
        <v>31</v>
      </c>
      <c r="D46" s="20">
        <f>+IFERROR('Q10'!D46/'Q10'!D41*100-100,0)</f>
        <v>11.76234744658457</v>
      </c>
      <c r="E46" s="20">
        <f>+IFERROR('Q10'!E46/'Q10'!E41*100-100,0)</f>
        <v>1.2216129257372188</v>
      </c>
      <c r="F46" s="20">
        <f>+IFERROR('Q10'!F46/'Q10'!F41*100-100,0)</f>
        <v>-2.3148495892156404</v>
      </c>
      <c r="G46" s="20">
        <f>+IFERROR('Q10'!G46/'Q10'!G41*100-100,0)</f>
        <v>-7.1509349515112604</v>
      </c>
      <c r="H46" s="20">
        <f>+IFERROR('Q10'!H46/'Q10'!H41*100-100,0)</f>
        <v>9.1177567213149899</v>
      </c>
      <c r="I46" s="20">
        <f>+IFERROR('Q10'!I46/'Q10'!I41*100-100,0)</f>
        <v>9.8312510287014447</v>
      </c>
      <c r="J46" s="20">
        <f>+IFERROR('Q10'!J46/'Q10'!J41*100-100,0)</f>
        <v>12.563809011657796</v>
      </c>
      <c r="K46" s="20">
        <f>+IFERROR('Q10'!K46/'Q10'!K41*100-100,0)</f>
        <v>8.5306100359604926</v>
      </c>
      <c r="L46" s="20">
        <f>+IFERROR('Q10'!L46/'Q10'!L41*100-100,0)</f>
        <v>11.28702990816133</v>
      </c>
      <c r="M46" s="20">
        <f>+IFERROR('Q10'!M46/'Q10'!M41*100-100,0)</f>
        <v>9.5809443735652877</v>
      </c>
      <c r="N46" s="20">
        <f>+IFERROR('Q10'!N46/'Q10'!N41*100-100,0)</f>
        <v>6.6445907530625021</v>
      </c>
      <c r="O46" s="20">
        <f>+IFERROR('Q10'!O46/'Q10'!O41*100-100,0)</f>
        <v>2.3417734487319422</v>
      </c>
      <c r="P46" s="20">
        <f>+IFERROR('Q10'!P46/'Q10'!P41*100-100,0)</f>
        <v>2.0490988365477136</v>
      </c>
      <c r="Q46" s="20">
        <f>+IFERROR('Q10'!Q46/'Q10'!Q41*100-100,0)</f>
        <v>6.009441938118826</v>
      </c>
      <c r="R46" s="20">
        <f>+IFERROR('Q10'!R46/'Q10'!R41*100-100,0)</f>
        <v>11.018991507780825</v>
      </c>
      <c r="S46" s="20">
        <f>+IFERROR('Q10'!S46/'Q10'!S41*100-100,0)</f>
        <v>6.530312426486276</v>
      </c>
      <c r="T46" s="20">
        <f>+IFERROR('Q10'!T46/'Q10'!T41*100-100,0)</f>
        <v>21.40513770731522</v>
      </c>
      <c r="U46" s="20">
        <f>+IFERROR('Q10'!U46/'Q10'!U41*100-100,0)</f>
        <v>5.2936657282000255</v>
      </c>
    </row>
    <row r="47" spans="1:21" x14ac:dyDescent="0.25">
      <c r="A47" s="95"/>
      <c r="B47" s="58"/>
      <c r="C47" s="16" t="s">
        <v>51</v>
      </c>
      <c r="D47" s="26">
        <f>+IFERROR('Q10'!D47/'Q10'!D42*100-100,0)</f>
        <v>8.5700203087669706</v>
      </c>
      <c r="E47" s="26">
        <f>+IFERROR('Q10'!E47/'Q10'!E42*100-100,0)</f>
        <v>9.0193579499271834</v>
      </c>
      <c r="F47" s="26">
        <f>+IFERROR('Q10'!F47/'Q10'!F42*100-100,0)</f>
        <v>-7.3435514880956276</v>
      </c>
      <c r="G47" s="26">
        <f>+IFERROR('Q10'!G47/'Q10'!G42*100-100,0)</f>
        <v>-4.0442912195058227</v>
      </c>
      <c r="H47" s="26">
        <f>+IFERROR('Q10'!H47/'Q10'!H42*100-100,0)</f>
        <v>9.7705421545117446</v>
      </c>
      <c r="I47" s="26">
        <f>+IFERROR('Q10'!I47/'Q10'!I42*100-100,0)</f>
        <v>7.5883775663016024</v>
      </c>
      <c r="J47" s="26">
        <f>+IFERROR('Q10'!J47/'Q10'!J42*100-100,0)</f>
        <v>9.0803227500796879</v>
      </c>
      <c r="K47" s="26">
        <f>+IFERROR('Q10'!K47/'Q10'!K42*100-100,0)</f>
        <v>9.480444167848745</v>
      </c>
      <c r="L47" s="26">
        <f>+IFERROR('Q10'!L47/'Q10'!L42*100-100,0)</f>
        <v>9.0072473006875668</v>
      </c>
      <c r="M47" s="26">
        <f>+IFERROR('Q10'!M47/'Q10'!M42*100-100,0)</f>
        <v>10.649522750143035</v>
      </c>
      <c r="N47" s="26">
        <f>+IFERROR('Q10'!N47/'Q10'!N42*100-100,0)</f>
        <v>54.004503572360676</v>
      </c>
      <c r="O47" s="26">
        <f>+IFERROR('Q10'!O47/'Q10'!O42*100-100,0)</f>
        <v>8.1890675182873878</v>
      </c>
      <c r="P47" s="26">
        <f>+IFERROR('Q10'!P47/'Q10'!P42*100-100,0)</f>
        <v>-2.6105324388771436</v>
      </c>
      <c r="Q47" s="26">
        <f>+IFERROR('Q10'!Q47/'Q10'!Q42*100-100,0)</f>
        <v>3.7851922299747969</v>
      </c>
      <c r="R47" s="26">
        <f>+IFERROR('Q10'!R47/'Q10'!R42*100-100,0)</f>
        <v>11.039628900259117</v>
      </c>
      <c r="S47" s="26">
        <f>+IFERROR('Q10'!S47/'Q10'!S42*100-100,0)</f>
        <v>10.356498666734268</v>
      </c>
      <c r="T47" s="26">
        <f>+IFERROR('Q10'!T47/'Q10'!T42*100-100,0)</f>
        <v>33.160404831296432</v>
      </c>
      <c r="U47" s="26">
        <f>+IFERROR('Q10'!U47/'Q10'!U42*100-100,0)</f>
        <v>1.8565311357732384</v>
      </c>
    </row>
    <row r="48" spans="1:21" x14ac:dyDescent="0.25">
      <c r="A48" s="95"/>
      <c r="B48" s="99">
        <v>2011</v>
      </c>
      <c r="C48" s="61" t="s">
        <v>28</v>
      </c>
      <c r="D48" s="21">
        <f>+IFERROR('Q10'!D48/'Q10'!D43*100-100,0)</f>
        <v>11.062311126920733</v>
      </c>
      <c r="E48" s="21">
        <f>+IFERROR('Q10'!E48/'Q10'!E43*100-100,0)</f>
        <v>3.6137546359122439</v>
      </c>
      <c r="F48" s="21">
        <f>+IFERROR('Q10'!F48/'Q10'!F43*100-100,0)</f>
        <v>-5.074999373059029</v>
      </c>
      <c r="G48" s="21">
        <f>+IFERROR('Q10'!G48/'Q10'!G43*100-100,0)</f>
        <v>-13.545285214038515</v>
      </c>
      <c r="H48" s="21">
        <f>+IFERROR('Q10'!H48/'Q10'!H43*100-100,0)</f>
        <v>9.6508371919695719</v>
      </c>
      <c r="I48" s="21">
        <f>+IFERROR('Q10'!I48/'Q10'!I43*100-100,0)</f>
        <v>6.5958104478003037</v>
      </c>
      <c r="J48" s="21">
        <f>+IFERROR('Q10'!J48/'Q10'!J43*100-100,0)</f>
        <v>11.021142851263477</v>
      </c>
      <c r="K48" s="21">
        <f>+IFERROR('Q10'!K48/'Q10'!K43*100-100,0)</f>
        <v>9.3909110983682069</v>
      </c>
      <c r="L48" s="21">
        <f>+IFERROR('Q10'!L48/'Q10'!L43*100-100,0)</f>
        <v>11.040930899522337</v>
      </c>
      <c r="M48" s="21">
        <f>+IFERROR('Q10'!M48/'Q10'!M43*100-100,0)</f>
        <v>10.265799435362283</v>
      </c>
      <c r="N48" s="21">
        <f>+IFERROR('Q10'!N48/'Q10'!N43*100-100,0)</f>
        <v>21.292683040786471</v>
      </c>
      <c r="O48" s="21">
        <f>+IFERROR('Q10'!O48/'Q10'!O43*100-100,0)</f>
        <v>9.4299902685735901</v>
      </c>
      <c r="P48" s="21">
        <f>+IFERROR('Q10'!P48/'Q10'!P43*100-100,0)</f>
        <v>0.61706062016185115</v>
      </c>
      <c r="Q48" s="21">
        <f>+IFERROR('Q10'!Q48/'Q10'!Q43*100-100,0)</f>
        <v>3.5533782928326616</v>
      </c>
      <c r="R48" s="21">
        <f>+IFERROR('Q10'!R48/'Q10'!R43*100-100,0)</f>
        <v>12.016761001047243</v>
      </c>
      <c r="S48" s="21">
        <f>+IFERROR('Q10'!S48/'Q10'!S43*100-100,0)</f>
        <v>19.188931786653725</v>
      </c>
      <c r="T48" s="21">
        <f>+IFERROR('Q10'!T48/'Q10'!T43*100-100,0)</f>
        <v>29.49535039778641</v>
      </c>
      <c r="U48" s="21">
        <f>+IFERROR('Q10'!U48/'Q10'!U43*100-100,0)</f>
        <v>3.7693581007453503</v>
      </c>
    </row>
    <row r="49" spans="1:21" x14ac:dyDescent="0.25">
      <c r="A49" s="95"/>
      <c r="B49" s="100"/>
      <c r="C49" s="19" t="s">
        <v>29</v>
      </c>
      <c r="D49" s="2">
        <f>+IFERROR('Q10'!D49/'Q10'!D44*100-100,0)</f>
        <v>8.9075658365632222</v>
      </c>
      <c r="E49" s="2">
        <f>+IFERROR('Q10'!E49/'Q10'!E44*100-100,0)</f>
        <v>7.0108435009223342</v>
      </c>
      <c r="F49" s="2">
        <f>+IFERROR('Q10'!F49/'Q10'!F44*100-100,0)</f>
        <v>-9.3309747088496664</v>
      </c>
      <c r="G49" s="2">
        <f>+IFERROR('Q10'!G49/'Q10'!G44*100-100,0)</f>
        <v>-2.4515057697350784</v>
      </c>
      <c r="H49" s="2">
        <f>+IFERROR('Q10'!H49/'Q10'!H44*100-100,0)</f>
        <v>9.8552024346230382</v>
      </c>
      <c r="I49" s="2">
        <f>+IFERROR('Q10'!I49/'Q10'!I44*100-100,0)</f>
        <v>10.592460420456035</v>
      </c>
      <c r="J49" s="2">
        <f>+IFERROR('Q10'!J49/'Q10'!J44*100-100,0)</f>
        <v>9.1757999396985213</v>
      </c>
      <c r="K49" s="2">
        <f>+IFERROR('Q10'!K49/'Q10'!K44*100-100,0)</f>
        <v>9.9479145108020077</v>
      </c>
      <c r="L49" s="2">
        <f>+IFERROR('Q10'!L49/'Q10'!L44*100-100,0)</f>
        <v>10.406771742457039</v>
      </c>
      <c r="M49" s="2">
        <f>+IFERROR('Q10'!M49/'Q10'!M44*100-100,0)</f>
        <v>10.407498215868799</v>
      </c>
      <c r="N49" s="2">
        <f>+IFERROR('Q10'!N49/'Q10'!N44*100-100,0)</f>
        <v>44.549018689363152</v>
      </c>
      <c r="O49" s="2">
        <f>+IFERROR('Q10'!O49/'Q10'!O44*100-100,0)</f>
        <v>6.0429185009695345</v>
      </c>
      <c r="P49" s="2">
        <f>+IFERROR('Q10'!P49/'Q10'!P44*100-100,0)</f>
        <v>-4.3078661360940629</v>
      </c>
      <c r="Q49" s="2">
        <f>+IFERROR('Q10'!Q49/'Q10'!Q44*100-100,0)</f>
        <v>2.8009490241354058</v>
      </c>
      <c r="R49" s="2">
        <f>+IFERROR('Q10'!R49/'Q10'!R44*100-100,0)</f>
        <v>11.964854925531142</v>
      </c>
      <c r="S49" s="2">
        <f>+IFERROR('Q10'!S49/'Q10'!S44*100-100,0)</f>
        <v>19.640047395897128</v>
      </c>
      <c r="T49" s="2">
        <f>+IFERROR('Q10'!T49/'Q10'!T44*100-100,0)</f>
        <v>39.781659516812397</v>
      </c>
      <c r="U49" s="2">
        <f>+IFERROR('Q10'!U49/'Q10'!U44*100-100,0)</f>
        <v>0.62986646430802296</v>
      </c>
    </row>
    <row r="50" spans="1:21" x14ac:dyDescent="0.25">
      <c r="A50" s="95"/>
      <c r="B50" s="100"/>
      <c r="C50" s="19" t="s">
        <v>30</v>
      </c>
      <c r="D50" s="2">
        <f>+IFERROR('Q10'!D50/'Q10'!D45*100-100,0)</f>
        <v>7.5983635328226597</v>
      </c>
      <c r="E50" s="2">
        <f>+IFERROR('Q10'!E50/'Q10'!E45*100-100,0)</f>
        <v>10.423251582742594</v>
      </c>
      <c r="F50" s="2">
        <f>+IFERROR('Q10'!F50/'Q10'!F45*100-100,0)</f>
        <v>-9.8087602049714917</v>
      </c>
      <c r="G50" s="2">
        <f>+IFERROR('Q10'!G50/'Q10'!G45*100-100,0)</f>
        <v>-2.4241845948342444</v>
      </c>
      <c r="H50" s="2">
        <f>+IFERROR('Q10'!H50/'Q10'!H45*100-100,0)</f>
        <v>9.8003749299977727</v>
      </c>
      <c r="I50" s="2">
        <f>+IFERROR('Q10'!I50/'Q10'!I45*100-100,0)</f>
        <v>9.4612110524964663</v>
      </c>
      <c r="J50" s="2">
        <f>+IFERROR('Q10'!J50/'Q10'!J45*100-100,0)</f>
        <v>7.8635248994841191</v>
      </c>
      <c r="K50" s="2">
        <f>+IFERROR('Q10'!K50/'Q10'!K45*100-100,0)</f>
        <v>9.8278898642540469</v>
      </c>
      <c r="L50" s="2">
        <f>+IFERROR('Q10'!L50/'Q10'!L45*100-100,0)</f>
        <v>8.9492428421665124</v>
      </c>
      <c r="M50" s="2">
        <f>+IFERROR('Q10'!M50/'Q10'!M45*100-100,0)</f>
        <v>10.546935907067038</v>
      </c>
      <c r="N50" s="2">
        <f>+IFERROR('Q10'!N50/'Q10'!N45*100-100,0)</f>
        <v>68.057184811419546</v>
      </c>
      <c r="O50" s="2">
        <f>+IFERROR('Q10'!O50/'Q10'!O45*100-100,0)</f>
        <v>15.769381703714643</v>
      </c>
      <c r="P50" s="2">
        <f>+IFERROR('Q10'!P50/'Q10'!P45*100-100,0)</f>
        <v>-6.8522853206978027</v>
      </c>
      <c r="Q50" s="2">
        <f>+IFERROR('Q10'!Q50/'Q10'!Q45*100-100,0)</f>
        <v>3.2638594143569435</v>
      </c>
      <c r="R50" s="2">
        <f>+IFERROR('Q10'!R50/'Q10'!R45*100-100,0)</f>
        <v>10.933367886270375</v>
      </c>
      <c r="S50" s="2">
        <f>+IFERROR('Q10'!S50/'Q10'!S45*100-100,0)</f>
        <v>8.9056217665292081</v>
      </c>
      <c r="T50" s="2">
        <f>+IFERROR('Q10'!T50/'Q10'!T45*100-100,0)</f>
        <v>60.544618019481533</v>
      </c>
      <c r="U50" s="2">
        <f>+IFERROR('Q10'!U50/'Q10'!U45*100-100,0)</f>
        <v>-0.48633645865460551</v>
      </c>
    </row>
    <row r="51" spans="1:21" x14ac:dyDescent="0.25">
      <c r="A51" s="95"/>
      <c r="B51" s="101"/>
      <c r="C51" s="52" t="s">
        <v>31</v>
      </c>
      <c r="D51" s="20">
        <f>+IFERROR('Q10'!D51/'Q10'!D46*100-100,0)</f>
        <v>6.9037062921961052</v>
      </c>
      <c r="E51" s="20">
        <f>+IFERROR('Q10'!E51/'Q10'!E46*100-100,0)</f>
        <v>14.96999999999997</v>
      </c>
      <c r="F51" s="20">
        <f>+IFERROR('Q10'!F51/'Q10'!F46*100-100,0)</f>
        <v>-5.0944430817166477</v>
      </c>
      <c r="G51" s="20">
        <f>+IFERROR('Q10'!G51/'Q10'!G46*100-100,0)</f>
        <v>3.3630657937209634</v>
      </c>
      <c r="H51" s="20">
        <f>+IFERROR('Q10'!H51/'Q10'!H46*100-100,0)</f>
        <v>9.7724123628555049</v>
      </c>
      <c r="I51" s="20">
        <f>+IFERROR('Q10'!I51/'Q10'!I46*100-100,0)</f>
        <v>3.852906146651037</v>
      </c>
      <c r="J51" s="20">
        <f>+IFERROR('Q10'!J51/'Q10'!J46*100-100,0)</f>
        <v>8.3990888755678839</v>
      </c>
      <c r="K51" s="20">
        <f>+IFERROR('Q10'!K51/'Q10'!K46*100-100,0)</f>
        <v>8.7800000000000153</v>
      </c>
      <c r="L51" s="20">
        <f>+IFERROR('Q10'!L51/'Q10'!L46*100-100,0)</f>
        <v>5.9018481526865969</v>
      </c>
      <c r="M51" s="20">
        <f>+IFERROR('Q10'!M51/'Q10'!M46*100-100,0)</f>
        <v>11.33354780387927</v>
      </c>
      <c r="N51" s="20">
        <f>+IFERROR('Q10'!N51/'Q10'!N46*100-100,0)</f>
        <v>80.373137035462264</v>
      </c>
      <c r="O51" s="20">
        <f>+IFERROR('Q10'!O51/'Q10'!O46*100-100,0)</f>
        <v>2.1844663950021612</v>
      </c>
      <c r="P51" s="20">
        <f>+IFERROR('Q10'!P51/'Q10'!P46*100-100,0)</f>
        <v>0.33931629816584064</v>
      </c>
      <c r="Q51" s="20">
        <f>+IFERROR('Q10'!Q51/'Q10'!Q46*100-100,0)</f>
        <v>5.5045058309427759</v>
      </c>
      <c r="R51" s="20">
        <f>+IFERROR('Q10'!R51/'Q10'!R46*100-100,0)</f>
        <v>9.3766789418463787</v>
      </c>
      <c r="S51" s="20">
        <f>+IFERROR('Q10'!S51/'Q10'!S46*100-100,0)</f>
        <v>-4.1616471898086758</v>
      </c>
      <c r="T51" s="20">
        <f>+IFERROR('Q10'!T51/'Q10'!T46*100-100,0)</f>
        <v>14.658395296261602</v>
      </c>
      <c r="U51" s="20">
        <f>+IFERROR('Q10'!U51/'Q10'!U46*100-100,0)</f>
        <v>3.5938696024015826</v>
      </c>
    </row>
    <row r="52" spans="1:21" x14ac:dyDescent="0.25">
      <c r="A52" s="95"/>
      <c r="B52" s="58"/>
      <c r="C52" s="16" t="s">
        <v>51</v>
      </c>
      <c r="D52" s="26">
        <f>+IFERROR('Q10'!D52/'Q10'!D47*100-100,0)</f>
        <v>5.9514933763298927</v>
      </c>
      <c r="E52" s="26">
        <f>+IFERROR('Q10'!E52/'Q10'!E47*100-100,0)</f>
        <v>13.316102385570147</v>
      </c>
      <c r="F52" s="26">
        <f>+IFERROR('Q10'!F52/'Q10'!F47*100-100,0)</f>
        <v>6.4930770171109202</v>
      </c>
      <c r="G52" s="26">
        <f>+IFERROR('Q10'!G52/'Q10'!G47*100-100,0)</f>
        <v>0.99827598264299411</v>
      </c>
      <c r="H52" s="26">
        <f>+IFERROR('Q10'!H52/'Q10'!H47*100-100,0)</f>
        <v>8.3710880811312052</v>
      </c>
      <c r="I52" s="26">
        <f>+IFERROR('Q10'!I52/'Q10'!I47*100-100,0)</f>
        <v>5.4533113026252096</v>
      </c>
      <c r="J52" s="26">
        <f>+IFERROR('Q10'!J52/'Q10'!J47*100-100,0)</f>
        <v>18.40516439925382</v>
      </c>
      <c r="K52" s="26">
        <f>+IFERROR('Q10'!K52/'Q10'!K47*100-100,0)</f>
        <v>7.6996198244344782</v>
      </c>
      <c r="L52" s="26">
        <f>+IFERROR('Q10'!L52/'Q10'!L47*100-100,0)</f>
        <v>-2.0810953585644256</v>
      </c>
      <c r="M52" s="26">
        <f>+IFERROR('Q10'!M52/'Q10'!M47*100-100,0)</f>
        <v>13.079759909782851</v>
      </c>
      <c r="N52" s="26">
        <f>+IFERROR('Q10'!N52/'Q10'!N47*100-100,0)</f>
        <v>30.532501329848031</v>
      </c>
      <c r="O52" s="26">
        <f>+IFERROR('Q10'!O52/'Q10'!O47*100-100,0)</f>
        <v>0.34553023958984852</v>
      </c>
      <c r="P52" s="26">
        <f>+IFERROR('Q10'!P52/'Q10'!P47*100-100,0)</f>
        <v>2.4297601384666052</v>
      </c>
      <c r="Q52" s="26">
        <f>+IFERROR('Q10'!Q52/'Q10'!Q47*100-100,0)</f>
        <v>15.92473764284199</v>
      </c>
      <c r="R52" s="26">
        <f>+IFERROR('Q10'!R52/'Q10'!R47*100-100,0)</f>
        <v>7.8468045859560505</v>
      </c>
      <c r="S52" s="26">
        <f>+IFERROR('Q10'!S52/'Q10'!S47*100-100,0)</f>
        <v>-7.4068904328992886</v>
      </c>
      <c r="T52" s="26">
        <f>+IFERROR('Q10'!T52/'Q10'!T47*100-100,0)</f>
        <v>15.280056245093945</v>
      </c>
      <c r="U52" s="26">
        <f>+IFERROR('Q10'!U52/'Q10'!U47*100-100,0)</f>
        <v>8.1009932914697629</v>
      </c>
    </row>
    <row r="53" spans="1:21" x14ac:dyDescent="0.25">
      <c r="A53" s="95"/>
      <c r="B53" s="99">
        <v>2012</v>
      </c>
      <c r="C53" s="61" t="s">
        <v>28</v>
      </c>
      <c r="D53" s="21">
        <f>+IFERROR('Q10'!D53/'Q10'!D48*100-100,0)</f>
        <v>6.0798110022204526</v>
      </c>
      <c r="E53" s="21">
        <f>+IFERROR('Q10'!E53/'Q10'!E48*100-100,0)</f>
        <v>15.825148487438327</v>
      </c>
      <c r="F53" s="21">
        <f>+IFERROR('Q10'!F53/'Q10'!F48*100-100,0)</f>
        <v>-0.21120014132148413</v>
      </c>
      <c r="G53" s="21">
        <f>+IFERROR('Q10'!G53/'Q10'!G48*100-100,0)</f>
        <v>6.6796443536957213</v>
      </c>
      <c r="H53" s="21">
        <f>+IFERROR('Q10'!H53/'Q10'!H48*100-100,0)</f>
        <v>8.9828800515804943</v>
      </c>
      <c r="I53" s="21">
        <f>+IFERROR('Q10'!I53/'Q10'!I48*100-100,0)</f>
        <v>3.3845081488968418</v>
      </c>
      <c r="J53" s="21">
        <f>+IFERROR('Q10'!J53/'Q10'!J48*100-100,0)</f>
        <v>11.934576001507054</v>
      </c>
      <c r="K53" s="21">
        <f>+IFERROR('Q10'!K53/'Q10'!K48*100-100,0)</f>
        <v>8.4819122908752007</v>
      </c>
      <c r="L53" s="21">
        <f>+IFERROR('Q10'!L53/'Q10'!L48*100-100,0)</f>
        <v>4.1468719931743578</v>
      </c>
      <c r="M53" s="21">
        <f>+IFERROR('Q10'!M53/'Q10'!M48*100-100,0)</f>
        <v>13.019742321359587</v>
      </c>
      <c r="N53" s="21">
        <f>+IFERROR('Q10'!N53/'Q10'!N48*100-100,0)</f>
        <v>67.303114012700149</v>
      </c>
      <c r="O53" s="21">
        <f>+IFERROR('Q10'!O53/'Q10'!O48*100-100,0)</f>
        <v>-3.6406552966052175</v>
      </c>
      <c r="P53" s="21">
        <f>+IFERROR('Q10'!P53/'Q10'!P48*100-100,0)</f>
        <v>-0.2646541291398421</v>
      </c>
      <c r="Q53" s="21">
        <f>+IFERROR('Q10'!Q53/'Q10'!Q48*100-100,0)</f>
        <v>9.4361562080753174</v>
      </c>
      <c r="R53" s="21">
        <f>+IFERROR('Q10'!R53/'Q10'!R48*100-100,0)</f>
        <v>8.8091009969220693</v>
      </c>
      <c r="S53" s="21">
        <f>+IFERROR('Q10'!S53/'Q10'!S48*100-100,0)</f>
        <v>-8.2403305809654199</v>
      </c>
      <c r="T53" s="21">
        <f>+IFERROR('Q10'!T53/'Q10'!T48*100-100,0)</f>
        <v>15.598089082836282</v>
      </c>
      <c r="U53" s="21">
        <f>+IFERROR('Q10'!U53/'Q10'!U48*100-100,0)</f>
        <v>5.0901907625991072</v>
      </c>
    </row>
    <row r="54" spans="1:21" x14ac:dyDescent="0.25">
      <c r="A54" s="95"/>
      <c r="B54" s="100"/>
      <c r="C54" s="19" t="s">
        <v>29</v>
      </c>
      <c r="D54" s="2">
        <f>+IFERROR('Q10'!D54/'Q10'!D49*100-100,0)</f>
        <v>5.8228374097552944</v>
      </c>
      <c r="E54" s="2">
        <f>+IFERROR('Q10'!E54/'Q10'!E49*100-100,0)</f>
        <v>14.910618495604666</v>
      </c>
      <c r="F54" s="2">
        <f>+IFERROR('Q10'!F54/'Q10'!F49*100-100,0)</f>
        <v>7.8432580822370994</v>
      </c>
      <c r="G54" s="2">
        <f>+IFERROR('Q10'!G54/'Q10'!G49*100-100,0)</f>
        <v>-3.2724901481142865</v>
      </c>
      <c r="H54" s="2">
        <f>+IFERROR('Q10'!H54/'Q10'!H49*100-100,0)</f>
        <v>8.4222237808654086</v>
      </c>
      <c r="I54" s="2">
        <f>+IFERROR('Q10'!I54/'Q10'!I49*100-100,0)</f>
        <v>2.9644663167259182</v>
      </c>
      <c r="J54" s="2">
        <f>+IFERROR('Q10'!J54/'Q10'!J49*100-100,0)</f>
        <v>16.306877977979667</v>
      </c>
      <c r="K54" s="2">
        <f>+IFERROR('Q10'!K54/'Q10'!K49*100-100,0)</f>
        <v>7.9543263258817802</v>
      </c>
      <c r="L54" s="2">
        <f>+IFERROR('Q10'!L54/'Q10'!L49*100-100,0)</f>
        <v>-0.37924620856557567</v>
      </c>
      <c r="M54" s="2">
        <f>+IFERROR('Q10'!M54/'Q10'!M49*100-100,0)</f>
        <v>14.500542613259299</v>
      </c>
      <c r="N54" s="2">
        <f>+IFERROR('Q10'!N54/'Q10'!N49*100-100,0)</f>
        <v>43.452640971866856</v>
      </c>
      <c r="O54" s="2">
        <f>+IFERROR('Q10'!O54/'Q10'!O49*100-100,0)</f>
        <v>2.5552708740963084</v>
      </c>
      <c r="P54" s="2">
        <f>+IFERROR('Q10'!P54/'Q10'!P49*100-100,0)</f>
        <v>1.916410442287301</v>
      </c>
      <c r="Q54" s="2">
        <f>+IFERROR('Q10'!Q54/'Q10'!Q49*100-100,0)</f>
        <v>14.51904654679177</v>
      </c>
      <c r="R54" s="2">
        <f>+IFERROR('Q10'!R54/'Q10'!R49*100-100,0)</f>
        <v>8.2316020572092725</v>
      </c>
      <c r="S54" s="2">
        <f>+IFERROR('Q10'!S54/'Q10'!S49*100-100,0)</f>
        <v>-10.515860361607849</v>
      </c>
      <c r="T54" s="2">
        <f>+IFERROR('Q10'!T54/'Q10'!T49*100-100,0)</f>
        <v>20.014450118559196</v>
      </c>
      <c r="U54" s="2">
        <f>+IFERROR('Q10'!U54/'Q10'!U49*100-100,0)</f>
        <v>9.0889490802193507</v>
      </c>
    </row>
    <row r="55" spans="1:21" x14ac:dyDescent="0.25">
      <c r="A55" s="95"/>
      <c r="B55" s="100"/>
      <c r="C55" s="19" t="s">
        <v>30</v>
      </c>
      <c r="D55" s="2">
        <f>+IFERROR('Q10'!D55/'Q10'!D50*100-100,0)</f>
        <v>5.9067180521131775</v>
      </c>
      <c r="E55" s="2">
        <f>+IFERROR('Q10'!E55/'Q10'!E50*100-100,0)</f>
        <v>13.18090652519777</v>
      </c>
      <c r="F55" s="2">
        <f>+IFERROR('Q10'!F55/'Q10'!F50*100-100,0)</f>
        <v>10.136255565271824</v>
      </c>
      <c r="G55" s="2">
        <f>+IFERROR('Q10'!G55/'Q10'!G50*100-100,0)</f>
        <v>3.0583041574026879</v>
      </c>
      <c r="H55" s="2">
        <f>+IFERROR('Q10'!H55/'Q10'!H50*100-100,0)</f>
        <v>8.109292992533824</v>
      </c>
      <c r="I55" s="2">
        <f>+IFERROR('Q10'!I55/'Q10'!I50*100-100,0)</f>
        <v>5.2328588050325635</v>
      </c>
      <c r="J55" s="2">
        <f>+IFERROR('Q10'!J55/'Q10'!J50*100-100,0)</f>
        <v>21.038990239030724</v>
      </c>
      <c r="K55" s="2">
        <f>+IFERROR('Q10'!K55/'Q10'!K50*100-100,0)</f>
        <v>7.4075220084043991</v>
      </c>
      <c r="L55" s="2">
        <f>+IFERROR('Q10'!L55/'Q10'!L50*100-100,0)</f>
        <v>-5.0330934352550258</v>
      </c>
      <c r="M55" s="2">
        <f>+IFERROR('Q10'!M55/'Q10'!M50*100-100,0)</f>
        <v>14.306583584038151</v>
      </c>
      <c r="N55" s="2">
        <f>+IFERROR('Q10'!N55/'Q10'!N50*100-100,0)</f>
        <v>21.49833052685932</v>
      </c>
      <c r="O55" s="2">
        <f>+IFERROR('Q10'!O55/'Q10'!O50*100-100,0)</f>
        <v>2.0857412886381468</v>
      </c>
      <c r="P55" s="2">
        <f>+IFERROR('Q10'!P55/'Q10'!P50*100-100,0)</f>
        <v>4.5839431794302499</v>
      </c>
      <c r="Q55" s="2">
        <f>+IFERROR('Q10'!Q55/'Q10'!Q50*100-100,0)</f>
        <v>18.874744719841232</v>
      </c>
      <c r="R55" s="2">
        <f>+IFERROR('Q10'!R55/'Q10'!R50*100-100,0)</f>
        <v>7.5521189155571875</v>
      </c>
      <c r="S55" s="2">
        <f>+IFERROR('Q10'!S55/'Q10'!S50*100-100,0)</f>
        <v>-8.362595217721065</v>
      </c>
      <c r="T55" s="2">
        <f>+IFERROR('Q10'!T55/'Q10'!T50*100-100,0)</f>
        <v>19.091319535786425</v>
      </c>
      <c r="U55" s="2">
        <f>+IFERROR('Q10'!U55/'Q10'!U50*100-100,0)</f>
        <v>9.7107226367125037</v>
      </c>
    </row>
    <row r="56" spans="1:21" x14ac:dyDescent="0.25">
      <c r="A56" s="95"/>
      <c r="B56" s="101"/>
      <c r="C56" s="52" t="s">
        <v>31</v>
      </c>
      <c r="D56" s="20">
        <f>+IFERROR('Q10'!D56/'Q10'!D51*100-100,0)</f>
        <v>5.9993302764764564</v>
      </c>
      <c r="E56" s="20">
        <f>+IFERROR('Q10'!E56/'Q10'!E51*100-100,0)</f>
        <v>9.7379308637543858</v>
      </c>
      <c r="F56" s="20">
        <f>+IFERROR('Q10'!F56/'Q10'!F51*100-100,0)</f>
        <v>8.4989387091339239</v>
      </c>
      <c r="G56" s="20">
        <f>+IFERROR('Q10'!G56/'Q10'!G51*100-100,0)</f>
        <v>-2.109571203133882</v>
      </c>
      <c r="H56" s="20">
        <f>+IFERROR('Q10'!H56/'Q10'!H51*100-100,0)</f>
        <v>8.0074698807560054</v>
      </c>
      <c r="I56" s="20">
        <f>+IFERROR('Q10'!I56/'Q10'!I51*100-100,0)</f>
        <v>10.255634546407919</v>
      </c>
      <c r="J56" s="20">
        <f>+IFERROR('Q10'!J56/'Q10'!J51*100-100,0)</f>
        <v>23.917149529441346</v>
      </c>
      <c r="K56" s="20">
        <f>+IFERROR('Q10'!K56/'Q10'!K51*100-100,0)</f>
        <v>7.0050092209245065</v>
      </c>
      <c r="L56" s="20">
        <f>+IFERROR('Q10'!L56/'Q10'!L51*100-100,0)</f>
        <v>-6.7529867845526326</v>
      </c>
      <c r="M56" s="20">
        <f>+IFERROR('Q10'!M56/'Q10'!M51*100-100,0)</f>
        <v>10.617621404677877</v>
      </c>
      <c r="N56" s="20">
        <f>+IFERROR('Q10'!N56/'Q10'!N51*100-100,0)</f>
        <v>5.5353379005719745</v>
      </c>
      <c r="O56" s="20">
        <f>+IFERROR('Q10'!O56/'Q10'!O51*100-100,0)</f>
        <v>0.41498123667673781</v>
      </c>
      <c r="P56" s="20">
        <f>+IFERROR('Q10'!P56/'Q10'!P51*100-100,0)</f>
        <v>3.5316263731641584</v>
      </c>
      <c r="Q56" s="20">
        <f>+IFERROR('Q10'!Q56/'Q10'!Q51*100-100,0)</f>
        <v>20.615600183583766</v>
      </c>
      <c r="R56" s="20">
        <f>+IFERROR('Q10'!R56/'Q10'!R51*100-100,0)</f>
        <v>6.8629855886289164</v>
      </c>
      <c r="S56" s="20">
        <f>+IFERROR('Q10'!S56/'Q10'!S51*100-100,0)</f>
        <v>-2.0652981697128894</v>
      </c>
      <c r="T56" s="20">
        <f>+IFERROR('Q10'!T56/'Q10'!T51*100-100,0)</f>
        <v>7.7140031232626853</v>
      </c>
      <c r="U56" s="20">
        <f>+IFERROR('Q10'!U56/'Q10'!U51*100-100,0)</f>
        <v>8.5031228386666555</v>
      </c>
    </row>
    <row r="57" spans="1:21" x14ac:dyDescent="0.25">
      <c r="A57" s="95"/>
      <c r="B57" s="58"/>
      <c r="C57" s="16" t="s">
        <v>51</v>
      </c>
      <c r="D57" s="26">
        <f>+IFERROR('Q10'!D57/'Q10'!D52*100-100,0)</f>
        <v>5.6650625606352776</v>
      </c>
      <c r="E57" s="26">
        <f>+IFERROR('Q10'!E57/'Q10'!E52*100-100,0)</f>
        <v>4.8630346225923944</v>
      </c>
      <c r="F57" s="26">
        <f>+IFERROR('Q10'!F57/'Q10'!F52*100-100,0)</f>
        <v>2.1263380954986673</v>
      </c>
      <c r="G57" s="26">
        <f>+IFERROR('Q10'!G57/'Q10'!G52*100-100,0)</f>
        <v>0.97715971941931912</v>
      </c>
      <c r="H57" s="26">
        <f>+IFERROR('Q10'!H57/'Q10'!H52*100-100,0)</f>
        <v>8.6030521161190734</v>
      </c>
      <c r="I57" s="26">
        <f>+IFERROR('Q10'!I57/'Q10'!I52*100-100,0)</f>
        <v>19.559240957926363</v>
      </c>
      <c r="J57" s="26">
        <f>+IFERROR('Q10'!J57/'Q10'!J52*100-100,0)</f>
        <v>20.396682700814225</v>
      </c>
      <c r="K57" s="26">
        <f>+IFERROR('Q10'!K57/'Q10'!K52*100-100,0)</f>
        <v>5.4212041561677182</v>
      </c>
      <c r="L57" s="26">
        <f>+IFERROR('Q10'!L57/'Q10'!L52*100-100,0)</f>
        <v>5.7812747843192938</v>
      </c>
      <c r="M57" s="26">
        <f>+IFERROR('Q10'!M57/'Q10'!M52*100-100,0)</f>
        <v>9.7566338640736348</v>
      </c>
      <c r="N57" s="26">
        <f>+IFERROR('Q10'!N57/'Q10'!N52*100-100,0)</f>
        <v>9.0466920150379622</v>
      </c>
      <c r="O57" s="26">
        <f>+IFERROR('Q10'!O57/'Q10'!O52*100-100,0)</f>
        <v>-4.1439754481264401</v>
      </c>
      <c r="P57" s="26">
        <f>+IFERROR('Q10'!P57/'Q10'!P52*100-100,0)</f>
        <v>7.8271254844006108</v>
      </c>
      <c r="Q57" s="26">
        <f>+IFERROR('Q10'!Q57/'Q10'!Q52*100-100,0)</f>
        <v>10.242562667066977</v>
      </c>
      <c r="R57" s="26">
        <f>+IFERROR('Q10'!R57/'Q10'!R52*100-100,0)</f>
        <v>4.1065780933651013</v>
      </c>
      <c r="S57" s="26">
        <f>+IFERROR('Q10'!S57/'Q10'!S52*100-100,0)</f>
        <v>9.2349897366093643</v>
      </c>
      <c r="T57" s="26">
        <f>+IFERROR('Q10'!T57/'Q10'!T52*100-100,0)</f>
        <v>30.355495576401836</v>
      </c>
      <c r="U57" s="26">
        <f>+IFERROR('Q10'!U57/'Q10'!U52*100-100,0)</f>
        <v>6.8107644701530319</v>
      </c>
    </row>
    <row r="58" spans="1:21" x14ac:dyDescent="0.25">
      <c r="A58" s="95"/>
      <c r="B58" s="99">
        <v>2013</v>
      </c>
      <c r="C58" s="61" t="s">
        <v>28</v>
      </c>
      <c r="D58" s="21">
        <f>+IFERROR('Q10'!D58/'Q10'!D53*100-100,0)</f>
        <v>6.250429038705164</v>
      </c>
      <c r="E58" s="21">
        <f>+IFERROR('Q10'!E58/'Q10'!E53*100-100,0)</f>
        <v>7.3650545849038593</v>
      </c>
      <c r="F58" s="21">
        <f>+IFERROR('Q10'!F58/'Q10'!F53*100-100,0)</f>
        <v>5.2364828104838068</v>
      </c>
      <c r="G58" s="21">
        <f>+IFERROR('Q10'!G58/'Q10'!G53*100-100,0)</f>
        <v>-3.2465166826280552</v>
      </c>
      <c r="H58" s="21">
        <f>+IFERROR('Q10'!H58/'Q10'!H53*100-100,0)</f>
        <v>8.6336533637790751</v>
      </c>
      <c r="I58" s="21">
        <f>+IFERROR('Q10'!I58/'Q10'!I53*100-100,0)</f>
        <v>13.735401031814192</v>
      </c>
      <c r="J58" s="21">
        <f>+IFERROR('Q10'!J58/'Q10'!J53*100-100,0)</f>
        <v>24.161912053056383</v>
      </c>
      <c r="K58" s="21">
        <f>+IFERROR('Q10'!K58/'Q10'!K53*100-100,0)</f>
        <v>5.9204562605385149</v>
      </c>
      <c r="L58" s="21">
        <f>+IFERROR('Q10'!L58/'Q10'!L53*100-100,0)</f>
        <v>-5.3408010140936142</v>
      </c>
      <c r="M58" s="21">
        <f>+IFERROR('Q10'!M58/'Q10'!M53*100-100,0)</f>
        <v>11.618821722692886</v>
      </c>
      <c r="N58" s="21">
        <f>+IFERROR('Q10'!N58/'Q10'!N53*100-100,0)</f>
        <v>1.9710038755493855</v>
      </c>
      <c r="O58" s="21">
        <f>+IFERROR('Q10'!O58/'Q10'!O53*100-100,0)</f>
        <v>0.55551255693009693</v>
      </c>
      <c r="P58" s="21">
        <f>+IFERROR('Q10'!P58/'Q10'!P53*100-100,0)</f>
        <v>7.1991223446653976</v>
      </c>
      <c r="Q58" s="21">
        <f>+IFERROR('Q10'!Q58/'Q10'!Q53*100-100,0)</f>
        <v>17.941927009033492</v>
      </c>
      <c r="R58" s="21">
        <f>+IFERROR('Q10'!R58/'Q10'!R53*100-100,0)</f>
        <v>5.1424137587325873</v>
      </c>
      <c r="S58" s="21">
        <f>+IFERROR('Q10'!S58/'Q10'!S53*100-100,0)</f>
        <v>3.351791884603557</v>
      </c>
      <c r="T58" s="21">
        <f>+IFERROR('Q10'!T58/'Q10'!T53*100-100,0)</f>
        <v>5.8919951580638212</v>
      </c>
      <c r="U58" s="21">
        <f>+IFERROR('Q10'!U58/'Q10'!U53*100-100,0)</f>
        <v>9.6644069198374041</v>
      </c>
    </row>
    <row r="59" spans="1:21" x14ac:dyDescent="0.25">
      <c r="A59" s="95"/>
      <c r="B59" s="100"/>
      <c r="C59" s="19" t="s">
        <v>29</v>
      </c>
      <c r="D59" s="2">
        <f>+IFERROR('Q10'!D59/'Q10'!D54*100-100,0)</f>
        <v>6.1035077504795368</v>
      </c>
      <c r="E59" s="2">
        <f>+IFERROR('Q10'!E59/'Q10'!E54*100-100,0)</f>
        <v>5.6224914540395474</v>
      </c>
      <c r="F59" s="2">
        <f>+IFERROR('Q10'!F59/'Q10'!F54*100-100,0)</f>
        <v>2.248319701599371</v>
      </c>
      <c r="G59" s="2">
        <f>+IFERROR('Q10'!G59/'Q10'!G54*100-100,0)</f>
        <v>2.3231998455990066</v>
      </c>
      <c r="H59" s="2">
        <f>+IFERROR('Q10'!H59/'Q10'!H54*100-100,0)</f>
        <v>9.0432322843028601</v>
      </c>
      <c r="I59" s="2">
        <f>+IFERROR('Q10'!I59/'Q10'!I54*100-100,0)</f>
        <v>19.03601347217942</v>
      </c>
      <c r="J59" s="2">
        <f>+IFERROR('Q10'!J59/'Q10'!J54*100-100,0)</f>
        <v>22.535379383482507</v>
      </c>
      <c r="K59" s="2">
        <f>+IFERROR('Q10'!K59/'Q10'!K54*100-100,0)</f>
        <v>5.1573136845029381</v>
      </c>
      <c r="L59" s="2">
        <f>+IFERROR('Q10'!L59/'Q10'!L54*100-100,0)</f>
        <v>0.87572944420790577</v>
      </c>
      <c r="M59" s="2">
        <f>+IFERROR('Q10'!M59/'Q10'!M54*100-100,0)</f>
        <v>12.276946435610441</v>
      </c>
      <c r="N59" s="2">
        <f>+IFERROR('Q10'!N59/'Q10'!N54*100-100,0)</f>
        <v>4.9290848732914867</v>
      </c>
      <c r="O59" s="2">
        <f>+IFERROR('Q10'!O59/'Q10'!O54*100-100,0)</f>
        <v>-3.4683395616350197</v>
      </c>
      <c r="P59" s="2">
        <f>+IFERROR('Q10'!P59/'Q10'!P54*100-100,0)</f>
        <v>10.220347959670335</v>
      </c>
      <c r="Q59" s="2">
        <f>+IFERROR('Q10'!Q59/'Q10'!Q54*100-100,0)</f>
        <v>13.258691886900834</v>
      </c>
      <c r="R59" s="2">
        <f>+IFERROR('Q10'!R59/'Q10'!R54*100-100,0)</f>
        <v>3.6565395047413887</v>
      </c>
      <c r="S59" s="2">
        <f>+IFERROR('Q10'!S59/'Q10'!S54*100-100,0)</f>
        <v>4.4819290879846534</v>
      </c>
      <c r="T59" s="2">
        <f>+IFERROR('Q10'!T59/'Q10'!T54*100-100,0)</f>
        <v>8.4768022849863769</v>
      </c>
      <c r="U59" s="2">
        <f>+IFERROR('Q10'!U59/'Q10'!U54*100-100,0)</f>
        <v>8.3152591841339216</v>
      </c>
    </row>
    <row r="60" spans="1:21" x14ac:dyDescent="0.25">
      <c r="A60" s="95"/>
      <c r="B60" s="100"/>
      <c r="C60" s="19" t="s">
        <v>30</v>
      </c>
      <c r="D60" s="2">
        <f>+IFERROR('Q10'!D60/'Q10'!D55*100-100,0)</f>
        <v>5.5407887227325574</v>
      </c>
      <c r="E60" s="2">
        <f>+IFERROR('Q10'!E60/'Q10'!E55*100-100,0)</f>
        <v>4.2444961450996033</v>
      </c>
      <c r="F60" s="2">
        <f>+IFERROR('Q10'!F60/'Q10'!F55*100-100,0)</f>
        <v>2.0259415293546255</v>
      </c>
      <c r="G60" s="2">
        <f>+IFERROR('Q10'!G60/'Q10'!G55*100-100,0)</f>
        <v>0.91851445357553985</v>
      </c>
      <c r="H60" s="2">
        <f>+IFERROR('Q10'!H60/'Q10'!H55*100-100,0)</f>
        <v>8.905284024301281</v>
      </c>
      <c r="I60" s="2">
        <f>+IFERROR('Q10'!I60/'Q10'!I55*100-100,0)</f>
        <v>19.716780959765899</v>
      </c>
      <c r="J60" s="2">
        <f>+IFERROR('Q10'!J60/'Q10'!J55*100-100,0)</f>
        <v>19.496194551184658</v>
      </c>
      <c r="K60" s="2">
        <f>+IFERROR('Q10'!K60/'Q10'!K55*100-100,0)</f>
        <v>5.0065958515640432</v>
      </c>
      <c r="L60" s="2">
        <f>+IFERROR('Q10'!L60/'Q10'!L55*100-100,0)</f>
        <v>10.181109334366639</v>
      </c>
      <c r="M60" s="2">
        <f>+IFERROR('Q10'!M60/'Q10'!M55*100-100,0)</f>
        <v>9.5682543365019228</v>
      </c>
      <c r="N60" s="2">
        <f>+IFERROR('Q10'!N60/'Q10'!N55*100-100,0)</f>
        <v>11.311722943954948</v>
      </c>
      <c r="O60" s="2">
        <f>+IFERROR('Q10'!O60/'Q10'!O55*100-100,0)</f>
        <v>-9.92239118284526</v>
      </c>
      <c r="P60" s="2">
        <f>+IFERROR('Q10'!P60/'Q10'!P55*100-100,0)</f>
        <v>7.6880532756136404</v>
      </c>
      <c r="Q60" s="2">
        <f>+IFERROR('Q10'!Q60/'Q10'!Q55*100-100,0)</f>
        <v>7.946751224153445</v>
      </c>
      <c r="R60" s="2">
        <f>+IFERROR('Q10'!R60/'Q10'!R55*100-100,0)</f>
        <v>3.2745633249279962</v>
      </c>
      <c r="S60" s="2">
        <f>+IFERROR('Q10'!S60/'Q10'!S55*100-100,0)</f>
        <v>10.918546340336803</v>
      </c>
      <c r="T60" s="2">
        <f>+IFERROR('Q10'!T60/'Q10'!T55*100-100,0)</f>
        <v>93.076983534680295</v>
      </c>
      <c r="U60" s="2">
        <f>+IFERROR('Q10'!U60/'Q10'!U55*100-100,0)</f>
        <v>4.5620173297474764</v>
      </c>
    </row>
    <row r="61" spans="1:21" x14ac:dyDescent="0.25">
      <c r="A61" s="95"/>
      <c r="B61" s="101"/>
      <c r="C61" s="52" t="s">
        <v>31</v>
      </c>
      <c r="D61" s="20">
        <f>+IFERROR('Q10'!D61/'Q10'!D56*100-100,0)</f>
        <v>4.7968605777442264</v>
      </c>
      <c r="E61" s="20">
        <f>+IFERROR('Q10'!E61/'Q10'!E56*100-100,0)</f>
        <v>2.38024070293379</v>
      </c>
      <c r="F61" s="20">
        <f>+IFERROR('Q10'!F61/'Q10'!F56*100-100,0)</f>
        <v>-0.83284022305288374</v>
      </c>
      <c r="G61" s="20">
        <f>+IFERROR('Q10'!G61/'Q10'!G56*100-100,0)</f>
        <v>4.0659313183615495</v>
      </c>
      <c r="H61" s="20">
        <f>+IFERROR('Q10'!H61/'Q10'!H56*100-100,0)</f>
        <v>7.8571077439421941</v>
      </c>
      <c r="I61" s="20">
        <f>+IFERROR('Q10'!I61/'Q10'!I56*100-100,0)</f>
        <v>25.293899486730666</v>
      </c>
      <c r="J61" s="20">
        <f>+IFERROR('Q10'!J61/'Q10'!J56*100-100,0)</f>
        <v>16.14847992449657</v>
      </c>
      <c r="K61" s="20">
        <f>+IFERROR('Q10'!K61/'Q10'!K56*100-100,0)</f>
        <v>5.6106703012080317</v>
      </c>
      <c r="L61" s="20">
        <f>+IFERROR('Q10'!L61/'Q10'!L56*100-100,0)</f>
        <v>18.299683461504188</v>
      </c>
      <c r="M61" s="20">
        <f>+IFERROR('Q10'!M61/'Q10'!M56*100-100,0)</f>
        <v>5.7526702989174794</v>
      </c>
      <c r="N61" s="20">
        <f>+IFERROR('Q10'!N61/'Q10'!N56*100-100,0)</f>
        <v>18.040357166688409</v>
      </c>
      <c r="O61" s="20">
        <f>+IFERROR('Q10'!O61/'Q10'!O56*100-100,0)</f>
        <v>-3.3535144404296489</v>
      </c>
      <c r="P61" s="20">
        <f>+IFERROR('Q10'!P61/'Q10'!P56*100-100,0)</f>
        <v>6.2757467993915554</v>
      </c>
      <c r="Q61" s="20">
        <f>+IFERROR('Q10'!Q61/'Q10'!Q56*100-100,0)</f>
        <v>2.9999331025370992</v>
      </c>
      <c r="R61" s="20">
        <f>+IFERROR('Q10'!R61/'Q10'!R56*100-100,0)</f>
        <v>4.3797921041589092</v>
      </c>
      <c r="S61" s="20">
        <f>+IFERROR('Q10'!S61/'Q10'!S56*100-100,0)</f>
        <v>18.307684519590921</v>
      </c>
      <c r="T61" s="20">
        <f>+IFERROR('Q10'!T61/'Q10'!T56*100-100,0)</f>
        <v>14.79475358156111</v>
      </c>
      <c r="U61" s="20">
        <f>+IFERROR('Q10'!U61/'Q10'!U56*100-100,0)</f>
        <v>4.8830612968838949</v>
      </c>
    </row>
    <row r="62" spans="1:21" x14ac:dyDescent="0.25">
      <c r="A62" s="95"/>
      <c r="B62" s="58"/>
      <c r="C62" s="16" t="s">
        <v>51</v>
      </c>
      <c r="D62" s="26">
        <f>+IFERROR('Q10'!D62/'Q10'!D57*100-100,0)</f>
        <v>5.0353656441801604</v>
      </c>
      <c r="E62" s="26">
        <f>+IFERROR('Q10'!E62/'Q10'!E57*100-100,0)</f>
        <v>19.706856721815541</v>
      </c>
      <c r="F62" s="26">
        <f>+IFERROR('Q10'!F62/'Q10'!F57*100-100,0)</f>
        <v>-4.0324014840618929</v>
      </c>
      <c r="G62" s="26">
        <f>+IFERROR('Q10'!G62/'Q10'!G57*100-100,0)</f>
        <v>2.4977550464461871</v>
      </c>
      <c r="H62" s="26">
        <f>+IFERROR('Q10'!H62/'Q10'!H57*100-100,0)</f>
        <v>-3.5632961544635293</v>
      </c>
      <c r="I62" s="26">
        <f>+IFERROR('Q10'!I62/'Q10'!I57*100-100,0)</f>
        <v>11.032952891232142</v>
      </c>
      <c r="J62" s="26">
        <f>+IFERROR('Q10'!J62/'Q10'!J57*100-100,0)</f>
        <v>3.1729975220057298</v>
      </c>
      <c r="K62" s="26">
        <f>+IFERROR('Q10'!K62/'Q10'!K57*100-100,0)</f>
        <v>15.884166531043803</v>
      </c>
      <c r="L62" s="26">
        <f>+IFERROR('Q10'!L62/'Q10'!L57*100-100,0)</f>
        <v>19.182721546668631</v>
      </c>
      <c r="M62" s="26">
        <f>+IFERROR('Q10'!M62/'Q10'!M57*100-100,0)</f>
        <v>6.7363806860994373</v>
      </c>
      <c r="N62" s="26">
        <f>+IFERROR('Q10'!N62/'Q10'!N57*100-100,0)</f>
        <v>14.211345677009277</v>
      </c>
      <c r="O62" s="26">
        <f>+IFERROR('Q10'!O62/'Q10'!O57*100-100,0)</f>
        <v>-7.118785999319897</v>
      </c>
      <c r="P62" s="26">
        <f>+IFERROR('Q10'!P62/'Q10'!P57*100-100,0)</f>
        <v>6.3874390927671953</v>
      </c>
      <c r="Q62" s="26">
        <f>+IFERROR('Q10'!Q62/'Q10'!Q57*100-100,0)</f>
        <v>-2.2832339906783687</v>
      </c>
      <c r="R62" s="26">
        <f>+IFERROR('Q10'!R62/'Q10'!R57*100-100,0)</f>
        <v>12.946438915872506</v>
      </c>
      <c r="S62" s="26">
        <f>+IFERROR('Q10'!S62/'Q10'!S57*100-100,0)</f>
        <v>19.086370002822136</v>
      </c>
      <c r="T62" s="26">
        <f>+IFERROR('Q10'!T62/'Q10'!T57*100-100,0)</f>
        <v>19.658380754675321</v>
      </c>
      <c r="U62" s="26">
        <f>+IFERROR('Q10'!U62/'Q10'!U57*100-100,0)</f>
        <v>1.0107760190009003</v>
      </c>
    </row>
    <row r="63" spans="1:21" x14ac:dyDescent="0.25">
      <c r="A63" s="95"/>
      <c r="B63" s="99">
        <v>2014</v>
      </c>
      <c r="C63" s="61" t="s">
        <v>28</v>
      </c>
      <c r="D63" s="21">
        <f>+IFERROR('Q10'!D63/'Q10'!D58*100-100,0)</f>
        <v>4.561978342584581</v>
      </c>
      <c r="E63" s="21">
        <f>+IFERROR('Q10'!E63/'Q10'!E58*100-100,0)</f>
        <v>11.090027766326301</v>
      </c>
      <c r="F63" s="21">
        <f>+IFERROR('Q10'!F63/'Q10'!F58*100-100,0)</f>
        <v>-2.7146828890662817</v>
      </c>
      <c r="G63" s="21">
        <f>+IFERROR('Q10'!G63/'Q10'!G58*100-100,0)</f>
        <v>3.0913541213178064</v>
      </c>
      <c r="H63" s="21">
        <f>+IFERROR('Q10'!H63/'Q10'!H58*100-100,0)</f>
        <v>2.4419628367077735</v>
      </c>
      <c r="I63" s="21">
        <f>+IFERROR('Q10'!I63/'Q10'!I58*100-100,0)</f>
        <v>22.733259451698956</v>
      </c>
      <c r="J63" s="21">
        <f>+IFERROR('Q10'!J63/'Q10'!J58*100-100,0)</f>
        <v>10.708480108723165</v>
      </c>
      <c r="K63" s="21">
        <f>+IFERROR('Q10'!K63/'Q10'!K58*100-100,0)</f>
        <v>8.7136718295388675</v>
      </c>
      <c r="L63" s="21">
        <f>+IFERROR('Q10'!L63/'Q10'!L58*100-100,0)</f>
        <v>24.208706208698857</v>
      </c>
      <c r="M63" s="21">
        <f>+IFERROR('Q10'!M63/'Q10'!M58*100-100,0)</f>
        <v>4.4449457474150904</v>
      </c>
      <c r="N63" s="21">
        <f>+IFERROR('Q10'!N63/'Q10'!N58*100-100,0)</f>
        <v>19.417423566112674</v>
      </c>
      <c r="O63" s="21">
        <f>+IFERROR('Q10'!O63/'Q10'!O58*100-100,0)</f>
        <v>-1.3072893804021533</v>
      </c>
      <c r="P63" s="21">
        <f>+IFERROR('Q10'!P63/'Q10'!P58*100-100,0)</f>
        <v>5.192069663347425</v>
      </c>
      <c r="Q63" s="21">
        <f>+IFERROR('Q10'!Q63/'Q10'!Q58*100-100,0)</f>
        <v>-5.6864085312113843E-2</v>
      </c>
      <c r="R63" s="21">
        <f>+IFERROR('Q10'!R63/'Q10'!R58*100-100,0)</f>
        <v>9.6290858454859176</v>
      </c>
      <c r="S63" s="21">
        <f>+IFERROR('Q10'!S63/'Q10'!S58*100-100,0)</f>
        <v>16.955850608827532</v>
      </c>
      <c r="T63" s="21">
        <f>+IFERROR('Q10'!T63/'Q10'!T58*100-100,0)</f>
        <v>55.189212705448398</v>
      </c>
      <c r="U63" s="21">
        <f>+IFERROR('Q10'!U63/'Q10'!U58*100-100,0)</f>
        <v>-0.43333195637883648</v>
      </c>
    </row>
    <row r="64" spans="1:21" x14ac:dyDescent="0.25">
      <c r="A64" s="95"/>
      <c r="B64" s="100"/>
      <c r="C64" s="19" t="s">
        <v>29</v>
      </c>
      <c r="D64" s="2">
        <f>+IFERROR('Q10'!D64/'Q10'!D59*100-100,0)</f>
        <v>4.8072175259895857</v>
      </c>
      <c r="E64" s="2">
        <f>+IFERROR('Q10'!E64/'Q10'!E59*100-100,0)</f>
        <v>15.532055461475252</v>
      </c>
      <c r="F64" s="2">
        <f>+IFERROR('Q10'!F64/'Q10'!F59*100-100,0)</f>
        <v>-5.1223885704192327</v>
      </c>
      <c r="G64" s="2">
        <f>+IFERROR('Q10'!G64/'Q10'!G59*100-100,0)</f>
        <v>3.1519970852700538</v>
      </c>
      <c r="H64" s="2">
        <f>+IFERROR('Q10'!H64/'Q10'!H59*100-100,0)</f>
        <v>-3.1352370704565118</v>
      </c>
      <c r="I64" s="2">
        <f>+IFERROR('Q10'!I64/'Q10'!I59*100-100,0)</f>
        <v>10.76924615018919</v>
      </c>
      <c r="J64" s="2">
        <f>+IFERROR('Q10'!J64/'Q10'!J59*100-100,0)</f>
        <v>1.0065866354143083</v>
      </c>
      <c r="K64" s="2">
        <f>+IFERROR('Q10'!K64/'Q10'!K59*100-100,0)</f>
        <v>12.423487031897366</v>
      </c>
      <c r="L64" s="2">
        <f>+IFERROR('Q10'!L64/'Q10'!L59*100-100,0)</f>
        <v>35.530846071599484</v>
      </c>
      <c r="M64" s="2">
        <f>+IFERROR('Q10'!M64/'Q10'!M59*100-100,0)</f>
        <v>3.9422539587317402</v>
      </c>
      <c r="N64" s="2">
        <f>+IFERROR('Q10'!N64/'Q10'!N59*100-100,0)</f>
        <v>16.136932977700425</v>
      </c>
      <c r="O64" s="2">
        <f>+IFERROR('Q10'!O64/'Q10'!O59*100-100,0)</f>
        <v>-3.590122220219186</v>
      </c>
      <c r="P64" s="2">
        <f>+IFERROR('Q10'!P64/'Q10'!P59*100-100,0)</f>
        <v>4.8268805650021562</v>
      </c>
      <c r="Q64" s="2">
        <f>+IFERROR('Q10'!Q64/'Q10'!Q59*100-100,0)</f>
        <v>-2.1774318550241105</v>
      </c>
      <c r="R64" s="2">
        <f>+IFERROR('Q10'!R64/'Q10'!R59*100-100,0)</f>
        <v>12.746235379105016</v>
      </c>
      <c r="S64" s="2">
        <f>+IFERROR('Q10'!S64/'Q10'!S59*100-100,0)</f>
        <v>25.269153495824483</v>
      </c>
      <c r="T64" s="2">
        <f>+IFERROR('Q10'!T64/'Q10'!T59*100-100,0)</f>
        <v>86.492463582795523</v>
      </c>
      <c r="U64" s="2">
        <f>+IFERROR('Q10'!U64/'Q10'!U59*100-100,0)</f>
        <v>-3.5937309138439275</v>
      </c>
    </row>
    <row r="65" spans="1:21" x14ac:dyDescent="0.25">
      <c r="A65" s="95"/>
      <c r="B65" s="100"/>
      <c r="C65" s="19" t="s">
        <v>30</v>
      </c>
      <c r="D65" s="2">
        <f>+IFERROR('Q10'!D65/'Q10'!D60*100-100,0)</f>
        <v>5.284419956712668</v>
      </c>
      <c r="E65" s="2">
        <f>+IFERROR('Q10'!E65/'Q10'!E60*100-100,0)</f>
        <v>21.421604438138544</v>
      </c>
      <c r="F65" s="2">
        <f>+IFERROR('Q10'!F65/'Q10'!F60*100-100,0)</f>
        <v>-5.7777635830827165</v>
      </c>
      <c r="G65" s="2">
        <f>+IFERROR('Q10'!G65/'Q10'!G60*100-100,0)</f>
        <v>3.1307702231638643</v>
      </c>
      <c r="H65" s="2">
        <f>+IFERROR('Q10'!H65/'Q10'!H60*100-100,0)</f>
        <v>-7.3011408715464796</v>
      </c>
      <c r="I65" s="2">
        <f>+IFERROR('Q10'!I65/'Q10'!I60*100-100,0)</f>
        <v>8.7191548922593114</v>
      </c>
      <c r="J65" s="2">
        <f>+IFERROR('Q10'!J65/'Q10'!J60*100-100,0)</f>
        <v>9.2083888068316355E-2</v>
      </c>
      <c r="K65" s="2">
        <f>+IFERROR('Q10'!K65/'Q10'!K60*100-100,0)</f>
        <v>17.597729787305894</v>
      </c>
      <c r="L65" s="2">
        <f>+IFERROR('Q10'!L65/'Q10'!L60*100-100,0)</f>
        <v>18.584067374733365</v>
      </c>
      <c r="M65" s="2">
        <f>+IFERROR('Q10'!M65/'Q10'!M60*100-100,0)</f>
        <v>6.3012347966247404</v>
      </c>
      <c r="N65" s="2">
        <f>+IFERROR('Q10'!N65/'Q10'!N60*100-100,0)</f>
        <v>13.353131388370358</v>
      </c>
      <c r="O65" s="2">
        <f>+IFERROR('Q10'!O65/'Q10'!O60*100-100,0)</f>
        <v>-12.606226151226124</v>
      </c>
      <c r="P65" s="2">
        <f>+IFERROR('Q10'!P65/'Q10'!P60*100-100,0)</f>
        <v>7.0554576461654648</v>
      </c>
      <c r="Q65" s="2">
        <f>+IFERROR('Q10'!Q65/'Q10'!Q60*100-100,0)</f>
        <v>-3.3597943903053249</v>
      </c>
      <c r="R65" s="2">
        <f>+IFERROR('Q10'!R65/'Q10'!R60*100-100,0)</f>
        <v>14.28045422442878</v>
      </c>
      <c r="S65" s="2">
        <f>+IFERROR('Q10'!S65/'Q10'!S60*100-100,0)</f>
        <v>27.669244274514739</v>
      </c>
      <c r="T65" s="2">
        <f>+IFERROR('Q10'!T65/'Q10'!T60*100-100,0)</f>
        <v>-27.627863915733769</v>
      </c>
      <c r="U65" s="2">
        <f>+IFERROR('Q10'!U65/'Q10'!U60*100-100,0)</f>
        <v>3.4413620587322384</v>
      </c>
    </row>
    <row r="66" spans="1:21" x14ac:dyDescent="0.25">
      <c r="A66" s="95"/>
      <c r="B66" s="101"/>
      <c r="C66" s="52" t="s">
        <v>31</v>
      </c>
      <c r="D66" s="20">
        <f>+IFERROR('Q10'!D66/'Q10'!D61*100-100,0)</f>
        <v>5.4734156816108168</v>
      </c>
      <c r="E66" s="20">
        <f>+IFERROR('Q10'!E66/'Q10'!E61*100-100,0)</f>
        <v>30.658927464637571</v>
      </c>
      <c r="F66" s="20">
        <f>+IFERROR('Q10'!F66/'Q10'!F61*100-100,0)</f>
        <v>-2.4757429900539023</v>
      </c>
      <c r="G66" s="20">
        <f>+IFERROR('Q10'!G66/'Q10'!G61*100-100,0)</f>
        <v>0.67099999999993543</v>
      </c>
      <c r="H66" s="20">
        <f>+IFERROR('Q10'!H66/'Q10'!H61*100-100,0)</f>
        <v>-5.9797612434442442</v>
      </c>
      <c r="I66" s="20">
        <f>+IFERROR('Q10'!I66/'Q10'!I61*100-100,0)</f>
        <v>3.5979524433576131</v>
      </c>
      <c r="J66" s="20">
        <f>+IFERROR('Q10'!J66/'Q10'!J61*100-100,0)</f>
        <v>1.3918770188863903</v>
      </c>
      <c r="K66" s="20">
        <f>+IFERROR('Q10'!K66/'Q10'!K61*100-100,0)</f>
        <v>24.416038564408211</v>
      </c>
      <c r="L66" s="20">
        <f>+IFERROR('Q10'!L66/'Q10'!L61*100-100,0)</f>
        <v>0.93026448604447864</v>
      </c>
      <c r="M66" s="20">
        <f>+IFERROR('Q10'!M66/'Q10'!M61*100-100,0)</f>
        <v>12.332710332875934</v>
      </c>
      <c r="N66" s="20">
        <f>+IFERROR('Q10'!N66/'Q10'!N61*100-100,0)</f>
        <v>8.7799999999999869</v>
      </c>
      <c r="O66" s="20">
        <f>+IFERROR('Q10'!O66/'Q10'!O61*100-100,0)</f>
        <v>-11.193198111767018</v>
      </c>
      <c r="P66" s="20">
        <f>+IFERROR('Q10'!P66/'Q10'!P61*100-100,0)</f>
        <v>8.4351799538861911</v>
      </c>
      <c r="Q66" s="20">
        <f>+IFERROR('Q10'!Q66/'Q10'!Q61*100-100,0)</f>
        <v>-3.520025984420343</v>
      </c>
      <c r="R66" s="20">
        <f>+IFERROR('Q10'!R66/'Q10'!R61*100-100,0)</f>
        <v>15.026610808307169</v>
      </c>
      <c r="S66" s="20">
        <f>+IFERROR('Q10'!S66/'Q10'!S61*100-100,0)</f>
        <v>7.4983954372278845</v>
      </c>
      <c r="T66" s="20">
        <f>+IFERROR('Q10'!T66/'Q10'!T61*100-100,0)</f>
        <v>4.156195426741192</v>
      </c>
      <c r="U66" s="20">
        <f>+IFERROR('Q10'!U66/'Q10'!U61*100-100,0)</f>
        <v>4.6557235631555614</v>
      </c>
    </row>
    <row r="67" spans="1:21" x14ac:dyDescent="0.25">
      <c r="A67" s="95"/>
      <c r="B67" s="58"/>
      <c r="C67" s="19"/>
      <c r="D67" s="26">
        <f>+IFERROR('Q10'!D67/'Q10'!D62*100-100,0)</f>
        <v>2.7054165714232852</v>
      </c>
      <c r="E67" s="26">
        <f>+IFERROR('Q10'!E67/'Q10'!E62*100-100,0)</f>
        <v>19.795444229566272</v>
      </c>
      <c r="F67" s="26">
        <f>+IFERROR('Q10'!F67/'Q10'!F62*100-100,0)</f>
        <v>8.7862890569418539</v>
      </c>
      <c r="G67" s="26">
        <f>+IFERROR('Q10'!G67/'Q10'!G62*100-100,0)</f>
        <v>3.6936516140880116</v>
      </c>
      <c r="H67" s="26">
        <f>+IFERROR('Q10'!H67/'Q10'!H62*100-100,0)</f>
        <v>6.16385673975293</v>
      </c>
      <c r="I67" s="26">
        <f>+IFERROR('Q10'!I67/'Q10'!I62*100-100,0)</f>
        <v>7.9099806279153029</v>
      </c>
      <c r="J67" s="26">
        <f>+IFERROR('Q10'!J67/'Q10'!J62*100-100,0)</f>
        <v>-5.4922839212596983</v>
      </c>
      <c r="K67" s="26">
        <f>+IFERROR('Q10'!K67/'Q10'!K62*100-100,0)</f>
        <v>9.7020401667580245</v>
      </c>
      <c r="L67" s="26">
        <f>+IFERROR('Q10'!L67/'Q10'!L62*100-100,0)</f>
        <v>-5.8359822488239672</v>
      </c>
      <c r="M67" s="26">
        <f>+IFERROR('Q10'!M67/'Q10'!M62*100-100,0)</f>
        <v>9.0599812610418411</v>
      </c>
      <c r="N67" s="26">
        <f>+IFERROR('Q10'!N67/'Q10'!N62*100-100,0)</f>
        <v>1.8043569667192543</v>
      </c>
      <c r="O67" s="26">
        <f>+IFERROR('Q10'!O67/'Q10'!O62*100-100,0)</f>
        <v>11.678811094274394</v>
      </c>
      <c r="P67" s="26">
        <f>+IFERROR('Q10'!P67/'Q10'!P62*100-100,0)</f>
        <v>2.4650342101451912</v>
      </c>
      <c r="Q67" s="26">
        <f>+IFERROR('Q10'!Q67/'Q10'!Q62*100-100,0)</f>
        <v>-1.6195109726913586</v>
      </c>
      <c r="R67" s="26">
        <f>+IFERROR('Q10'!R67/'Q10'!R62*100-100,0)</f>
        <v>-0.25657480998087578</v>
      </c>
      <c r="S67" s="26">
        <f>+IFERROR('Q10'!S67/'Q10'!S62*100-100,0)</f>
        <v>-14.970275553983498</v>
      </c>
      <c r="T67" s="26">
        <f>+IFERROR('Q10'!T67/'Q10'!T62*100-100,0)</f>
        <v>-18.243852372906559</v>
      </c>
      <c r="U67" s="26">
        <f>+IFERROR('Q10'!U67/'Q10'!U62*100-100,0)</f>
        <v>7.1615830579818862</v>
      </c>
    </row>
    <row r="68" spans="1:21" x14ac:dyDescent="0.25">
      <c r="A68" s="95"/>
      <c r="B68" s="99">
        <v>2015</v>
      </c>
      <c r="C68" s="61" t="s">
        <v>28</v>
      </c>
      <c r="D68" s="21">
        <f>+IFERROR('Q10'!D68/'Q10'!D63*100-100,0)</f>
        <v>4.0798543369521099</v>
      </c>
      <c r="E68" s="21">
        <f>+IFERROR('Q10'!E68/'Q10'!E63*100-100,0)</f>
        <v>25.82483002942017</v>
      </c>
      <c r="F68" s="21">
        <f>+IFERROR('Q10'!F68/'Q10'!F63*100-100,0)</f>
        <v>3.6936990742374718</v>
      </c>
      <c r="G68" s="21">
        <f>+IFERROR('Q10'!G68/'Q10'!G63*100-100,0)</f>
        <v>3.0910517057771045</v>
      </c>
      <c r="H68" s="21">
        <f>+IFERROR('Q10'!H68/'Q10'!H63*100-100,0)</f>
        <v>1.9803688267188306</v>
      </c>
      <c r="I68" s="21">
        <f>+IFERROR('Q10'!I68/'Q10'!I63*100-100,0)</f>
        <v>2.0803765316875342</v>
      </c>
      <c r="J68" s="21">
        <f>+IFERROR('Q10'!J68/'Q10'!J63*100-100,0)</f>
        <v>-5.1225465106906967</v>
      </c>
      <c r="K68" s="21">
        <f>+IFERROR('Q10'!K68/'Q10'!K63*100-100,0)</f>
        <v>21.277446025485872</v>
      </c>
      <c r="L68" s="21">
        <f>+IFERROR('Q10'!L68/'Q10'!L63*100-100,0)</f>
        <v>-3.542393416642355</v>
      </c>
      <c r="M68" s="21">
        <f>+IFERROR('Q10'!M68/'Q10'!M63*100-100,0)</f>
        <v>10.425035969288118</v>
      </c>
      <c r="N68" s="21">
        <f>+IFERROR('Q10'!N68/'Q10'!N63*100-100,0)</f>
        <v>4.3533887705885235</v>
      </c>
      <c r="O68" s="21">
        <f>+IFERROR('Q10'!O68/'Q10'!O63*100-100,0)</f>
        <v>-3.0212204002341991</v>
      </c>
      <c r="P68" s="21">
        <f>+IFERROR('Q10'!P68/'Q10'!P63*100-100,0)</f>
        <v>6.8698354839388003</v>
      </c>
      <c r="Q68" s="21">
        <f>+IFERROR('Q10'!Q68/'Q10'!Q63*100-100,0)</f>
        <v>-3.4029381024204213</v>
      </c>
      <c r="R68" s="21">
        <f>+IFERROR('Q10'!R68/'Q10'!R63*100-100,0)</f>
        <v>9.7651710163570726</v>
      </c>
      <c r="S68" s="21">
        <f>+IFERROR('Q10'!S68/'Q10'!S63*100-100,0)</f>
        <v>2.1274501986773657</v>
      </c>
      <c r="T68" s="21">
        <f>+IFERROR('Q10'!T68/'Q10'!T63*100-100,0)</f>
        <v>-6.5091480160921407</v>
      </c>
      <c r="U68" s="21">
        <f>+IFERROR('Q10'!U68/'Q10'!U63*100-100,0)</f>
        <v>8.8088377414047301</v>
      </c>
    </row>
    <row r="69" spans="1:21" x14ac:dyDescent="0.25">
      <c r="A69" s="95"/>
      <c r="B69" s="100"/>
      <c r="C69" s="19" t="s">
        <v>29</v>
      </c>
      <c r="D69" s="2">
        <f>+IFERROR('Q10'!D69/'Q10'!D64*100-100,0)</f>
        <v>2.5828386594116068</v>
      </c>
      <c r="E69" s="2">
        <f>+IFERROR('Q10'!E69/'Q10'!E64*100-100,0)</f>
        <v>20.695491742866309</v>
      </c>
      <c r="F69" s="2">
        <f>+IFERROR('Q10'!F69/'Q10'!F64*100-100,0)</f>
        <v>9.2216481681286524</v>
      </c>
      <c r="G69" s="2">
        <f>+IFERROR('Q10'!G69/'Q10'!G64*100-100,0)</f>
        <v>3.4797416565936317</v>
      </c>
      <c r="H69" s="2">
        <f>+IFERROR('Q10'!H69/'Q10'!H64*100-100,0)</f>
        <v>7.8788267045793106</v>
      </c>
      <c r="I69" s="2">
        <f>+IFERROR('Q10'!I69/'Q10'!I64*100-100,0)</f>
        <v>9.0793417420719891</v>
      </c>
      <c r="J69" s="2">
        <f>+IFERROR('Q10'!J69/'Q10'!J64*100-100,0)</f>
        <v>-0.52946774123398654</v>
      </c>
      <c r="K69" s="2">
        <f>+IFERROR('Q10'!K69/'Q10'!K64*100-100,0)</f>
        <v>15.947645293186866</v>
      </c>
      <c r="L69" s="2">
        <f>+IFERROR('Q10'!L69/'Q10'!L64*100-100,0)</f>
        <v>-12.674764467815606</v>
      </c>
      <c r="M69" s="2">
        <f>+IFERROR('Q10'!M69/'Q10'!M64*100-100,0)</f>
        <v>7.7406160579531331</v>
      </c>
      <c r="N69" s="2">
        <f>+IFERROR('Q10'!N69/'Q10'!N64*100-100,0)</f>
        <v>3.0911727382801502</v>
      </c>
      <c r="O69" s="2">
        <f>+IFERROR('Q10'!O69/'Q10'!O64*100-100,0)</f>
        <v>5.7120365036296334</v>
      </c>
      <c r="P69" s="2">
        <f>+IFERROR('Q10'!P69/'Q10'!P64*100-100,0)</f>
        <v>5.5981720287523444</v>
      </c>
      <c r="Q69" s="2">
        <f>+IFERROR('Q10'!Q69/'Q10'!Q64*100-100,0)</f>
        <v>-2.4355043029026007</v>
      </c>
      <c r="R69" s="2">
        <f>+IFERROR('Q10'!R69/'Q10'!R64*100-100,0)</f>
        <v>2.8625601784109307</v>
      </c>
      <c r="S69" s="2">
        <f>+IFERROR('Q10'!S69/'Q10'!S64*100-100,0)</f>
        <v>-17.456484078268304</v>
      </c>
      <c r="T69" s="2">
        <f>+IFERROR('Q10'!T69/'Q10'!T64*100-100,0)</f>
        <v>-41.686561558764659</v>
      </c>
      <c r="U69" s="2">
        <f>+IFERROR('Q10'!U69/'Q10'!U64*100-100,0)</f>
        <v>12.630331494942681</v>
      </c>
    </row>
    <row r="70" spans="1:21" x14ac:dyDescent="0.25">
      <c r="A70" s="95"/>
      <c r="B70" s="100"/>
      <c r="C70" s="19" t="s">
        <v>30</v>
      </c>
      <c r="D70" s="2">
        <f>+IFERROR('Q10'!D70/'Q10'!D65*100-100,0)</f>
        <v>1.7389153065865912</v>
      </c>
      <c r="E70" s="2">
        <f>+IFERROR('Q10'!E70/'Q10'!E65*100-100,0)</f>
        <v>19.517894094824911</v>
      </c>
      <c r="F70" s="2">
        <f>+IFERROR('Q10'!F70/'Q10'!F65*100-100,0)</f>
        <v>11.293561700423396</v>
      </c>
      <c r="G70" s="2">
        <f>+IFERROR('Q10'!G70/'Q10'!G65*100-100,0)</f>
        <v>1.6646066623634539</v>
      </c>
      <c r="H70" s="2">
        <f>+IFERROR('Q10'!H70/'Q10'!H65*100-100,0)</f>
        <v>10.343193638706921</v>
      </c>
      <c r="I70" s="2">
        <f>+IFERROR('Q10'!I70/'Q10'!I65*100-100,0)</f>
        <v>10.409466738295706</v>
      </c>
      <c r="J70" s="2">
        <f>+IFERROR('Q10'!J70/'Q10'!J65*100-100,0)</f>
        <v>-4.3543514193580108</v>
      </c>
      <c r="K70" s="2">
        <f>+IFERROR('Q10'!K70/'Q10'!K65*100-100,0)</f>
        <v>7.4279557208392504</v>
      </c>
      <c r="L70" s="2">
        <f>+IFERROR('Q10'!L70/'Q10'!L65*100-100,0)</f>
        <v>-6.5676085482583915</v>
      </c>
      <c r="M70" s="2">
        <f>+IFERROR('Q10'!M70/'Q10'!M65*100-100,0)</f>
        <v>10.182903270396238</v>
      </c>
      <c r="N70" s="2">
        <f>+IFERROR('Q10'!N70/'Q10'!N65*100-100,0)</f>
        <v>0.17884647459295877</v>
      </c>
      <c r="O70" s="2">
        <f>+IFERROR('Q10'!O70/'Q10'!O65*100-100,0)</f>
        <v>30.048064386170552</v>
      </c>
      <c r="P70" s="2">
        <f>+IFERROR('Q10'!P70/'Q10'!P65*100-100,0)</f>
        <v>1.3531892100191243</v>
      </c>
      <c r="Q70" s="2">
        <f>+IFERROR('Q10'!Q70/'Q10'!Q65*100-100,0)</f>
        <v>-1.0143685567497869</v>
      </c>
      <c r="R70" s="2">
        <f>+IFERROR('Q10'!R70/'Q10'!R65*100-100,0)</f>
        <v>-3.820003161607687</v>
      </c>
      <c r="S70" s="2">
        <f>+IFERROR('Q10'!S70/'Q10'!S65*100-100,0)</f>
        <v>-31.888297670156206</v>
      </c>
      <c r="T70" s="2">
        <f>+IFERROR('Q10'!T70/'Q10'!T65*100-100,0)</f>
        <v>-28.377352794941757</v>
      </c>
      <c r="U70" s="2">
        <f>+IFERROR('Q10'!U70/'Q10'!U65*100-100,0)</f>
        <v>6.9718425154036368</v>
      </c>
    </row>
    <row r="71" spans="1:21" x14ac:dyDescent="0.25">
      <c r="A71" s="95"/>
      <c r="B71" s="101"/>
      <c r="C71" s="52" t="s">
        <v>31</v>
      </c>
      <c r="D71" s="20">
        <f>+IFERROR('Q10'!D71/'Q10'!D66*100-100,0)</f>
        <v>2.4652658730068566</v>
      </c>
      <c r="E71" s="20">
        <f>+IFERROR('Q10'!E71/'Q10'!E66*100-100,0)</f>
        <v>14.197348336996839</v>
      </c>
      <c r="F71" s="20">
        <f>+IFERROR('Q10'!F71/'Q10'!F66*100-100,0)</f>
        <v>10.986597721602706</v>
      </c>
      <c r="G71" s="20">
        <f>+IFERROR('Q10'!G71/'Q10'!G66*100-100,0)</f>
        <v>6.5469699873913214</v>
      </c>
      <c r="H71" s="20">
        <f>+IFERROR('Q10'!H71/'Q10'!H66*100-100,0)</f>
        <v>4.7051866053279525</v>
      </c>
      <c r="I71" s="20">
        <f>+IFERROR('Q10'!I71/'Q10'!I66*100-100,0)</f>
        <v>10.136998821376579</v>
      </c>
      <c r="J71" s="20">
        <f>+IFERROR('Q10'!J71/'Q10'!J66*100-100,0)</f>
        <v>-11.613153850661561</v>
      </c>
      <c r="K71" s="20">
        <f>+IFERROR('Q10'!K71/'Q10'!K66*100-100,0)</f>
        <v>-3.3332833562344177</v>
      </c>
      <c r="L71" s="20">
        <f>+IFERROR('Q10'!L71/'Q10'!L66*100-100,0)</f>
        <v>0.72705099450716659</v>
      </c>
      <c r="M71" s="20">
        <f>+IFERROR('Q10'!M71/'Q10'!M66*100-100,0)</f>
        <v>7.9644258535793711</v>
      </c>
      <c r="N71" s="20">
        <f>+IFERROR('Q10'!N71/'Q10'!N66*100-100,0)</f>
        <v>-0.24948395987657079</v>
      </c>
      <c r="O71" s="20">
        <f>+IFERROR('Q10'!O71/'Q10'!O66*100-100,0)</f>
        <v>17.096447828430868</v>
      </c>
      <c r="P71" s="20">
        <f>+IFERROR('Q10'!P71/'Q10'!P66*100-100,0)</f>
        <v>-3.6040363994021334</v>
      </c>
      <c r="Q71" s="20">
        <f>+IFERROR('Q10'!Q71/'Q10'!Q66*100-100,0)</f>
        <v>0.44032661730344103</v>
      </c>
      <c r="R71" s="20">
        <f>+IFERROR('Q10'!R71/'Q10'!R66*100-100,0)</f>
        <v>-8.9437009323218177</v>
      </c>
      <c r="S71" s="20">
        <f>+IFERROR('Q10'!S71/'Q10'!S66*100-100,0)</f>
        <v>-10.17093042760952</v>
      </c>
      <c r="T71" s="20">
        <f>+IFERROR('Q10'!T71/'Q10'!T66*100-100,0)</f>
        <v>15.424275013620999</v>
      </c>
      <c r="U71" s="20">
        <f>+IFERROR('Q10'!U71/'Q10'!U66*100-100,0)</f>
        <v>0.76317771091500219</v>
      </c>
    </row>
    <row r="72" spans="1:21" x14ac:dyDescent="0.25">
      <c r="A72" s="95"/>
      <c r="B72" s="58"/>
      <c r="C72" s="16" t="s">
        <v>51</v>
      </c>
      <c r="D72" s="26">
        <f>+IFERROR('Q10'!D72/'Q10'!D67*100-100,0)</f>
        <v>2.8530129679728873</v>
      </c>
      <c r="E72" s="26">
        <f>+IFERROR('Q10'!E72/'Q10'!E67*100-100,0)</f>
        <v>3.1370425752955384</v>
      </c>
      <c r="F72" s="26">
        <f>+IFERROR('Q10'!F72/'Q10'!F67*100-100,0)</f>
        <v>2.690482506282649</v>
      </c>
      <c r="G72" s="26">
        <f>+IFERROR('Q10'!G72/'Q10'!G67*100-100,0)</f>
        <v>4.2363433801658914</v>
      </c>
      <c r="H72" s="26">
        <f>+IFERROR('Q10'!H72/'Q10'!H67*100-100,0)</f>
        <v>1.1456359538506433</v>
      </c>
      <c r="I72" s="26">
        <f>+IFERROR('Q10'!I72/'Q10'!I67*100-100,0)</f>
        <v>9.4425360885309999</v>
      </c>
      <c r="J72" s="26">
        <f>+IFERROR('Q10'!J72/'Q10'!J67*100-100,0)</f>
        <v>-0.39386597201026063</v>
      </c>
      <c r="K72" s="26">
        <f>+IFERROR('Q10'!K72/'Q10'!K67*100-100,0)</f>
        <v>-4.5889397435002763</v>
      </c>
      <c r="L72" s="26">
        <f>+IFERROR('Q10'!L72/'Q10'!L67*100-100,0)</f>
        <v>-2.9919931459761528</v>
      </c>
      <c r="M72" s="26">
        <f>+IFERROR('Q10'!M72/'Q10'!M67*100-100,0)</f>
        <v>5.0988492436921717</v>
      </c>
      <c r="N72" s="26">
        <f>+IFERROR('Q10'!N72/'Q10'!N67*100-100,0)</f>
        <v>-1.1707567112253656</v>
      </c>
      <c r="O72" s="26">
        <f>+IFERROR('Q10'!O72/'Q10'!O67*100-100,0)</f>
        <v>1.6360620506973902</v>
      </c>
      <c r="P72" s="26">
        <f>+IFERROR('Q10'!P72/'Q10'!P67*100-100,0)</f>
        <v>-11.849530652514034</v>
      </c>
      <c r="Q72" s="26">
        <f>+IFERROR('Q10'!Q72/'Q10'!Q67*100-100,0)</f>
        <v>2.3570069637843858</v>
      </c>
      <c r="R72" s="26">
        <f>+IFERROR('Q10'!R72/'Q10'!R67*100-100,0)</f>
        <v>-0.59044805855161542</v>
      </c>
      <c r="S72" s="26">
        <f>+IFERROR('Q10'!S72/'Q10'!S67*100-100,0)</f>
        <v>5.1918739262467</v>
      </c>
      <c r="T72" s="26">
        <f>+IFERROR('Q10'!T72/'Q10'!T67*100-100,0)</f>
        <v>-44.665703189148921</v>
      </c>
      <c r="U72" s="26">
        <f>+IFERROR('Q10'!U72/'Q10'!U67*100-100,0)</f>
        <v>-1.0196340490847859</v>
      </c>
    </row>
    <row r="73" spans="1:21" x14ac:dyDescent="0.25">
      <c r="A73" s="95"/>
      <c r="B73" s="99">
        <v>2016</v>
      </c>
      <c r="C73" s="61" t="s">
        <v>28</v>
      </c>
      <c r="D73" s="21">
        <f>+IFERROR('Q10'!D73/'Q10'!D68*100-100,0)</f>
        <v>2.7071647895815545</v>
      </c>
      <c r="E73" s="21">
        <f>+IFERROR('Q10'!E73/'Q10'!E68*100-100,0)</f>
        <v>0.55235671095633165</v>
      </c>
      <c r="F73" s="21">
        <f>+IFERROR('Q10'!F73/'Q10'!F68*100-100,0)</f>
        <v>8.1816673985883028</v>
      </c>
      <c r="G73" s="21">
        <f>+IFERROR('Q10'!G73/'Q10'!G68*100-100,0)</f>
        <v>7.8640667150837942</v>
      </c>
      <c r="H73" s="21">
        <f>+IFERROR('Q10'!H73/'Q10'!H68*100-100,0)</f>
        <v>0.10590404903815909</v>
      </c>
      <c r="I73" s="21">
        <f>+IFERROR('Q10'!I73/'Q10'!I68*100-100,0)</f>
        <v>10.686488138674747</v>
      </c>
      <c r="J73" s="21">
        <f>+IFERROR('Q10'!J73/'Q10'!J68*100-100,0)</f>
        <v>-1.7266081114773897</v>
      </c>
      <c r="K73" s="21">
        <f>+IFERROR('Q10'!K73/'Q10'!K68*100-100,0)</f>
        <v>-3.9495858595714566</v>
      </c>
      <c r="L73" s="21">
        <f>+IFERROR('Q10'!L73/'Q10'!L68*100-100,0)</f>
        <v>0.5063974271509295</v>
      </c>
      <c r="M73" s="21">
        <f>+IFERROR('Q10'!M73/'Q10'!M68*100-100,0)</f>
        <v>7.133685983877541</v>
      </c>
      <c r="N73" s="21">
        <f>+IFERROR('Q10'!N73/'Q10'!N68*100-100,0)</f>
        <v>1.1513534399436196</v>
      </c>
      <c r="O73" s="21">
        <f>+IFERROR('Q10'!O73/'Q10'!O68*100-100,0)</f>
        <v>8.4696871919859689</v>
      </c>
      <c r="P73" s="21">
        <f>+IFERROR('Q10'!P73/'Q10'!P68*100-100,0)</f>
        <v>-7.105956284034221</v>
      </c>
      <c r="Q73" s="21">
        <f>+IFERROR('Q10'!Q73/'Q10'!Q68*100-100,0)</f>
        <v>1.5081647477861679</v>
      </c>
      <c r="R73" s="21">
        <f>+IFERROR('Q10'!R73/'Q10'!R68*100-100,0)</f>
        <v>-9.0769898737212174</v>
      </c>
      <c r="S73" s="21">
        <f>+IFERROR('Q10'!S73/'Q10'!S68*100-100,0)</f>
        <v>-10.82619777775524</v>
      </c>
      <c r="T73" s="21">
        <f>+IFERROR('Q10'!T73/'Q10'!T68*100-100,0)</f>
        <v>-47.710527075250496</v>
      </c>
      <c r="U73" s="21">
        <f>+IFERROR('Q10'!U73/'Q10'!U68*100-100,0)</f>
        <v>0.37082939815000771</v>
      </c>
    </row>
    <row r="74" spans="1:21" x14ac:dyDescent="0.25">
      <c r="A74" s="95"/>
      <c r="B74" s="100"/>
      <c r="C74" s="19" t="s">
        <v>29</v>
      </c>
      <c r="D74" s="2">
        <f>+IFERROR('Q10'!D74/'Q10'!D69*100-100,0)</f>
        <v>3.1816427459881567</v>
      </c>
      <c r="E74" s="2">
        <f>+IFERROR('Q10'!E74/'Q10'!E69*100-100,0)</f>
        <v>1.134249630678724</v>
      </c>
      <c r="F74" s="2">
        <f>+IFERROR('Q10'!F74/'Q10'!F69*100-100,0)</f>
        <v>4.2161554518050934</v>
      </c>
      <c r="G74" s="2">
        <f>+IFERROR('Q10'!G74/'Q10'!G69*100-100,0)</f>
        <v>3.8806511661658902</v>
      </c>
      <c r="H74" s="2">
        <f>+IFERROR('Q10'!H74/'Q10'!H69*100-100,0)</f>
        <v>-1.3795649813227726</v>
      </c>
      <c r="I74" s="2">
        <f>+IFERROR('Q10'!I74/'Q10'!I69*100-100,0)</f>
        <v>9.2198653664083139</v>
      </c>
      <c r="J74" s="2">
        <f>+IFERROR('Q10'!J74/'Q10'!J69*100-100,0)</f>
        <v>0.78724716577183074</v>
      </c>
      <c r="K74" s="2">
        <f>+IFERROR('Q10'!K74/'Q10'!K69*100-100,0)</f>
        <v>-4.6314546163977326</v>
      </c>
      <c r="L74" s="2">
        <f>+IFERROR('Q10'!L74/'Q10'!L69*100-100,0)</f>
        <v>-7.2541156111432343</v>
      </c>
      <c r="M74" s="2">
        <f>+IFERROR('Q10'!M74/'Q10'!M69*100-100,0)</f>
        <v>6.1525590849350635</v>
      </c>
      <c r="N74" s="2">
        <f>+IFERROR('Q10'!N74/'Q10'!N69*100-100,0)</f>
        <v>0.26889619431788958</v>
      </c>
      <c r="O74" s="2">
        <f>+IFERROR('Q10'!O74/'Q10'!O69*100-100,0)</f>
        <v>2.8340838274770022</v>
      </c>
      <c r="P74" s="2">
        <f>+IFERROR('Q10'!P74/'Q10'!P69*100-100,0)</f>
        <v>-11.960070567844511</v>
      </c>
      <c r="Q74" s="2">
        <f>+IFERROR('Q10'!Q74/'Q10'!Q69*100-100,0)</f>
        <v>2.2251222899960084</v>
      </c>
      <c r="R74" s="2">
        <f>+IFERROR('Q10'!R74/'Q10'!R69*100-100,0)</f>
        <v>-4.7347882924158569</v>
      </c>
      <c r="S74" s="2">
        <f>+IFERROR('Q10'!S74/'Q10'!S69*100-100,0)</f>
        <v>6.9841051035541</v>
      </c>
      <c r="T74" s="2">
        <f>+IFERROR('Q10'!T74/'Q10'!T69*100-100,0)</f>
        <v>-31.57531794302804</v>
      </c>
      <c r="U74" s="2">
        <f>+IFERROR('Q10'!U74/'Q10'!U69*100-100,0)</f>
        <v>-1.8176842890151477</v>
      </c>
    </row>
    <row r="75" spans="1:21" x14ac:dyDescent="0.25">
      <c r="A75" s="95"/>
      <c r="B75" s="100"/>
      <c r="C75" s="19" t="s">
        <v>30</v>
      </c>
      <c r="D75" s="2">
        <f>+IFERROR('Q10'!D75/'Q10'!D70*100-100,0)</f>
        <v>3.7668868457537314</v>
      </c>
      <c r="E75" s="2">
        <f>+IFERROR('Q10'!E75/'Q10'!E70*100-100,0)</f>
        <v>3.0706383235469872</v>
      </c>
      <c r="F75" s="2">
        <f>+IFERROR('Q10'!F75/'Q10'!F70*100-100,0)</f>
        <v>1.2999792745185204</v>
      </c>
      <c r="G75" s="2">
        <f>+IFERROR('Q10'!G75/'Q10'!G70*100-100,0)</f>
        <v>5.3833178407466988</v>
      </c>
      <c r="H75" s="2">
        <f>+IFERROR('Q10'!H75/'Q10'!H70*100-100,0)</f>
        <v>0.87907431731213137</v>
      </c>
      <c r="I75" s="2">
        <f>+IFERROR('Q10'!I75/'Q10'!I70*100-100,0)</f>
        <v>8.7295603970193554</v>
      </c>
      <c r="J75" s="2">
        <f>+IFERROR('Q10'!J75/'Q10'!J70*100-100,0)</f>
        <v>-3.0527305312114663</v>
      </c>
      <c r="K75" s="2">
        <f>+IFERROR('Q10'!K75/'Q10'!K70*100-100,0)</f>
        <v>-4.5372120153409838</v>
      </c>
      <c r="L75" s="2">
        <f>+IFERROR('Q10'!L75/'Q10'!L70*100-100,0)</f>
        <v>-5.8574156440045897</v>
      </c>
      <c r="M75" s="2">
        <f>+IFERROR('Q10'!M75/'Q10'!M70*100-100,0)</f>
        <v>3.6452475750594573</v>
      </c>
      <c r="N75" s="2">
        <f>+IFERROR('Q10'!N75/'Q10'!N70*100-100,0)</f>
        <v>-1.0311911544733476</v>
      </c>
      <c r="O75" s="2">
        <f>+IFERROR('Q10'!O75/'Q10'!O70*100-100,0)</f>
        <v>-5.7003012737366134</v>
      </c>
      <c r="P75" s="2">
        <f>+IFERROR('Q10'!P75/'Q10'!P70*100-100,0)</f>
        <v>-12.88310432838388</v>
      </c>
      <c r="Q75" s="2">
        <f>+IFERROR('Q10'!Q75/'Q10'!Q70*100-100,0)</f>
        <v>2.6878497130585544</v>
      </c>
      <c r="R75" s="2">
        <f>+IFERROR('Q10'!R75/'Q10'!R70*100-100,0)</f>
        <v>2.1564816897913204</v>
      </c>
      <c r="S75" s="2">
        <f>+IFERROR('Q10'!S75/'Q10'!S70*100-100,0)</f>
        <v>28.40767664011068</v>
      </c>
      <c r="T75" s="2">
        <f>+IFERROR('Q10'!T75/'Q10'!T70*100-100,0)</f>
        <v>-13.041135602710767</v>
      </c>
      <c r="U75" s="2">
        <f>+IFERROR('Q10'!U75/'Q10'!U70*100-100,0)</f>
        <v>-2.3485544366426296</v>
      </c>
    </row>
    <row r="76" spans="1:21" x14ac:dyDescent="0.25">
      <c r="A76" s="95"/>
      <c r="B76" s="101"/>
      <c r="C76" s="52" t="s">
        <v>31</v>
      </c>
      <c r="D76" s="20">
        <f>+IFERROR('Q10'!D76/'Q10'!D71*100-100,0)</f>
        <v>1.7659919651882348</v>
      </c>
      <c r="E76" s="20">
        <f>+IFERROR('Q10'!E76/'Q10'!E71*100-100,0)</f>
        <v>7.4540368590520814</v>
      </c>
      <c r="F76" s="20">
        <f>+IFERROR('Q10'!F76/'Q10'!F71*100-100,0)</f>
        <v>-2.5457987053749207</v>
      </c>
      <c r="G76" s="20">
        <f>+IFERROR('Q10'!G76/'Q10'!G71*100-100,0)</f>
        <v>2.7999959024043619E-2</v>
      </c>
      <c r="H76" s="20">
        <f>+IFERROR('Q10'!H76/'Q10'!H71*100-100,0)</f>
        <v>5.0610463232490446</v>
      </c>
      <c r="I76" s="20">
        <f>+IFERROR('Q10'!I76/'Q10'!I71*100-100,0)</f>
        <v>9.2074298987245555</v>
      </c>
      <c r="J76" s="20">
        <f>+IFERROR('Q10'!J76/'Q10'!J71*100-100,0)</f>
        <v>2.5457290781414059</v>
      </c>
      <c r="K76" s="20">
        <f>+IFERROR('Q10'!K76/'Q10'!K71*100-100,0)</f>
        <v>-5.2686149181836726</v>
      </c>
      <c r="L76" s="20">
        <f>+IFERROR('Q10'!L76/'Q10'!L71*100-100,0)</f>
        <v>0.84430791074852607</v>
      </c>
      <c r="M76" s="20">
        <f>+IFERROR('Q10'!M76/'Q10'!M71*100-100,0)</f>
        <v>3.6332192275263253</v>
      </c>
      <c r="N76" s="20">
        <f>+IFERROR('Q10'!N76/'Q10'!N71*100-100,0)</f>
        <v>-5.0539285579980202</v>
      </c>
      <c r="O76" s="20">
        <f>+IFERROR('Q10'!O76/'Q10'!O71*100-100,0)</f>
        <v>1.9053257099957364</v>
      </c>
      <c r="P76" s="20">
        <f>+IFERROR('Q10'!P76/'Q10'!P71*100-100,0)</f>
        <v>-15.622734850476249</v>
      </c>
      <c r="Q76" s="20">
        <f>+IFERROR('Q10'!Q76/'Q10'!Q71*100-100,0)</f>
        <v>3.0000000000000284</v>
      </c>
      <c r="R76" s="20">
        <f>+IFERROR('Q10'!R76/'Q10'!R71*100-100,0)</f>
        <v>10.416178948859283</v>
      </c>
      <c r="S76" s="20">
        <f>+IFERROR('Q10'!S76/'Q10'!S71*100-100,0)</f>
        <v>1.5783901870596111</v>
      </c>
      <c r="T76" s="20">
        <f>+IFERROR('Q10'!T76/'Q10'!T71*100-100,0)</f>
        <v>-73.770212520218479</v>
      </c>
      <c r="U76" s="20">
        <f>+IFERROR('Q10'!U76/'Q10'!U71*100-100,0)</f>
        <v>-0.23307695480529844</v>
      </c>
    </row>
    <row r="77" spans="1:21" x14ac:dyDescent="0.25">
      <c r="A77" s="95"/>
      <c r="B77" s="58"/>
      <c r="C77" s="16" t="s">
        <v>51</v>
      </c>
      <c r="D77" s="26">
        <f>+IFERROR('Q10'!D77/'Q10'!D72*100-100,0)</f>
        <v>-0.41699069641187236</v>
      </c>
      <c r="E77" s="26">
        <f>+IFERROR('Q10'!E77/'Q10'!E72*100-100,0)</f>
        <v>12.576189198979094</v>
      </c>
      <c r="F77" s="26">
        <f>+IFERROR('Q10'!F77/'Q10'!F72*100-100,0)</f>
        <v>-8.4808729408079131</v>
      </c>
      <c r="G77" s="26">
        <f>+IFERROR('Q10'!G77/'Q10'!G72*100-100,0)</f>
        <v>-1.0818612870369435</v>
      </c>
      <c r="H77" s="26">
        <f>+IFERROR('Q10'!H77/'Q10'!H72*100-100,0)</f>
        <v>3.8076178142548542</v>
      </c>
      <c r="I77" s="26">
        <f>+IFERROR('Q10'!I77/'Q10'!I72*100-100,0)</f>
        <v>2.0686976244467701</v>
      </c>
      <c r="J77" s="26">
        <f>+IFERROR('Q10'!J77/'Q10'!J72*100-100,0)</f>
        <v>-3.4201185878422535</v>
      </c>
      <c r="K77" s="26">
        <f>+IFERROR('Q10'!K77/'Q10'!K72*100-100,0)</f>
        <v>-4.6175960206698932</v>
      </c>
      <c r="L77" s="26">
        <f>+IFERROR('Q10'!L77/'Q10'!L72*100-100,0)</f>
        <v>2.3506900967573472</v>
      </c>
      <c r="M77" s="26">
        <f>+IFERROR('Q10'!M77/'Q10'!M72*100-100,0)</f>
        <v>2.6470511143969588</v>
      </c>
      <c r="N77" s="26">
        <f>+IFERROR('Q10'!N77/'Q10'!N72*100-100,0)</f>
        <v>-3.0797999692160971</v>
      </c>
      <c r="O77" s="26">
        <f>+IFERROR('Q10'!O77/'Q10'!O72*100-100,0)</f>
        <v>-5.4016414042428238</v>
      </c>
      <c r="P77" s="26">
        <f>+IFERROR('Q10'!P77/'Q10'!P72*100-100,0)</f>
        <v>-8.6190383607481067</v>
      </c>
      <c r="Q77" s="26">
        <f>+IFERROR('Q10'!Q77/'Q10'!Q72*100-100,0)</f>
        <v>3.2601906925650468</v>
      </c>
      <c r="R77" s="26">
        <f>+IFERROR('Q10'!R77/'Q10'!R72*100-100,0)</f>
        <v>12.987295320122712</v>
      </c>
      <c r="S77" s="26">
        <f>+IFERROR('Q10'!S77/'Q10'!S72*100-100,0)</f>
        <v>3.9262565772019542</v>
      </c>
      <c r="T77" s="26">
        <f>+IFERROR('Q10'!T77/'Q10'!T72*100-100,0)</f>
        <v>-57.045574747454367</v>
      </c>
      <c r="U77" s="26">
        <f>+IFERROR('Q10'!U77/'Q10'!U72*100-100,0)</f>
        <v>-1.7496236200883146</v>
      </c>
    </row>
    <row r="78" spans="1:21" x14ac:dyDescent="0.25">
      <c r="A78" s="95"/>
      <c r="B78" s="99">
        <v>2017</v>
      </c>
      <c r="C78" s="61" t="s">
        <v>28</v>
      </c>
      <c r="D78" s="21">
        <f>+IFERROR('Q10'!D78/'Q10'!D73*100-100,0)</f>
        <v>0.31112364822938332</v>
      </c>
      <c r="E78" s="21">
        <f>+IFERROR('Q10'!E78/'Q10'!E73*100-100,0)</f>
        <v>18.25089749079271</v>
      </c>
      <c r="F78" s="21">
        <f>+IFERROR('Q10'!F78/'Q10'!F73*100-100,0)</f>
        <v>-6.6548821714549291</v>
      </c>
      <c r="G78" s="21">
        <f>+IFERROR('Q10'!G78/'Q10'!G73*100-100,0)</f>
        <v>-2.0408292484933952</v>
      </c>
      <c r="H78" s="21">
        <f>+IFERROR('Q10'!H78/'Q10'!H73*100-100,0)</f>
        <v>5.7274050457019428</v>
      </c>
      <c r="I78" s="21">
        <f>+IFERROR('Q10'!I78/'Q10'!I73*100-100,0)</f>
        <v>6.6740756594451511</v>
      </c>
      <c r="J78" s="21">
        <f>+IFERROR('Q10'!J78/'Q10'!J73*100-100,0)</f>
        <v>-6.3080772814617774</v>
      </c>
      <c r="K78" s="21">
        <f>+IFERROR('Q10'!K78/'Q10'!K73*100-100,0)</f>
        <v>-7.5499162470484151</v>
      </c>
      <c r="L78" s="21">
        <f>+IFERROR('Q10'!L78/'Q10'!L73*100-100,0)</f>
        <v>-1.308859290430604</v>
      </c>
      <c r="M78" s="21">
        <f>+IFERROR('Q10'!M78/'Q10'!M73*100-100,0)</f>
        <v>2.8314633821769206</v>
      </c>
      <c r="N78" s="21">
        <f>+IFERROR('Q10'!N78/'Q10'!N73*100-100,0)</f>
        <v>-5.398287735969447</v>
      </c>
      <c r="O78" s="21">
        <f>+IFERROR('Q10'!O78/'Q10'!O73*100-100,0)</f>
        <v>-1.6966980632665241</v>
      </c>
      <c r="P78" s="21">
        <f>+IFERROR('Q10'!P78/'Q10'!P73*100-100,0)</f>
        <v>-14.947058734789181</v>
      </c>
      <c r="Q78" s="21">
        <f>+IFERROR('Q10'!Q78/'Q10'!Q73*100-100,0)</f>
        <v>3.2717461292966874</v>
      </c>
      <c r="R78" s="21">
        <f>+IFERROR('Q10'!R78/'Q10'!R73*100-100,0)</f>
        <v>13.484061777839784</v>
      </c>
      <c r="S78" s="21">
        <f>+IFERROR('Q10'!S78/'Q10'!S73*100-100,0)</f>
        <v>7.2720728166568733</v>
      </c>
      <c r="T78" s="21">
        <f>+IFERROR('Q10'!T78/'Q10'!T73*100-100,0)</f>
        <v>-54.035417334280858</v>
      </c>
      <c r="U78" s="21">
        <f>+IFERROR('Q10'!U78/'Q10'!U73*100-100,0)</f>
        <v>-2.7580859178201393</v>
      </c>
    </row>
    <row r="79" spans="1:21" x14ac:dyDescent="0.25">
      <c r="A79" s="95"/>
      <c r="B79" s="100"/>
      <c r="C79" s="19" t="s">
        <v>29</v>
      </c>
      <c r="D79" s="2">
        <f>+IFERROR('Q10'!D79/'Q10'!D74*100-100,0)</f>
        <v>-0.70231834948812377</v>
      </c>
      <c r="E79" s="2">
        <f>+IFERROR('Q10'!E79/'Q10'!E74*100-100,0)</f>
        <v>21.266001185354739</v>
      </c>
      <c r="F79" s="2">
        <f>+IFERROR('Q10'!F79/'Q10'!F74*100-100,0)</f>
        <v>-8.8718916815952156</v>
      </c>
      <c r="G79" s="2">
        <f>+IFERROR('Q10'!G79/'Q10'!G74*100-100,0)</f>
        <v>2.7593639735975444</v>
      </c>
      <c r="H79" s="2">
        <f>+IFERROR('Q10'!H79/'Q10'!H74*100-100,0)</f>
        <v>4.8789901957979112</v>
      </c>
      <c r="I79" s="2">
        <f>+IFERROR('Q10'!I79/'Q10'!I74*100-100,0)</f>
        <v>2.6009578781260245</v>
      </c>
      <c r="J79" s="2">
        <f>+IFERROR('Q10'!J79/'Q10'!J74*100-100,0)</f>
        <v>-10.402358060956445</v>
      </c>
      <c r="K79" s="2">
        <f>+IFERROR('Q10'!K79/'Q10'!K74*100-100,0)</f>
        <v>-6.4154979227155877</v>
      </c>
      <c r="L79" s="2">
        <f>+IFERROR('Q10'!L79/'Q10'!L74*100-100,0)</f>
        <v>6.5304266108111619</v>
      </c>
      <c r="M79" s="2">
        <f>+IFERROR('Q10'!M79/'Q10'!M74*100-100,0)</f>
        <v>2.8965534846236523</v>
      </c>
      <c r="N79" s="2">
        <f>+IFERROR('Q10'!N79/'Q10'!N74*100-100,0)</f>
        <v>-4.8384326172455445</v>
      </c>
      <c r="O79" s="2">
        <f>+IFERROR('Q10'!O79/'Q10'!O74*100-100,0)</f>
        <v>-4.3315500260509623</v>
      </c>
      <c r="P79" s="2">
        <f>+IFERROR('Q10'!P79/'Q10'!P74*100-100,0)</f>
        <v>-11.192895347842608</v>
      </c>
      <c r="Q79" s="2">
        <f>+IFERROR('Q10'!Q79/'Q10'!Q74*100-100,0)</f>
        <v>3.4153503313980877</v>
      </c>
      <c r="R79" s="2">
        <f>+IFERROR('Q10'!R79/'Q10'!R74*100-100,0)</f>
        <v>14.875107792978241</v>
      </c>
      <c r="S79" s="2">
        <f>+IFERROR('Q10'!S79/'Q10'!S74*100-100,0)</f>
        <v>7.2352380084975039</v>
      </c>
      <c r="T79" s="2">
        <f>+IFERROR('Q10'!T79/'Q10'!T74*100-100,0)</f>
        <v>-60.107064479412855</v>
      </c>
      <c r="U79" s="2">
        <f>+IFERROR('Q10'!U79/'Q10'!U74*100-100,0)</f>
        <v>-2.9010559072192592</v>
      </c>
    </row>
    <row r="80" spans="1:21" x14ac:dyDescent="0.25">
      <c r="A80" s="95"/>
      <c r="B80" s="100"/>
      <c r="C80" s="19" t="s">
        <v>30</v>
      </c>
      <c r="D80" s="2">
        <f>+IFERROR('Q10'!D80/'Q10'!D75*100-100,0)</f>
        <v>-1.3234428318346687</v>
      </c>
      <c r="E80" s="2">
        <f>+IFERROR('Q10'!E80/'Q10'!E75*100-100,0)</f>
        <v>13.817304444609363</v>
      </c>
      <c r="F80" s="2">
        <f>+IFERROR('Q10'!F80/'Q10'!F75*100-100,0)</f>
        <v>-9.8231553433561487</v>
      </c>
      <c r="G80" s="2">
        <f>+IFERROR('Q10'!G80/'Q10'!G75*100-100,0)</f>
        <v>-4.1982884957320579</v>
      </c>
      <c r="H80" s="2">
        <f>+IFERROR('Q10'!H80/'Q10'!H75*100-100,0)</f>
        <v>3.1099917620346957</v>
      </c>
      <c r="I80" s="2">
        <f>+IFERROR('Q10'!I80/'Q10'!I75*100-100,0)</f>
        <v>0.98341002638804298</v>
      </c>
      <c r="J80" s="2">
        <f>+IFERROR('Q10'!J80/'Q10'!J75*100-100,0)</f>
        <v>0.90627810264199127</v>
      </c>
      <c r="K80" s="2">
        <f>+IFERROR('Q10'!K80/'Q10'!K75*100-100,0)</f>
        <v>-4.3603368481088864</v>
      </c>
      <c r="L80" s="2">
        <f>+IFERROR('Q10'!L80/'Q10'!L75*100-100,0)</f>
        <v>5.3089443265891418</v>
      </c>
      <c r="M80" s="2">
        <f>+IFERROR('Q10'!M80/'Q10'!M75*100-100,0)</f>
        <v>2.2822487538159493</v>
      </c>
      <c r="N80" s="2">
        <f>+IFERROR('Q10'!N80/'Q10'!N75*100-100,0)</f>
        <v>-2.7307998560391837</v>
      </c>
      <c r="O80" s="2">
        <f>+IFERROR('Q10'!O80/'Q10'!O75*100-100,0)</f>
        <v>-4.8350379475366196</v>
      </c>
      <c r="P80" s="2">
        <f>+IFERROR('Q10'!P80/'Q10'!P75*100-100,0)</f>
        <v>-7.4823467795647929</v>
      </c>
      <c r="Q80" s="2">
        <f>+IFERROR('Q10'!Q80/'Q10'!Q75*100-100,0)</f>
        <v>3.3518652648934193</v>
      </c>
      <c r="R80" s="2">
        <f>+IFERROR('Q10'!R80/'Q10'!R75*100-100,0)</f>
        <v>14.23378309141367</v>
      </c>
      <c r="S80" s="2">
        <f>+IFERROR('Q10'!S80/'Q10'!S75*100-100,0)</f>
        <v>1.8908328221589414</v>
      </c>
      <c r="T80" s="2">
        <f>+IFERROR('Q10'!T80/'Q10'!T75*100-100,0)</f>
        <v>-64.894502372738629</v>
      </c>
      <c r="U80" s="2">
        <f>+IFERROR('Q10'!U80/'Q10'!U75*100-100,0)</f>
        <v>-1.146948086469024</v>
      </c>
    </row>
    <row r="81" spans="1:21" x14ac:dyDescent="0.25">
      <c r="A81" s="95"/>
      <c r="B81" s="101"/>
      <c r="C81" s="52" t="s">
        <v>31</v>
      </c>
      <c r="D81" s="20">
        <f>+IFERROR('Q10'!D81/'Q10'!D76*100-100,0)</f>
        <v>6.4576317750166368E-2</v>
      </c>
      <c r="E81" s="20">
        <f>+IFERROR('Q10'!E81/'Q10'!E76*100-100,0)</f>
        <v>-1.0910506490118053</v>
      </c>
      <c r="F81" s="20">
        <f>+IFERROR('Q10'!F81/'Q10'!F76*100-100,0)</f>
        <v>-8.5947161274466168</v>
      </c>
      <c r="G81" s="20">
        <f>+IFERROR('Q10'!G81/'Q10'!G76*100-100,0)</f>
        <v>-0.77964307271560074</v>
      </c>
      <c r="H81" s="20">
        <f>+IFERROR('Q10'!H81/'Q10'!H76*100-100,0)</f>
        <v>1.6208820596907998</v>
      </c>
      <c r="I81" s="20">
        <f>+IFERROR('Q10'!I81/'Q10'!I76*100-100,0)</f>
        <v>-1.687075000667221</v>
      </c>
      <c r="J81" s="20">
        <f>+IFERROR('Q10'!J81/'Q10'!J76*100-100,0)</f>
        <v>2.5057290781410018</v>
      </c>
      <c r="K81" s="20">
        <f>+IFERROR('Q10'!K81/'Q10'!K76*100-100,0)</f>
        <v>0.1342070196284908</v>
      </c>
      <c r="L81" s="20">
        <f>+IFERROR('Q10'!L81/'Q10'!L76*100-100,0)</f>
        <v>-0.79674599032776428</v>
      </c>
      <c r="M81" s="20">
        <f>+IFERROR('Q10'!M81/'Q10'!M76*100-100,0)</f>
        <v>2.5887435375310019</v>
      </c>
      <c r="N81" s="20">
        <f>+IFERROR('Q10'!N81/'Q10'!N76*100-100,0)</f>
        <v>0.86604057023703263</v>
      </c>
      <c r="O81" s="20">
        <f>+IFERROR('Q10'!O81/'Q10'!O76*100-100,0)</f>
        <v>-10.68710805424125</v>
      </c>
      <c r="P81" s="20">
        <f>+IFERROR('Q10'!P81/'Q10'!P76*100-100,0)</f>
        <v>0.27406567144100791</v>
      </c>
      <c r="Q81" s="20">
        <f>+IFERROR('Q10'!Q81/'Q10'!Q76*100-100,0)</f>
        <v>3.005388245229156</v>
      </c>
      <c r="R81" s="20">
        <f>+IFERROR('Q10'!R81/'Q10'!R76*100-100,0)</f>
        <v>9.601565697890095</v>
      </c>
      <c r="S81" s="20">
        <f>+IFERROR('Q10'!S81/'Q10'!S76*100-100,0)</f>
        <v>-0.45601017504819197</v>
      </c>
      <c r="T81" s="20">
        <f>+IFERROR('Q10'!T81/'Q10'!T76*100-100,0)</f>
        <v>-39.008632464991052</v>
      </c>
      <c r="U81" s="20">
        <f>+IFERROR('Q10'!U81/'Q10'!U76*100-100,0)</f>
        <v>-0.16468865696148782</v>
      </c>
    </row>
    <row r="82" spans="1:21" x14ac:dyDescent="0.25">
      <c r="A82" s="95"/>
      <c r="B82" s="58"/>
      <c r="C82" s="16" t="s">
        <v>51</v>
      </c>
      <c r="D82" s="26">
        <f>+IFERROR('Q10'!D82/'Q10'!D77*100-100,0)</f>
        <v>0.37541427742964117</v>
      </c>
      <c r="E82" s="26">
        <f>+IFERROR('Q10'!E82/'Q10'!E77*100-100,0)</f>
        <v>-5.0957041379159875</v>
      </c>
      <c r="F82" s="26">
        <f>+IFERROR('Q10'!F82/'Q10'!F77*100-100,0)</f>
        <v>-7.6562449747918322</v>
      </c>
      <c r="G82" s="26">
        <f>+IFERROR('Q10'!G82/'Q10'!G77*100-100,0)</f>
        <v>-3.1088212303981919</v>
      </c>
      <c r="H82" s="26">
        <f>+IFERROR('Q10'!H82/'Q10'!H77*100-100,0)</f>
        <v>0.34128612789439217</v>
      </c>
      <c r="I82" s="26">
        <f>+IFERROR('Q10'!I82/'Q10'!I77*100-100,0)</f>
        <v>2.4729129569994228</v>
      </c>
      <c r="J82" s="26">
        <f>+IFERROR('Q10'!J82/'Q10'!J77*100-100,0)</f>
        <v>-0.12424787171559615</v>
      </c>
      <c r="K82" s="26">
        <f>+IFERROR('Q10'!K82/'Q10'!K77*100-100,0)</f>
        <v>0.4182999840900834</v>
      </c>
      <c r="L82" s="26">
        <f>+IFERROR('Q10'!L82/'Q10'!L77*100-100,0)</f>
        <v>-0.71630853199083333</v>
      </c>
      <c r="M82" s="26">
        <f>+IFERROR('Q10'!M82/'Q10'!M77*100-100,0)</f>
        <v>1.8649407003192806</v>
      </c>
      <c r="N82" s="26">
        <f>+IFERROR('Q10'!N82/'Q10'!N77*100-100,0)</f>
        <v>1.1465023081218959</v>
      </c>
      <c r="O82" s="26">
        <f>+IFERROR('Q10'!O82/'Q10'!O77*100-100,0)</f>
        <v>7.7588963196554772</v>
      </c>
      <c r="P82" s="26">
        <f>+IFERROR('Q10'!P82/'Q10'!P77*100-100,0)</f>
        <v>3.4650884495441403</v>
      </c>
      <c r="Q82" s="26">
        <f>+IFERROR('Q10'!Q82/'Q10'!Q77*100-100,0)</f>
        <v>1.1906986529896812</v>
      </c>
      <c r="R82" s="26">
        <f>+IFERROR('Q10'!R82/'Q10'!R77*100-100,0)</f>
        <v>2.5684082227144529</v>
      </c>
      <c r="S82" s="26">
        <f>+IFERROR('Q10'!S82/'Q10'!S77*100-100,0)</f>
        <v>-2.9768199088482419</v>
      </c>
      <c r="T82" s="26">
        <f>+IFERROR('Q10'!T82/'Q10'!T77*100-100,0)</f>
        <v>-48.241066934157232</v>
      </c>
      <c r="U82" s="26">
        <f>+IFERROR('Q10'!U82/'Q10'!U77*100-100,0)</f>
        <v>-0.15429851941981099</v>
      </c>
    </row>
    <row r="83" spans="1:21" x14ac:dyDescent="0.25">
      <c r="A83" s="95"/>
      <c r="B83" s="99">
        <v>2018</v>
      </c>
      <c r="C83" s="61" t="s">
        <v>28</v>
      </c>
      <c r="D83" s="21">
        <f>+IFERROR('Q10'!D83/'Q10'!D78*100-100,0)</f>
        <v>1.4582994439889632</v>
      </c>
      <c r="E83" s="21">
        <f>+IFERROR('Q10'!E83/'Q10'!E78*100-100,0)</f>
        <v>-3.0595423945423192</v>
      </c>
      <c r="F83" s="21">
        <f>+IFERROR('Q10'!F83/'Q10'!F78*100-100,0)</f>
        <v>-7.221087197229096</v>
      </c>
      <c r="G83" s="21">
        <f>+IFERROR('Q10'!G83/'Q10'!G78*100-100,0)</f>
        <v>-1.8734527988116838</v>
      </c>
      <c r="H83" s="21">
        <f>+IFERROR('Q10'!H83/'Q10'!H78*100-100,0)</f>
        <v>0.63076975547311065</v>
      </c>
      <c r="I83" s="21">
        <f>+IFERROR('Q10'!I83/'Q10'!I78*100-100,0)</f>
        <v>-0.1272927353540183</v>
      </c>
      <c r="J83" s="21">
        <f>+IFERROR('Q10'!J83/'Q10'!J78*100-100,0)</f>
        <v>1.4639399523178867</v>
      </c>
      <c r="K83" s="21">
        <f>+IFERROR('Q10'!K83/'Q10'!K78*100-100,0)</f>
        <v>2.0857146408987006</v>
      </c>
      <c r="L83" s="21">
        <f>+IFERROR('Q10'!L83/'Q10'!L78*100-100,0)</f>
        <v>0.62313649044689612</v>
      </c>
      <c r="M83" s="21">
        <f>+IFERROR('Q10'!M83/'Q10'!M78*100-100,0)</f>
        <v>3.3153660932160136</v>
      </c>
      <c r="N83" s="21">
        <f>+IFERROR('Q10'!N83/'Q10'!N78*100-100,0)</f>
        <v>0.41620136120725704</v>
      </c>
      <c r="O83" s="21">
        <f>+IFERROR('Q10'!O83/'Q10'!O78*100-100,0)</f>
        <v>-4.2062645830605589</v>
      </c>
      <c r="P83" s="21">
        <f>+IFERROR('Q10'!P83/'Q10'!P78*100-100,0)</f>
        <v>4.1293919679545041</v>
      </c>
      <c r="Q83" s="21">
        <f>+IFERROR('Q10'!Q83/'Q10'!Q78*100-100,0)</f>
        <v>2.2834510895048794</v>
      </c>
      <c r="R83" s="21">
        <f>+IFERROR('Q10'!R83/'Q10'!R78*100-100,0)</f>
        <v>6.849876065909541</v>
      </c>
      <c r="S83" s="21">
        <f>+IFERROR('Q10'!S83/'Q10'!S78*100-100,0)</f>
        <v>-1.1993303761546628</v>
      </c>
      <c r="T83" s="21">
        <f>+IFERROR('Q10'!T83/'Q10'!T78*100-100,0)</f>
        <v>-41.419854128811807</v>
      </c>
      <c r="U83" s="21">
        <f>+IFERROR('Q10'!U83/'Q10'!U78*100-100,0)</f>
        <v>0.7725432908947738</v>
      </c>
    </row>
    <row r="84" spans="1:21" x14ac:dyDescent="0.25">
      <c r="A84" s="95"/>
      <c r="B84" s="100"/>
      <c r="C84" s="19" t="s">
        <v>29</v>
      </c>
      <c r="D84" s="2">
        <f>+IFERROR('Q10'!D84/'Q10'!D79*100-100,0)</f>
        <v>0.43903390104067341</v>
      </c>
      <c r="E84" s="2">
        <f>+IFERROR('Q10'!E84/'Q10'!E79*100-100,0)</f>
        <v>-4.9191071807719453</v>
      </c>
      <c r="F84" s="2">
        <f>+IFERROR('Q10'!F84/'Q10'!F79*100-100,0)</f>
        <v>-6.499340540068502</v>
      </c>
      <c r="G84" s="2">
        <f>+IFERROR('Q10'!G84/'Q10'!G79*100-100,0)</f>
        <v>-4.9626101318149551</v>
      </c>
      <c r="H84" s="2">
        <f>+IFERROR('Q10'!H84/'Q10'!H79*100-100,0)</f>
        <v>0.10711566745852963</v>
      </c>
      <c r="I84" s="2">
        <f>+IFERROR('Q10'!I84/'Q10'!I79*100-100,0)</f>
        <v>4.254938164248756</v>
      </c>
      <c r="J84" s="2">
        <f>+IFERROR('Q10'!J84/'Q10'!J79*100-100,0)</f>
        <v>2.3638661506216465</v>
      </c>
      <c r="K84" s="2">
        <f>+IFERROR('Q10'!K84/'Q10'!K79*100-100,0)</f>
        <v>0.54353504302319777</v>
      </c>
      <c r="L84" s="2">
        <f>+IFERROR('Q10'!L84/'Q10'!L79*100-100,0)</f>
        <v>-1.852831894082712</v>
      </c>
      <c r="M84" s="2">
        <f>+IFERROR('Q10'!M84/'Q10'!M79*100-100,0)</f>
        <v>3.7535831302487139</v>
      </c>
      <c r="N84" s="2">
        <f>+IFERROR('Q10'!N84/'Q10'!N79*100-100,0)</f>
        <v>1.4053322862248194</v>
      </c>
      <c r="O84" s="2">
        <f>+IFERROR('Q10'!O84/'Q10'!O79*100-100,0)</f>
        <v>1.5284535070296101</v>
      </c>
      <c r="P84" s="2">
        <f>+IFERROR('Q10'!P84/'Q10'!P79*100-100,0)</f>
        <v>3.7450927343465565</v>
      </c>
      <c r="Q84" s="2">
        <f>+IFERROR('Q10'!Q84/'Q10'!Q79*100-100,0)</f>
        <v>1.4423635689881706</v>
      </c>
      <c r="R84" s="2">
        <f>+IFERROR('Q10'!R84/'Q10'!R79*100-100,0)</f>
        <v>2.3326296972298337</v>
      </c>
      <c r="S84" s="2">
        <f>+IFERROR('Q10'!S84/'Q10'!S79*100-100,0)</f>
        <v>-8.3154351462292766</v>
      </c>
      <c r="T84" s="2">
        <f>+IFERROR('Q10'!T84/'Q10'!T79*100-100,0)</f>
        <v>-49.23913079121921</v>
      </c>
      <c r="U84" s="2">
        <f>+IFERROR('Q10'!U84/'Q10'!U79*100-100,0)</f>
        <v>0.33685319567204886</v>
      </c>
    </row>
    <row r="85" spans="1:21" x14ac:dyDescent="0.25">
      <c r="A85" s="95"/>
      <c r="B85" s="100"/>
      <c r="C85" s="19" t="s">
        <v>30</v>
      </c>
      <c r="D85" s="2">
        <f>+IFERROR('Q10'!D85/'Q10'!D80*100-100,0)</f>
        <v>-0.12080689921577914</v>
      </c>
      <c r="E85" s="2">
        <f>+IFERROR('Q10'!E85/'Q10'!E80*100-100,0)</f>
        <v>-8.4895605643910841</v>
      </c>
      <c r="F85" s="2">
        <f>+IFERROR('Q10'!F85/'Q10'!F80*100-100,0)</f>
        <v>-7.7756291418196497</v>
      </c>
      <c r="G85" s="2">
        <f>+IFERROR('Q10'!G85/'Q10'!G80*100-100,0)</f>
        <v>-2.4453785945410118</v>
      </c>
      <c r="H85" s="2">
        <f>+IFERROR('Q10'!H85/'Q10'!H80*100-100,0)</f>
        <v>-0.57143840242133592</v>
      </c>
      <c r="I85" s="2">
        <f>+IFERROR('Q10'!I85/'Q10'!I80*100-100,0)</f>
        <v>2.7353248675159705</v>
      </c>
      <c r="J85" s="2">
        <f>+IFERROR('Q10'!J85/'Q10'!J80*100-100,0)</f>
        <v>-4.0975822197391949</v>
      </c>
      <c r="K85" s="2">
        <f>+IFERROR('Q10'!K85/'Q10'!K80*100-100,0)</f>
        <v>-0.63207191160627474</v>
      </c>
      <c r="L85" s="2">
        <f>+IFERROR('Q10'!L85/'Q10'!L80*100-100,0)</f>
        <v>-1.6298995740103805</v>
      </c>
      <c r="M85" s="2">
        <f>+IFERROR('Q10'!M85/'Q10'!M80*100-100,0)</f>
        <v>0.61229352614395793</v>
      </c>
      <c r="N85" s="2">
        <f>+IFERROR('Q10'!N85/'Q10'!N80*100-100,0)</f>
        <v>2.7779436675156717</v>
      </c>
      <c r="O85" s="2">
        <f>+IFERROR('Q10'!O85/'Q10'!O80*100-100,0)</f>
        <v>6.5953980233304463</v>
      </c>
      <c r="P85" s="2">
        <f>+IFERROR('Q10'!P85/'Q10'!P80*100-100,0)</f>
        <v>3.9331615799034267</v>
      </c>
      <c r="Q85" s="2">
        <f>+IFERROR('Q10'!Q85/'Q10'!Q80*100-100,0)</f>
        <v>0.71893572377126702</v>
      </c>
      <c r="R85" s="2">
        <f>+IFERROR('Q10'!R85/'Q10'!R80*100-100,0)</f>
        <v>0.87425420464785475</v>
      </c>
      <c r="S85" s="2">
        <f>+IFERROR('Q10'!S85/'Q10'!S80*100-100,0)</f>
        <v>-7.0810914826303843</v>
      </c>
      <c r="T85" s="2">
        <f>+IFERROR('Q10'!T85/'Q10'!T80*100-100,0)</f>
        <v>-70.620460417182997</v>
      </c>
      <c r="U85" s="2">
        <f>+IFERROR('Q10'!U85/'Q10'!U80*100-100,0)</f>
        <v>-1.2061150835898928</v>
      </c>
    </row>
    <row r="86" spans="1:21" x14ac:dyDescent="0.25">
      <c r="A86" s="95"/>
      <c r="B86" s="101"/>
      <c r="C86" s="52" t="s">
        <v>31</v>
      </c>
      <c r="D86" s="20">
        <f>+IFERROR('Q10'!D86/'Q10'!D81*100-100,0)</f>
        <v>-0.26663931118335427</v>
      </c>
      <c r="E86" s="20">
        <f>+IFERROR('Q10'!E86/'Q10'!E81*100-100,0)</f>
        <v>-3.7590263626551916</v>
      </c>
      <c r="F86" s="20">
        <f>+IFERROR('Q10'!F86/'Q10'!F81*100-100,0)</f>
        <v>-9.1895044919489521</v>
      </c>
      <c r="G86" s="20">
        <f>+IFERROR('Q10'!G86/'Q10'!G81*100-100,0)</f>
        <v>-3.0869814119276526</v>
      </c>
      <c r="H86" s="20">
        <f>+IFERROR('Q10'!H86/'Q10'!H81*100-100,0)</f>
        <v>1.1977985999745329</v>
      </c>
      <c r="I86" s="20">
        <f>+IFERROR('Q10'!I86/'Q10'!I81*100-100,0)</f>
        <v>3.06830529341741</v>
      </c>
      <c r="J86" s="20">
        <f>+IFERROR('Q10'!J86/'Q10'!J81*100-100,0)</f>
        <v>-5.3010531497079683E-3</v>
      </c>
      <c r="K86" s="20">
        <f>+IFERROR('Q10'!K86/'Q10'!K81*100-100,0)</f>
        <v>-0.30070270683378908</v>
      </c>
      <c r="L86" s="20">
        <f>+IFERROR('Q10'!L86/'Q10'!L81*100-100,0)</f>
        <v>3.9903689749110072E-2</v>
      </c>
      <c r="M86" s="20">
        <f>+IFERROR('Q10'!M86/'Q10'!M81*100-100,0)</f>
        <v>-0.14851805580349264</v>
      </c>
      <c r="N86" s="20">
        <f>+IFERROR('Q10'!N86/'Q10'!N81*100-100,0)</f>
        <v>-1.6730307857145021E-2</v>
      </c>
      <c r="O86" s="20">
        <f>+IFERROR('Q10'!O86/'Q10'!O81*100-100,0)</f>
        <v>28.635628674710745</v>
      </c>
      <c r="P86" s="20">
        <f>+IFERROR('Q10'!P86/'Q10'!P81*100-100,0)</f>
        <v>2.0848927949704148</v>
      </c>
      <c r="Q86" s="20">
        <f>+IFERROR('Q10'!Q86/'Q10'!Q81*100-100,0)</f>
        <v>0.34135733287111236</v>
      </c>
      <c r="R86" s="20">
        <f>+IFERROR('Q10'!R86/'Q10'!R81*100-100,0)</f>
        <v>0.4396408141749788</v>
      </c>
      <c r="S86" s="20">
        <f>+IFERROR('Q10'!S86/'Q10'!S81*100-100,0)</f>
        <v>5.4015252015555006</v>
      </c>
      <c r="T86" s="20">
        <f>+IFERROR('Q10'!T86/'Q10'!T81*100-100,0)</f>
        <v>-28.302808629129999</v>
      </c>
      <c r="U86" s="20">
        <f>+IFERROR('Q10'!U86/'Q10'!U81*100-100,0)</f>
        <v>-0.50669754361612718</v>
      </c>
    </row>
    <row r="87" spans="1:21" x14ac:dyDescent="0.25">
      <c r="A87" s="95"/>
      <c r="B87" s="58"/>
      <c r="C87" s="16" t="s">
        <v>51</v>
      </c>
      <c r="D87" s="26">
        <f>+IFERROR('Q10'!D87/'Q10'!D82*100-100,0)</f>
        <v>0.92092594512951109</v>
      </c>
      <c r="E87" s="26">
        <f>+IFERROR('Q10'!E87/'Q10'!E82*100-100,0)</f>
        <v>-9.29100034791837</v>
      </c>
      <c r="F87" s="26">
        <f>+IFERROR('Q10'!F87/'Q10'!F82*100-100,0)</f>
        <v>-8.4887594017365871</v>
      </c>
      <c r="G87" s="26">
        <f>+IFERROR('Q10'!G87/'Q10'!G82*100-100,0)</f>
        <v>3.0547059076871079</v>
      </c>
      <c r="H87" s="26">
        <f>+IFERROR('Q10'!H87/'Q10'!H82*100-100,0)</f>
        <v>-1.4649028195109253</v>
      </c>
      <c r="I87" s="26">
        <f>+IFERROR('Q10'!I87/'Q10'!I82*100-100,0)</f>
        <v>1.9337926645627306</v>
      </c>
      <c r="J87" s="26">
        <f>+IFERROR('Q10'!J87/'Q10'!J82*100-100,0)</f>
        <v>12.574946491933204</v>
      </c>
      <c r="K87" s="26">
        <f>+IFERROR('Q10'!K87/'Q10'!K82*100-100,0)</f>
        <v>1.5825526533750605</v>
      </c>
      <c r="L87" s="26">
        <f>+IFERROR('Q10'!L87/'Q10'!L82*100-100,0)</f>
        <v>-0.20271798033869004</v>
      </c>
      <c r="M87" s="26">
        <f>+IFERROR('Q10'!M87/'Q10'!M82*100-100,0)</f>
        <v>0.63465784350459842</v>
      </c>
      <c r="N87" s="26">
        <f>+IFERROR('Q10'!N87/'Q10'!N82*100-100,0)</f>
        <v>-1.5881731467246993</v>
      </c>
      <c r="O87" s="26">
        <f>+IFERROR('Q10'!O87/'Q10'!O82*100-100,0)</f>
        <v>6.4613334331515375</v>
      </c>
      <c r="P87" s="26">
        <f>+IFERROR('Q10'!P87/'Q10'!P82*100-100,0)</f>
        <v>1.9203035516369766</v>
      </c>
      <c r="Q87" s="26">
        <f>+IFERROR('Q10'!Q87/'Q10'!Q82*100-100,0)</f>
        <v>1.4968475749485606</v>
      </c>
      <c r="R87" s="26">
        <f>+IFERROR('Q10'!R87/'Q10'!R82*100-100,0)</f>
        <v>2.3062191093661966</v>
      </c>
      <c r="S87" s="26">
        <f>+IFERROR('Q10'!S87/'Q10'!S82*100-100,0)</f>
        <v>-18.740016135464529</v>
      </c>
      <c r="T87" s="26">
        <f>+IFERROR('Q10'!T87/'Q10'!T82*100-100,0)</f>
        <v>5.5613201887814796</v>
      </c>
      <c r="U87" s="26">
        <f>+IFERROR('Q10'!U87/'Q10'!U82*100-100,0)</f>
        <v>-1.3605703955988702E-2</v>
      </c>
    </row>
    <row r="88" spans="1:21" x14ac:dyDescent="0.25">
      <c r="A88" s="95"/>
      <c r="B88" s="99">
        <v>2019</v>
      </c>
      <c r="C88" s="61" t="s">
        <v>28</v>
      </c>
      <c r="D88" s="21">
        <f>+IFERROR('Q10'!D88/'Q10'!D83*100-100,0)</f>
        <v>-0.39428712902048346</v>
      </c>
      <c r="E88" s="21">
        <f>+IFERROR('Q10'!E88/'Q10'!E83*100-100,0)</f>
        <v>-2.6303604381479317</v>
      </c>
      <c r="F88" s="21">
        <f>+IFERROR('Q10'!F88/'Q10'!F83*100-100,0)</f>
        <v>-9.4048537830364154</v>
      </c>
      <c r="G88" s="21">
        <f>+IFERROR('Q10'!G88/'Q10'!G83*100-100,0)</f>
        <v>-1.4392789503902037</v>
      </c>
      <c r="H88" s="21">
        <f>+IFERROR('Q10'!H88/'Q10'!H83*100-100,0)</f>
        <v>-1.5712375260090568</v>
      </c>
      <c r="I88" s="21">
        <f>+IFERROR('Q10'!I88/'Q10'!I83*100-100,0)</f>
        <v>2.0199723941270804</v>
      </c>
      <c r="J88" s="21">
        <f>+IFERROR('Q10'!J88/'Q10'!J83*100-100,0)</f>
        <v>15.699517881397966</v>
      </c>
      <c r="K88" s="21">
        <f>+IFERROR('Q10'!K88/'Q10'!K83*100-100,0)</f>
        <v>-0.22375022721806204</v>
      </c>
      <c r="L88" s="21">
        <f>+IFERROR('Q10'!L88/'Q10'!L83*100-100,0)</f>
        <v>-0.12107277522056847</v>
      </c>
      <c r="M88" s="21">
        <f>+IFERROR('Q10'!M88/'Q10'!M83*100-100,0)</f>
        <v>-0.94210069597527024</v>
      </c>
      <c r="N88" s="21">
        <f>+IFERROR('Q10'!N88/'Q10'!N83*100-100,0)</f>
        <v>0.4482374668212401</v>
      </c>
      <c r="O88" s="21">
        <f>+IFERROR('Q10'!O88/'Q10'!O83*100-100,0)</f>
        <v>21.639771120376764</v>
      </c>
      <c r="P88" s="21">
        <f>+IFERROR('Q10'!P88/'Q10'!P83*100-100,0)</f>
        <v>0.98654612774807049</v>
      </c>
      <c r="Q88" s="21">
        <f>+IFERROR('Q10'!Q88/'Q10'!Q83*100-100,0)</f>
        <v>0.54055354943164957</v>
      </c>
      <c r="R88" s="21">
        <f>+IFERROR('Q10'!R88/'Q10'!R83*100-100,0)</f>
        <v>-2.0284959214829712</v>
      </c>
      <c r="S88" s="21">
        <f>+IFERROR('Q10'!S88/'Q10'!S83*100-100,0)</f>
        <v>-7.008869282562685</v>
      </c>
      <c r="T88" s="21">
        <f>+IFERROR('Q10'!T88/'Q10'!T83*100-100,0)</f>
        <v>-22.055145814838767</v>
      </c>
      <c r="U88" s="21">
        <f>+IFERROR('Q10'!U88/'Q10'!U83*100-100,0)</f>
        <v>0.33569697247880015</v>
      </c>
    </row>
    <row r="89" spans="1:21" x14ac:dyDescent="0.25">
      <c r="A89" s="95"/>
      <c r="B89" s="100"/>
      <c r="C89" s="19" t="s">
        <v>29</v>
      </c>
      <c r="D89" s="2">
        <f>+IFERROR('Q10'!D89/'Q10'!D84*100-100,0)</f>
        <v>1.008180495720751</v>
      </c>
      <c r="E89" s="2">
        <f>+IFERROR('Q10'!E89/'Q10'!E84*100-100,0)</f>
        <v>-8.8959225314471269</v>
      </c>
      <c r="F89" s="2">
        <f>+IFERROR('Q10'!F89/'Q10'!F84*100-100,0)</f>
        <v>-9.1954886065184525</v>
      </c>
      <c r="G89" s="2">
        <f>+IFERROR('Q10'!G89/'Q10'!G84*100-100,0)</f>
        <v>-1.1386365779762713</v>
      </c>
      <c r="H89" s="2">
        <f>+IFERROR('Q10'!H89/'Q10'!H84*100-100,0)</f>
        <v>-0.53943275900519438</v>
      </c>
      <c r="I89" s="2">
        <f>+IFERROR('Q10'!I89/'Q10'!I84*100-100,0)</f>
        <v>-0.49941772092793713</v>
      </c>
      <c r="J89" s="2">
        <f>+IFERROR('Q10'!J89/'Q10'!J84*100-100,0)</f>
        <v>15.085229385674424</v>
      </c>
      <c r="K89" s="2">
        <f>+IFERROR('Q10'!K89/'Q10'!K84*100-100,0)</f>
        <v>1.633609845328678</v>
      </c>
      <c r="L89" s="2">
        <f>+IFERROR('Q10'!L89/'Q10'!L84*100-100,0)</f>
        <v>-0.76900507273313679</v>
      </c>
      <c r="M89" s="2">
        <f>+IFERROR('Q10'!M89/'Q10'!M84*100-100,0)</f>
        <v>-2.3645771566174858</v>
      </c>
      <c r="N89" s="2">
        <f>+IFERROR('Q10'!N89/'Q10'!N84*100-100,0)</f>
        <v>-1.2125444706209123</v>
      </c>
      <c r="O89" s="2">
        <f>+IFERROR('Q10'!O89/'Q10'!O84*100-100,0)</f>
        <v>13.205653128167242</v>
      </c>
      <c r="P89" s="2">
        <f>+IFERROR('Q10'!P89/'Q10'!P84*100-100,0)</f>
        <v>1.9890046471451086</v>
      </c>
      <c r="Q89" s="2">
        <f>+IFERROR('Q10'!Q89/'Q10'!Q84*100-100,0)</f>
        <v>1.1106965598272325</v>
      </c>
      <c r="R89" s="2">
        <f>+IFERROR('Q10'!R89/'Q10'!R84*100-100,0)</f>
        <v>2.3353583102703226</v>
      </c>
      <c r="S89" s="2">
        <f>+IFERROR('Q10'!S89/'Q10'!S84*100-100,0)</f>
        <v>-14.761318170595814</v>
      </c>
      <c r="T89" s="2">
        <f>+IFERROR('Q10'!T89/'Q10'!T84*100-100,0)</f>
        <v>11.966962718915127</v>
      </c>
      <c r="U89" s="2">
        <f>+IFERROR('Q10'!U89/'Q10'!U84*100-100,0)</f>
        <v>0.41167338404135023</v>
      </c>
    </row>
    <row r="90" spans="1:21" x14ac:dyDescent="0.25">
      <c r="A90" s="95"/>
      <c r="B90" s="100"/>
      <c r="C90" s="19" t="s">
        <v>30</v>
      </c>
      <c r="D90" s="2">
        <f>+IFERROR('Q10'!D90/'Q10'!D85*100-100,0)</f>
        <v>1.7279046995585503</v>
      </c>
      <c r="E90" s="2">
        <f>+IFERROR('Q10'!E90/'Q10'!E85*100-100,0)</f>
        <v>-11.125070157292953</v>
      </c>
      <c r="F90" s="2">
        <f>+IFERROR('Q10'!F90/'Q10'!F85*100-100,0)</f>
        <v>-8.051336952147409</v>
      </c>
      <c r="G90" s="2">
        <f>+IFERROR('Q10'!G90/'Q10'!G85*100-100,0)</f>
        <v>10.496359632763941</v>
      </c>
      <c r="H90" s="2">
        <f>+IFERROR('Q10'!H90/'Q10'!H85*100-100,0)</f>
        <v>-0.91658481388007829</v>
      </c>
      <c r="I90" s="2">
        <f>+IFERROR('Q10'!I90/'Q10'!I85*100-100,0)</f>
        <v>1.7384827758770882</v>
      </c>
      <c r="J90" s="2">
        <f>+IFERROR('Q10'!J90/'Q10'!J85*100-100,0)</f>
        <v>15.58373214205109</v>
      </c>
      <c r="K90" s="2">
        <f>+IFERROR('Q10'!K90/'Q10'!K85*100-100,0)</f>
        <v>3.0694471484770958</v>
      </c>
      <c r="L90" s="2">
        <f>+IFERROR('Q10'!L90/'Q10'!L85*100-100,0)</f>
        <v>-0.4334755117313307</v>
      </c>
      <c r="M90" s="2">
        <f>+IFERROR('Q10'!M90/'Q10'!M85*100-100,0)</f>
        <v>-1.082588334255675</v>
      </c>
      <c r="N90" s="2">
        <f>+IFERROR('Q10'!N90/'Q10'!N85*100-100,0)</f>
        <v>-3.8114561425572191</v>
      </c>
      <c r="O90" s="2">
        <f>+IFERROR('Q10'!O90/'Q10'!O85*100-100,0)</f>
        <v>1.6451830124810272</v>
      </c>
      <c r="P90" s="2">
        <f>+IFERROR('Q10'!P90/'Q10'!P85*100-100,0)</f>
        <v>2.2881742012248196</v>
      </c>
      <c r="Q90" s="2">
        <f>+IFERROR('Q10'!Q90/'Q10'!Q85*100-100,0)</f>
        <v>1.8361090322534608</v>
      </c>
      <c r="R90" s="2">
        <f>+IFERROR('Q10'!R90/'Q10'!R85*100-100,0)</f>
        <v>3.3554982466067713</v>
      </c>
      <c r="S90" s="2">
        <f>+IFERROR('Q10'!S90/'Q10'!S85*100-100,0)</f>
        <v>-25.172808618166428</v>
      </c>
      <c r="T90" s="2">
        <f>+IFERROR('Q10'!T90/'Q10'!T85*100-100,0)</f>
        <v>141.23900719204863</v>
      </c>
      <c r="U90" s="2">
        <f>+IFERROR('Q10'!U90/'Q10'!U85*100-100,0)</f>
        <v>0.25779044767580217</v>
      </c>
    </row>
    <row r="91" spans="1:21" x14ac:dyDescent="0.25">
      <c r="A91" s="95"/>
      <c r="B91" s="101"/>
      <c r="C91" s="52" t="s">
        <v>31</v>
      </c>
      <c r="D91" s="20">
        <f>+IFERROR('Q10'!D91/'Q10'!D86*100-100,0)</f>
        <v>1.354490697056022</v>
      </c>
      <c r="E91" s="20">
        <f>+IFERROR('Q10'!E91/'Q10'!E86*100-100,0)</f>
        <v>-14.788288676057832</v>
      </c>
      <c r="F91" s="20">
        <f>+IFERROR('Q10'!F91/'Q10'!F86*100-100,0)</f>
        <v>-7.1960940609897506</v>
      </c>
      <c r="G91" s="20">
        <f>+IFERROR('Q10'!G91/'Q10'!G86*100-100,0)</f>
        <v>4.5741133225345294</v>
      </c>
      <c r="H91" s="20">
        <f>+IFERROR('Q10'!H91/'Q10'!H86*100-100,0)</f>
        <v>-2.8096626731023804</v>
      </c>
      <c r="I91" s="20">
        <f>+IFERROR('Q10'!I91/'Q10'!I86*100-100,0)</f>
        <v>4.5023241371721099</v>
      </c>
      <c r="J91" s="20">
        <f>+IFERROR('Q10'!J91/'Q10'!J86*100-100,0)</f>
        <v>4.4932392630848454</v>
      </c>
      <c r="K91" s="20">
        <f>+IFERROR('Q10'!K91/'Q10'!K86*100-100,0)</f>
        <v>1.8775996662373728</v>
      </c>
      <c r="L91" s="20">
        <f>+IFERROR('Q10'!L91/'Q10'!L86*100-100,0)</f>
        <v>0.51416225534602233</v>
      </c>
      <c r="M91" s="20">
        <f>+IFERROR('Q10'!M91/'Q10'!M86*100-100,0)</f>
        <v>6.9947496731560079</v>
      </c>
      <c r="N91" s="20">
        <f>+IFERROR('Q10'!N91/'Q10'!N86*100-100,0)</f>
        <v>-1.7128516309175268</v>
      </c>
      <c r="O91" s="20">
        <f>+IFERROR('Q10'!O91/'Q10'!O86*100-100,0)</f>
        <v>-7.3261036177491405</v>
      </c>
      <c r="P91" s="20">
        <f>+IFERROR('Q10'!P91/'Q10'!P86*100-100,0)</f>
        <v>2.4136021457720176</v>
      </c>
      <c r="Q91" s="20">
        <f>+IFERROR('Q10'!Q91/'Q10'!Q86*100-100,0)</f>
        <v>2.4982246556189978</v>
      </c>
      <c r="R91" s="20">
        <f>+IFERROR('Q10'!R91/'Q10'!R86*100-100,0)</f>
        <v>5.5811804633997326</v>
      </c>
      <c r="S91" s="20">
        <f>+IFERROR('Q10'!S91/'Q10'!S86*100-100,0)</f>
        <v>-27.713443244256794</v>
      </c>
      <c r="T91" s="20">
        <f>+IFERROR('Q10'!T91/'Q10'!T86*100-100,0)</f>
        <v>-37.992920003056931</v>
      </c>
      <c r="U91" s="20">
        <f>+IFERROR('Q10'!U91/'Q10'!U86*100-100,0)</f>
        <v>-1.0552341449430003</v>
      </c>
    </row>
    <row r="92" spans="1:21" x14ac:dyDescent="0.25">
      <c r="A92" s="95"/>
      <c r="B92" s="58"/>
      <c r="C92" s="16" t="s">
        <v>51</v>
      </c>
      <c r="D92" s="26">
        <f>+IFERROR('Q10'!D92/'Q10'!D87*100-100,0)</f>
        <v>3.4787180800616113</v>
      </c>
      <c r="E92" s="26">
        <f>+IFERROR('Q10'!E92/'Q10'!E87*100-100,0)</f>
        <v>-13.316782290969144</v>
      </c>
      <c r="F92" s="26">
        <f>+IFERROR('Q10'!F92/'Q10'!F87*100-100,0)</f>
        <v>-6.0866863830272564</v>
      </c>
      <c r="G92" s="26">
        <f>+IFERROR('Q10'!G92/'Q10'!G87*100-100,0)</f>
        <v>-6.7558031790837276</v>
      </c>
      <c r="H92" s="26">
        <f>+IFERROR('Q10'!H92/'Q10'!H87*100-100,0)</f>
        <v>2.1752133647996175</v>
      </c>
      <c r="I92" s="26">
        <f>+IFERROR('Q10'!I92/'Q10'!I87*100-100,0)</f>
        <v>5.4708922780325224</v>
      </c>
      <c r="J92" s="26">
        <f>+IFERROR('Q10'!J92/'Q10'!J87*100-100,0)</f>
        <v>-15.937184375607956</v>
      </c>
      <c r="K92" s="26">
        <f>+IFERROR('Q10'!K92/'Q10'!K87*100-100,0)</f>
        <v>0.50529620424141797</v>
      </c>
      <c r="L92" s="26">
        <f>+IFERROR('Q10'!L92/'Q10'!L87*100-100,0)</f>
        <v>0.69388373683732141</v>
      </c>
      <c r="M92" s="26">
        <f>+IFERROR('Q10'!M92/'Q10'!M87*100-100,0)</f>
        <v>-19.910506951698338</v>
      </c>
      <c r="N92" s="26">
        <f>+IFERROR('Q10'!N92/'Q10'!N87*100-100,0)</f>
        <v>-7.6216607885239966</v>
      </c>
      <c r="O92" s="26">
        <f>+IFERROR('Q10'!O92/'Q10'!O87*100-100,0)</f>
        <v>11.772585556048099</v>
      </c>
      <c r="P92" s="26">
        <f>+IFERROR('Q10'!P92/'Q10'!P87*100-100,0)</f>
        <v>-1.4516929280258495</v>
      </c>
      <c r="Q92" s="26">
        <f>+IFERROR('Q10'!Q92/'Q10'!Q87*100-100,0)</f>
        <v>-2.198818117280851</v>
      </c>
      <c r="R92" s="26">
        <f>+IFERROR('Q10'!R92/'Q10'!R87*100-100,0)</f>
        <v>6.6643278840645621</v>
      </c>
      <c r="S92" s="26">
        <f>+IFERROR('Q10'!S92/'Q10'!S87*100-100,0)</f>
        <v>27.611506950915768</v>
      </c>
      <c r="T92" s="26">
        <f>+IFERROR('Q10'!T92/'Q10'!T87*100-100,0)</f>
        <v>453.5120758576403</v>
      </c>
      <c r="U92" s="26">
        <f>+IFERROR('Q10'!U92/'Q10'!U87*100-100,0)</f>
        <v>-3.5174106209754257</v>
      </c>
    </row>
    <row r="93" spans="1:21" x14ac:dyDescent="0.25">
      <c r="A93" s="95"/>
      <c r="B93" s="99">
        <v>2020</v>
      </c>
      <c r="C93" s="61" t="s">
        <v>28</v>
      </c>
      <c r="D93" s="21">
        <f>+IFERROR('Q10'!D93/'Q10'!D88*100-100,0)</f>
        <v>2.8706291228334067</v>
      </c>
      <c r="E93" s="21">
        <f>+IFERROR('Q10'!E93/'Q10'!E88*100-100,0)</f>
        <v>-16.6778108259156</v>
      </c>
      <c r="F93" s="21">
        <f>+IFERROR('Q10'!F93/'Q10'!F88*100-100,0)</f>
        <v>-5.6643711971312882</v>
      </c>
      <c r="G93" s="21">
        <f>+IFERROR('Q10'!G93/'Q10'!G88*100-100,0)</f>
        <v>2.1415909107080466</v>
      </c>
      <c r="H93" s="21">
        <f>+IFERROR('Q10'!H93/'Q10'!H88*100-100,0)</f>
        <v>1.572023155791797</v>
      </c>
      <c r="I93" s="21">
        <f>+IFERROR('Q10'!I93/'Q10'!I88*100-100,0)</f>
        <v>5.7124670604847125</v>
      </c>
      <c r="J93" s="21">
        <f>+IFERROR('Q10'!J93/'Q10'!J88*100-100,0)</f>
        <v>-8.5106402845137978</v>
      </c>
      <c r="K93" s="21">
        <f>+IFERROR('Q10'!K93/'Q10'!K88*100-100,0)</f>
        <v>2.1563090086686714</v>
      </c>
      <c r="L93" s="21">
        <f>+IFERROR('Q10'!L93/'Q10'!L88*100-100,0)</f>
        <v>0.18595571001156941</v>
      </c>
      <c r="M93" s="21">
        <f>+IFERROR('Q10'!M93/'Q10'!M88*100-100,0)</f>
        <v>6.6331563366298241</v>
      </c>
      <c r="N93" s="21">
        <f>+IFERROR('Q10'!N93/'Q10'!N88*100-100,0)</f>
        <v>-4.5981997767754734</v>
      </c>
      <c r="O93" s="21">
        <f>+IFERROR('Q10'!O93/'Q10'!O88*100-100,0)</f>
        <v>8.9388163070394313</v>
      </c>
      <c r="P93" s="21">
        <f>+IFERROR('Q10'!P93/'Q10'!P88*100-100,0)</f>
        <v>1.9102201050421996</v>
      </c>
      <c r="Q93" s="21">
        <f>+IFERROR('Q10'!Q93/'Q10'!Q88*100-100,0)</f>
        <v>2.8791990039401583</v>
      </c>
      <c r="R93" s="21">
        <f>+IFERROR('Q10'!R93/'Q10'!R88*100-100,0)</f>
        <v>13.137324080342339</v>
      </c>
      <c r="S93" s="21">
        <f>+IFERROR('Q10'!S93/'Q10'!S88*100-100,0)</f>
        <v>-6.3897716595276535</v>
      </c>
      <c r="T93" s="21">
        <f>+IFERROR('Q10'!T93/'Q10'!T88*100-100,0)</f>
        <v>248.00227075136252</v>
      </c>
      <c r="U93" s="21">
        <f>+IFERROR('Q10'!U93/'Q10'!U88*100-100,0)</f>
        <v>-1.2651235131994554</v>
      </c>
    </row>
    <row r="94" spans="1:21" x14ac:dyDescent="0.25">
      <c r="A94" s="95"/>
      <c r="B94" s="100"/>
      <c r="C94" s="19" t="s">
        <v>29</v>
      </c>
      <c r="D94" s="2">
        <f>+IFERROR('Q10'!D94/'Q10'!D89*100-100,0)</f>
        <v>2.3780166313933364</v>
      </c>
      <c r="E94" s="2">
        <f>+IFERROR('Q10'!E94/'Q10'!E89*100-100,0)</f>
        <v>-16.090439770426016</v>
      </c>
      <c r="F94" s="2">
        <f>+IFERROR('Q10'!F94/'Q10'!F89*100-100,0)</f>
        <v>-6.2660499540999126</v>
      </c>
      <c r="G94" s="2">
        <f>+IFERROR('Q10'!G94/'Q10'!G89*100-100,0)</f>
        <v>-1.6044725261751438</v>
      </c>
      <c r="H94" s="2">
        <f>+IFERROR('Q10'!H94/'Q10'!H89*100-100,0)</f>
        <v>-9.9961700182575441E-2</v>
      </c>
      <c r="I94" s="2">
        <f>+IFERROR('Q10'!I94/'Q10'!I89*100-100,0)</f>
        <v>6.9562505862984239</v>
      </c>
      <c r="J94" s="2">
        <f>+IFERROR('Q10'!J94/'Q10'!J89*100-100,0)</f>
        <v>-10.375048441445927</v>
      </c>
      <c r="K94" s="2">
        <f>+IFERROR('Q10'!K94/'Q10'!K89*100-100,0)</f>
        <v>-1.8253677693330559</v>
      </c>
      <c r="L94" s="2">
        <f>+IFERROR('Q10'!L94/'Q10'!L89*100-100,0)</f>
        <v>1.484887490685054</v>
      </c>
      <c r="M94" s="2">
        <f>+IFERROR('Q10'!M94/'Q10'!M89*100-100,0)</f>
        <v>-12.940700658665776</v>
      </c>
      <c r="N94" s="2">
        <f>+IFERROR('Q10'!N94/'Q10'!N89*100-100,0)</f>
        <v>-6.5946306761519367</v>
      </c>
      <c r="O94" s="2">
        <f>+IFERROR('Q10'!O94/'Q10'!O89*100-100,0)</f>
        <v>17.869740630548492</v>
      </c>
      <c r="P94" s="2">
        <f>+IFERROR('Q10'!P94/'Q10'!P89*100-100,0)</f>
        <v>0.19417556036620454</v>
      </c>
      <c r="Q94" s="2">
        <f>+IFERROR('Q10'!Q94/'Q10'!Q89*100-100,0)</f>
        <v>-2.1802201808665274</v>
      </c>
      <c r="R94" s="2">
        <f>+IFERROR('Q10'!R94/'Q10'!R89*100-100,0)</f>
        <v>5.7326938107316892</v>
      </c>
      <c r="S94" s="2">
        <f>+IFERROR('Q10'!S94/'Q10'!S89*100-100,0)</f>
        <v>18.772060672869657</v>
      </c>
      <c r="T94" s="2">
        <f>+IFERROR('Q10'!T94/'Q10'!T89*100-100,0)</f>
        <v>293.13932598263318</v>
      </c>
      <c r="U94" s="2">
        <f>+IFERROR('Q10'!U94/'Q10'!U89*100-100,0)</f>
        <v>-3.251735272140067</v>
      </c>
    </row>
    <row r="95" spans="1:21" x14ac:dyDescent="0.25">
      <c r="A95" s="95"/>
      <c r="B95" s="100"/>
      <c r="C95" s="19" t="s">
        <v>30</v>
      </c>
      <c r="D95" s="2">
        <f>+IFERROR('Q10'!D95/'Q10'!D90*100-100,0)</f>
        <v>3.1807740842050976</v>
      </c>
      <c r="E95" s="2">
        <f>+IFERROR('Q10'!E95/'Q10'!E90*100-100,0)</f>
        <v>-13.404635464274207</v>
      </c>
      <c r="F95" s="2">
        <f>+IFERROR('Q10'!F95/'Q10'!F90*100-100,0)</f>
        <v>-5.7100780443605714</v>
      </c>
      <c r="G95" s="2">
        <f>+IFERROR('Q10'!G95/'Q10'!G90*100-100,0)</f>
        <v>-15.657757707076314</v>
      </c>
      <c r="H95" s="2">
        <f>+IFERROR('Q10'!H95/'Q10'!H90*100-100,0)</f>
        <v>2.4194997860719383</v>
      </c>
      <c r="I95" s="2">
        <f>+IFERROR('Q10'!I95/'Q10'!I90*100-100,0)</f>
        <v>6.3904701968714619</v>
      </c>
      <c r="J95" s="2">
        <f>+IFERROR('Q10'!J95/'Q10'!J90*100-100,0)</f>
        <v>-19.451964018109663</v>
      </c>
      <c r="K95" s="2">
        <f>+IFERROR('Q10'!K95/'Q10'!K90*100-100,0)</f>
        <v>-1.7764442395319264</v>
      </c>
      <c r="L95" s="2">
        <f>+IFERROR('Q10'!L95/'Q10'!L90*100-100,0)</f>
        <v>1.1689736006063072</v>
      </c>
      <c r="M95" s="2">
        <f>+IFERROR('Q10'!M95/'Q10'!M90*100-100,0)</f>
        <v>-33.323155040208718</v>
      </c>
      <c r="N95" s="2">
        <f>+IFERROR('Q10'!N95/'Q10'!N90*100-100,0)</f>
        <v>-9.5732792174296577</v>
      </c>
      <c r="O95" s="2">
        <f>+IFERROR('Q10'!O95/'Q10'!O90*100-100,0)</f>
        <v>25.890315104000351</v>
      </c>
      <c r="P95" s="2">
        <f>+IFERROR('Q10'!P95/'Q10'!P90*100-100,0)</f>
        <v>-2.7613610844070848</v>
      </c>
      <c r="Q95" s="2">
        <f>+IFERROR('Q10'!Q95/'Q10'!Q90*100-100,0)</f>
        <v>-4.7174092956084621</v>
      </c>
      <c r="R95" s="2">
        <f>+IFERROR('Q10'!R95/'Q10'!R90*100-100,0)</f>
        <v>5.3265465192656336</v>
      </c>
      <c r="S95" s="2">
        <f>+IFERROR('Q10'!S95/'Q10'!S90*100-100,0)</f>
        <v>52.815692928979445</v>
      </c>
      <c r="T95" s="2">
        <f>+IFERROR('Q10'!T95/'Q10'!T90*100-100,0)</f>
        <v>366.84572855215964</v>
      </c>
      <c r="U95" s="2">
        <f>+IFERROR('Q10'!U95/'Q10'!U90*100-100,0)</f>
        <v>-4.3145257428457029</v>
      </c>
    </row>
    <row r="96" spans="1:21" x14ac:dyDescent="0.25">
      <c r="A96" s="95"/>
      <c r="B96" s="101"/>
      <c r="C96" s="52" t="s">
        <v>31</v>
      </c>
      <c r="D96" s="20">
        <f>+IFERROR('Q10'!D96/'Q10'!D91*100-100,0)</f>
        <v>5.4772823188110351</v>
      </c>
      <c r="E96" s="20">
        <f>+IFERROR('Q10'!E96/'Q10'!E91*100-100,0)</f>
        <v>-6.0775893475700826</v>
      </c>
      <c r="F96" s="20">
        <f>+IFERROR('Q10'!F96/'Q10'!F91*100-100,0)</f>
        <v>-6.7299263045652538</v>
      </c>
      <c r="G96" s="20">
        <f>+IFERROR('Q10'!G96/'Q10'!G91*100-100,0)</f>
        <v>-11.008873060811283</v>
      </c>
      <c r="H96" s="20">
        <f>+IFERROR('Q10'!H96/'Q10'!H91*100-100,0)</f>
        <v>4.8306855588924122</v>
      </c>
      <c r="I96" s="20">
        <f>+IFERROR('Q10'!I96/'Q10'!I91*100-100,0)</f>
        <v>2.9149715761083854</v>
      </c>
      <c r="J96" s="20">
        <f>+IFERROR('Q10'!J96/'Q10'!J91*100-100,0)</f>
        <v>-25.774476987677076</v>
      </c>
      <c r="K96" s="20">
        <f>+IFERROR('Q10'!K96/'Q10'!K91*100-100,0)</f>
        <v>3.4774594041466145</v>
      </c>
      <c r="L96" s="20">
        <f>+IFERROR('Q10'!L96/'Q10'!L91*100-100,0)</f>
        <v>-5.405379988360437E-2</v>
      </c>
      <c r="M96" s="20">
        <f>+IFERROR('Q10'!M96/'Q10'!M91*100-100,0)</f>
        <v>-38.717550132017784</v>
      </c>
      <c r="N96" s="20">
        <f>+IFERROR('Q10'!N96/'Q10'!N91*100-100,0)</f>
        <v>-9.7812546742248543</v>
      </c>
      <c r="O96" s="20">
        <f>+IFERROR('Q10'!O96/'Q10'!O91*100-100,0)</f>
        <v>-4.9164667817668146</v>
      </c>
      <c r="P96" s="20">
        <f>+IFERROR('Q10'!P96/'Q10'!P91*100-100,0)</f>
        <v>-5.0614247889265442</v>
      </c>
      <c r="Q96" s="20">
        <f>+IFERROR('Q10'!Q96/'Q10'!Q91*100-100,0)</f>
        <v>-4.6907002750468934</v>
      </c>
      <c r="R96" s="20">
        <f>+IFERROR('Q10'!R96/'Q10'!R91*100-100,0)</f>
        <v>2.834930594242266</v>
      </c>
      <c r="S96" s="20">
        <f>+IFERROR('Q10'!S96/'Q10'!S91*100-100,0)</f>
        <v>54.910174166426231</v>
      </c>
      <c r="T96" s="20">
        <f>+IFERROR('Q10'!T96/'Q10'!T91*100-100,0)</f>
        <v>1249.2384376909106</v>
      </c>
      <c r="U96" s="20">
        <f>+IFERROR('Q10'!U96/'Q10'!U91*100-100,0)</f>
        <v>-5.2734912830002543</v>
      </c>
    </row>
    <row r="97" spans="1:21" x14ac:dyDescent="0.25">
      <c r="A97" s="95"/>
      <c r="B97" s="58"/>
      <c r="C97" s="16" t="s">
        <v>51</v>
      </c>
      <c r="D97" s="26">
        <f>+IFERROR('Q10'!D97/'Q10'!D92*100-100,0)</f>
        <v>3.526810951878744</v>
      </c>
      <c r="E97" s="26">
        <f>+IFERROR('Q10'!E97/'Q10'!E92*100-100,0)</f>
        <v>28.035847398871226</v>
      </c>
      <c r="F97" s="26">
        <f>+IFERROR('Q10'!F97/'Q10'!F92*100-100,0)</f>
        <v>-12.073207920422874</v>
      </c>
      <c r="G97" s="26">
        <f>+IFERROR('Q10'!G97/'Q10'!G92*100-100,0)</f>
        <v>2.6703647481946149</v>
      </c>
      <c r="H97" s="26">
        <f>+IFERROR('Q10'!H97/'Q10'!H92*100-100,0)</f>
        <v>5.5009168634227734</v>
      </c>
      <c r="I97" s="26">
        <f>+IFERROR('Q10'!I97/'Q10'!I92*100-100,0)</f>
        <v>1.2180234335990008</v>
      </c>
      <c r="J97" s="26">
        <f>+IFERROR('Q10'!J97/'Q10'!J92*100-100,0)</f>
        <v>-22.08534334769233</v>
      </c>
      <c r="K97" s="26">
        <f>+IFERROR('Q10'!K97/'Q10'!K92*100-100,0)</f>
        <v>9.32079637372658</v>
      </c>
      <c r="L97" s="26">
        <f>+IFERROR('Q10'!L97/'Q10'!L92*100-100,0)</f>
        <v>-10.412271898026873</v>
      </c>
      <c r="M97" s="26">
        <f>+IFERROR('Q10'!M97/'Q10'!M92*100-100,0)</f>
        <v>-10.483497244974799</v>
      </c>
      <c r="N97" s="26">
        <f>+IFERROR('Q10'!N97/'Q10'!N92*100-100,0)</f>
        <v>-2.3710537524763566</v>
      </c>
      <c r="O97" s="26">
        <f>+IFERROR('Q10'!O97/'Q10'!O92*100-100,0)</f>
        <v>-33.30593378290574</v>
      </c>
      <c r="P97" s="26">
        <f>+IFERROR('Q10'!P97/'Q10'!P92*100-100,0)</f>
        <v>-0.93788090078574271</v>
      </c>
      <c r="Q97" s="26">
        <f>+IFERROR('Q10'!Q97/'Q10'!Q92*100-100,0)</f>
        <v>0.34189064541311609</v>
      </c>
      <c r="R97" s="26">
        <f>+IFERROR('Q10'!R97/'Q10'!R92*100-100,0)</f>
        <v>4.3897079920193249</v>
      </c>
      <c r="S97" s="26">
        <f>+IFERROR('Q10'!S97/'Q10'!S92*100-100,0)</f>
        <v>7.7025904412644906</v>
      </c>
      <c r="T97" s="26">
        <f>+IFERROR('Q10'!T97/'Q10'!T92*100-100,0)</f>
        <v>102.48568167336521</v>
      </c>
      <c r="U97" s="26">
        <f>+IFERROR('Q10'!U97/'Q10'!U92*100-100,0)</f>
        <v>-3.4332525124085578</v>
      </c>
    </row>
    <row r="98" spans="1:21" x14ac:dyDescent="0.25">
      <c r="A98" s="95"/>
      <c r="B98" s="99">
        <v>2021</v>
      </c>
      <c r="C98" s="61" t="s">
        <v>28</v>
      </c>
      <c r="D98" s="21">
        <f>+IFERROR('Q10'!D98/'Q10'!D93*100-100,0)</f>
        <v>0.16685788746173102</v>
      </c>
      <c r="E98" s="21">
        <f>+IFERROR('Q10'!E98/'Q10'!E93*100-100,0)</f>
        <v>4.6631377649128893</v>
      </c>
      <c r="F98" s="21">
        <f>+IFERROR('Q10'!F98/'Q10'!F93*100-100,0)</f>
        <v>-11.297863814896303</v>
      </c>
      <c r="G98" s="21">
        <f>+IFERROR('Q10'!G98/'Q10'!G93*100-100,0)</f>
        <v>-3.2484192473946649</v>
      </c>
      <c r="H98" s="21">
        <f>+IFERROR('Q10'!H98/'Q10'!H93*100-100,0)</f>
        <v>3.0357764944253063</v>
      </c>
      <c r="I98" s="21">
        <f>+IFERROR('Q10'!I98/'Q10'!I93*100-100,0)</f>
        <v>1.6562114216311272</v>
      </c>
      <c r="J98" s="21">
        <f>+IFERROR('Q10'!J98/'Q10'!J93*100-100,0)</f>
        <v>-27.722320956409689</v>
      </c>
      <c r="K98" s="21">
        <f>+IFERROR('Q10'!K98/'Q10'!K93*100-100,0)</f>
        <v>2.2597828905575739</v>
      </c>
      <c r="L98" s="21">
        <f>+IFERROR('Q10'!L98/'Q10'!L93*100-100,0)</f>
        <v>0.20395895112963558</v>
      </c>
      <c r="M98" s="21">
        <f>+IFERROR('Q10'!M98/'Q10'!M93*100-100,0)</f>
        <v>-39.642348599492152</v>
      </c>
      <c r="N98" s="21">
        <f>+IFERROR('Q10'!N98/'Q10'!N93*100-100,0)</f>
        <v>-8.0815979156184454</v>
      </c>
      <c r="O98" s="21">
        <f>+IFERROR('Q10'!O98/'Q10'!O93*100-100,0)</f>
        <v>-34.996546919275104</v>
      </c>
      <c r="P98" s="21">
        <f>+IFERROR('Q10'!P98/'Q10'!P93*100-100,0)</f>
        <v>-4.0996681302664939</v>
      </c>
      <c r="Q98" s="21">
        <f>+IFERROR('Q10'!Q98/'Q10'!Q93*100-100,0)</f>
        <v>-4.6551309868791577</v>
      </c>
      <c r="R98" s="21">
        <f>+IFERROR('Q10'!R98/'Q10'!R93*100-100,0)</f>
        <v>-3.5898445899723583</v>
      </c>
      <c r="S98" s="21">
        <f>+IFERROR('Q10'!S98/'Q10'!S93*100-100,0)</f>
        <v>31.222384550354718</v>
      </c>
      <c r="T98" s="21">
        <f>+IFERROR('Q10'!T98/'Q10'!T93*100-100,0)</f>
        <v>140.84632538691494</v>
      </c>
      <c r="U98" s="21">
        <f>+IFERROR('Q10'!U98/'Q10'!U93*100-100,0)</f>
        <v>-7.6171140381589026</v>
      </c>
    </row>
    <row r="99" spans="1:21" x14ac:dyDescent="0.25">
      <c r="A99" s="95"/>
      <c r="B99" s="100"/>
      <c r="C99" s="19" t="s">
        <v>29</v>
      </c>
      <c r="D99" s="2">
        <f>+IFERROR('Q10'!D99/'Q10'!D94*100-100,0)</f>
        <v>4.0355167284939597</v>
      </c>
      <c r="E99" s="2">
        <f>+IFERROR('Q10'!E99/'Q10'!E94*100-100,0)</f>
        <v>22.43749992160889</v>
      </c>
      <c r="F99" s="2">
        <f>+IFERROR('Q10'!F99/'Q10'!F94*100-100,0)</f>
        <v>-12.12251555611472</v>
      </c>
      <c r="G99" s="2">
        <f>+IFERROR('Q10'!G99/'Q10'!G94*100-100,0)</f>
        <v>-1.2018609590261349</v>
      </c>
      <c r="H99" s="2">
        <f>+IFERROR('Q10'!H99/'Q10'!H94*100-100,0)</f>
        <v>5.6079426203150291</v>
      </c>
      <c r="I99" s="2">
        <f>+IFERROR('Q10'!I99/'Q10'!I94*100-100,0)</f>
        <v>0.81951354455837588</v>
      </c>
      <c r="J99" s="2">
        <f>+IFERROR('Q10'!J99/'Q10'!J94*100-100,0)</f>
        <v>-28.13870658426967</v>
      </c>
      <c r="K99" s="2">
        <f>+IFERROR('Q10'!K99/'Q10'!K94*100-100,0)</f>
        <v>7.8096668445045481</v>
      </c>
      <c r="L99" s="2">
        <f>+IFERROR('Q10'!L99/'Q10'!L94*100-100,0)</f>
        <v>-4.3338437735050377</v>
      </c>
      <c r="M99" s="2">
        <f>+IFERROR('Q10'!M99/'Q10'!M94*100-100,0)</f>
        <v>-21.772475869481426</v>
      </c>
      <c r="N99" s="2">
        <f>+IFERROR('Q10'!N99/'Q10'!N94*100-100,0)</f>
        <v>-3.9104510318124568</v>
      </c>
      <c r="O99" s="2">
        <f>+IFERROR('Q10'!O99/'Q10'!O94*100-100,0)</f>
        <v>-41.234843259620469</v>
      </c>
      <c r="P99" s="2">
        <f>+IFERROR('Q10'!P99/'Q10'!P94*100-100,0)</f>
        <v>-1.9090438822157125</v>
      </c>
      <c r="Q99" s="2">
        <f>+IFERROR('Q10'!Q99/'Q10'!Q94*100-100,0)</f>
        <v>0.32768980196354391</v>
      </c>
      <c r="R99" s="2">
        <f>+IFERROR('Q10'!R99/'Q10'!R94*100-100,0)</f>
        <v>7.674020136603545</v>
      </c>
      <c r="S99" s="2">
        <f>+IFERROR('Q10'!S99/'Q10'!S94*100-100,0)</f>
        <v>16.133284276975132</v>
      </c>
      <c r="T99" s="2">
        <f>+IFERROR('Q10'!T99/'Q10'!T94*100-100,0)</f>
        <v>145.9659094823302</v>
      </c>
      <c r="U99" s="2">
        <f>+IFERROR('Q10'!U99/'Q10'!U94*100-100,0)</f>
        <v>-4.619123212149475</v>
      </c>
    </row>
    <row r="100" spans="1:21" x14ac:dyDescent="0.25">
      <c r="A100" s="95"/>
      <c r="B100" s="100"/>
      <c r="C100" s="19" t="s">
        <v>30</v>
      </c>
      <c r="D100" s="2">
        <f>+IFERROR('Q10'!D100/'Q10'!D95*100-100,0)</f>
        <v>4.691621306197689</v>
      </c>
      <c r="E100" s="2">
        <f>+IFERROR('Q10'!E100/'Q10'!E95*100-100,0)</f>
        <v>40.280197987936958</v>
      </c>
      <c r="F100" s="2">
        <f>+IFERROR('Q10'!F100/'Q10'!F95*100-100,0)</f>
        <v>-13.433683851542227</v>
      </c>
      <c r="G100" s="2">
        <f>+IFERROR('Q10'!G100/'Q10'!G95*100-100,0)</f>
        <v>5.6148928624082401</v>
      </c>
      <c r="H100" s="2">
        <f>+IFERROR('Q10'!H100/'Q10'!H95*100-100,0)</f>
        <v>7.2843146356798911</v>
      </c>
      <c r="I100" s="2">
        <f>+IFERROR('Q10'!I100/'Q10'!I95*100-100,0)</f>
        <v>0.61633779436117209</v>
      </c>
      <c r="J100" s="2">
        <f>+IFERROR('Q10'!J100/'Q10'!J95*100-100,0)</f>
        <v>-22.66999685804447</v>
      </c>
      <c r="K100" s="2">
        <f>+IFERROR('Q10'!K100/'Q10'!K95*100-100,0)</f>
        <v>13.1329834500076</v>
      </c>
      <c r="L100" s="2">
        <f>+IFERROR('Q10'!L100/'Q10'!L95*100-100,0)</f>
        <v>-15.207411905444218</v>
      </c>
      <c r="M100" s="2">
        <f>+IFERROR('Q10'!M100/'Q10'!M95*100-100,0)</f>
        <v>12.180786665724412</v>
      </c>
      <c r="N100" s="2">
        <f>+IFERROR('Q10'!N100/'Q10'!N95*100-100,0)</f>
        <v>1.6456519806779397</v>
      </c>
      <c r="O100" s="2">
        <f>+IFERROR('Q10'!O100/'Q10'!O95*100-100,0)</f>
        <v>-37.429699746733448</v>
      </c>
      <c r="P100" s="2">
        <f>+IFERROR('Q10'!P100/'Q10'!P95*100-100,0)</f>
        <v>2.060286632699615E-2</v>
      </c>
      <c r="Q100" s="2">
        <f>+IFERROR('Q10'!Q100/'Q10'!Q95*100-100,0)</f>
        <v>3.0014568298710032</v>
      </c>
      <c r="R100" s="2">
        <f>+IFERROR('Q10'!R100/'Q10'!R95*100-100,0)</f>
        <v>5.8617506736371467</v>
      </c>
      <c r="S100" s="2">
        <f>+IFERROR('Q10'!S100/'Q10'!S95*100-100,0)</f>
        <v>-1.7041276846573794</v>
      </c>
      <c r="T100" s="2">
        <f>+IFERROR('Q10'!T100/'Q10'!T95*100-100,0)</f>
        <v>101.94557975339785</v>
      </c>
      <c r="U100" s="2">
        <f>+IFERROR('Q10'!U100/'Q10'!U95*100-100,0)</f>
        <v>-2.3200102315572053</v>
      </c>
    </row>
    <row r="101" spans="1:21" x14ac:dyDescent="0.25">
      <c r="A101" s="95"/>
      <c r="B101" s="101"/>
      <c r="C101" s="52" t="s">
        <v>31</v>
      </c>
      <c r="D101" s="20">
        <f>+IFERROR('Q10'!D101/'Q10'!D96*100-100,0)</f>
        <v>5.1399999999999864</v>
      </c>
      <c r="E101" s="20">
        <f>+IFERROR('Q10'!E101/'Q10'!E96*100-100,0)</f>
        <v>46.419999999999959</v>
      </c>
      <c r="F101" s="20">
        <f>+IFERROR('Q10'!F101/'Q10'!F96*100-100,0)</f>
        <v>-11.450626634609534</v>
      </c>
      <c r="G101" s="20">
        <f>+IFERROR('Q10'!G101/'Q10'!G96*100-100,0)</f>
        <v>10.430000000000035</v>
      </c>
      <c r="H101" s="20">
        <f>+IFERROR('Q10'!H101/'Q10'!H96*100-100,0)</f>
        <v>6.0524779562210824</v>
      </c>
      <c r="I101" s="20">
        <f>+IFERROR('Q10'!I101/'Q10'!I96*100-100,0)</f>
        <v>1.7899999999999778</v>
      </c>
      <c r="J101" s="20">
        <f>+IFERROR('Q10'!J101/'Q10'!J96*100-100,0)</f>
        <v>-6.6899999999999835</v>
      </c>
      <c r="K101" s="20">
        <f>+IFERROR('Q10'!K101/'Q10'!K96*100-100,0)</f>
        <v>13.989999999999995</v>
      </c>
      <c r="L101" s="20">
        <f>+IFERROR('Q10'!L101/'Q10'!L96*100-100,0)</f>
        <v>-22.310000000000002</v>
      </c>
      <c r="M101" s="20">
        <f>+IFERROR('Q10'!M101/'Q10'!M96*100-100,0)</f>
        <v>28.889999999999958</v>
      </c>
      <c r="N101" s="20">
        <f>+IFERROR('Q10'!N101/'Q10'!N96*100-100,0)</f>
        <v>1.3500000000000227</v>
      </c>
      <c r="O101" s="20">
        <f>+IFERROR('Q10'!O101/'Q10'!O96*100-100,0)</f>
        <v>-15.959999999999994</v>
      </c>
      <c r="P101" s="20">
        <f>+IFERROR('Q10'!P101/'Q10'!P96*100-100,0)</f>
        <v>2.4200000000000159</v>
      </c>
      <c r="Q101" s="20">
        <f>+IFERROR('Q10'!Q101/'Q10'!Q96*100-100,0)</f>
        <v>2.9999999999999574</v>
      </c>
      <c r="R101" s="20">
        <f>+IFERROR('Q10'!R101/'Q10'!R96*100-100,0)</f>
        <v>7.8582036497898855</v>
      </c>
      <c r="S101" s="20">
        <f>+IFERROR('Q10'!S101/'Q10'!S96*100-100,0)</f>
        <v>-8.0213089803138047</v>
      </c>
      <c r="T101" s="20">
        <f>+IFERROR('Q10'!T101/'Q10'!T96*100-100,0)</f>
        <v>64.514846175774011</v>
      </c>
      <c r="U101" s="20">
        <f>+IFERROR('Q10'!U101/'Q10'!U96*100-100,0)</f>
        <v>1.0905836994481177</v>
      </c>
    </row>
    <row r="102" spans="1:21" x14ac:dyDescent="0.25">
      <c r="A102" s="95"/>
      <c r="B102" s="58"/>
      <c r="C102" s="16" t="s">
        <v>51</v>
      </c>
      <c r="D102" s="26">
        <f>+IFERROR('Q10'!D102/'Q10'!D97*100-100,0)</f>
        <v>8.2371223512055991</v>
      </c>
      <c r="E102" s="26">
        <f>+IFERROR('Q10'!E102/'Q10'!E97*100-100,0)</f>
        <v>15.707052374460034</v>
      </c>
      <c r="F102" s="26">
        <f>+IFERROR('Q10'!F102/'Q10'!F97*100-100,0)</f>
        <v>1.1142309019858345</v>
      </c>
      <c r="G102" s="26">
        <f>+IFERROR('Q10'!G102/'Q10'!G97*100-100,0)</f>
        <v>3.9752593234798184</v>
      </c>
      <c r="H102" s="26">
        <f>+IFERROR('Q10'!H102/'Q10'!H97*100-100,0)</f>
        <v>5.9579345922079483</v>
      </c>
      <c r="I102" s="26">
        <f>+IFERROR('Q10'!I102/'Q10'!I97*100-100,0)</f>
        <v>3.2093079593771705</v>
      </c>
      <c r="J102" s="26">
        <f>+IFERROR('Q10'!J102/'Q10'!J97*100-100,0)</f>
        <v>6.3555951690609049</v>
      </c>
      <c r="K102" s="26">
        <f>+IFERROR('Q10'!K102/'Q10'!K97*100-100,0)</f>
        <v>11.260326847839977</v>
      </c>
      <c r="L102" s="26">
        <f>+IFERROR('Q10'!L102/'Q10'!L97*100-100,0)</f>
        <v>-10.976025568308572</v>
      </c>
      <c r="M102" s="26">
        <f>+IFERROR('Q10'!M102/'Q10'!M97*100-100,0)</f>
        <v>36.957652905381082</v>
      </c>
      <c r="N102" s="26">
        <f>+IFERROR('Q10'!N102/'Q10'!N97*100-100,0)</f>
        <v>-2.3221603083305382</v>
      </c>
      <c r="O102" s="26">
        <f>+IFERROR('Q10'!O102/'Q10'!O97*100-100,0)</f>
        <v>4.9618684194338698</v>
      </c>
      <c r="P102" s="26">
        <f>+IFERROR('Q10'!P102/'Q10'!P97*100-100,0)</f>
        <v>4.4160833385383995</v>
      </c>
      <c r="Q102" s="26">
        <f>+IFERROR('Q10'!Q102/'Q10'!Q97*100-100,0)</f>
        <v>2.9912870634086772</v>
      </c>
      <c r="R102" s="26">
        <f>+IFERROR('Q10'!R102/'Q10'!R97*100-100,0)</f>
        <v>4.1283225441509614</v>
      </c>
      <c r="S102" s="26">
        <f>+IFERROR('Q10'!S102/'Q10'!S97*100-100,0)</f>
        <v>-11.055705819213728</v>
      </c>
      <c r="T102" s="26">
        <f>+IFERROR('Q10'!T102/'Q10'!T97*100-100,0)</f>
        <v>51.680779987143637</v>
      </c>
      <c r="U102" s="26">
        <f>+IFERROR('Q10'!U102/'Q10'!U97*100-100,0)</f>
        <v>5.1510349332507985</v>
      </c>
    </row>
    <row r="103" spans="1:21" x14ac:dyDescent="0.25">
      <c r="A103" s="95"/>
      <c r="B103" s="99">
        <v>2022</v>
      </c>
      <c r="C103" s="61" t="s">
        <v>28</v>
      </c>
      <c r="D103" s="21">
        <f>+IFERROR('Q10'!D103/'Q10'!D98*100-100,0)</f>
        <v>7.5652429873498903</v>
      </c>
      <c r="E103" s="21">
        <f>+IFERROR('Q10'!E103/'Q10'!E98*100-100,0)</f>
        <v>33.745705608396207</v>
      </c>
      <c r="F103" s="21">
        <f>+IFERROR('Q10'!F103/'Q10'!F98*100-100,0)</f>
        <v>-4.9774232496328921</v>
      </c>
      <c r="G103" s="21">
        <f>+IFERROR('Q10'!G103/'Q10'!G98*100-100,0)</f>
        <v>-5.2369341508585165</v>
      </c>
      <c r="H103" s="21">
        <f>+IFERROR('Q10'!H103/'Q10'!H98*100-100,0)</f>
        <v>8.3751823842355577</v>
      </c>
      <c r="I103" s="21">
        <f>+IFERROR('Q10'!I103/'Q10'!I98*100-100,0)</f>
        <v>2.2348888999813425</v>
      </c>
      <c r="J103" s="21">
        <f>+IFERROR('Q10'!J103/'Q10'!J98*100-100,0)</f>
        <v>2.1803889069360167</v>
      </c>
      <c r="K103" s="21">
        <f>+IFERROR('Q10'!K103/'Q10'!K98*100-100,0)</f>
        <v>16.532552229907708</v>
      </c>
      <c r="L103" s="21">
        <f>+IFERROR('Q10'!L103/'Q10'!L98*100-100,0)</f>
        <v>-21.319313037689824</v>
      </c>
      <c r="M103" s="21">
        <f>+IFERROR('Q10'!M103/'Q10'!M98*100-100,0)</f>
        <v>42.944864238153457</v>
      </c>
      <c r="N103" s="21">
        <f>+IFERROR('Q10'!N103/'Q10'!N98*100-100,0)</f>
        <v>1.2266934106565799</v>
      </c>
      <c r="O103" s="21">
        <f>+IFERROR('Q10'!O103/'Q10'!O98*100-100,0)</f>
        <v>8.7537033015423447</v>
      </c>
      <c r="P103" s="21">
        <f>+IFERROR('Q10'!P103/'Q10'!P98*100-100,0)</f>
        <v>3.0277547886461633</v>
      </c>
      <c r="Q103" s="21">
        <f>+IFERROR('Q10'!Q103/'Q10'!Q98*100-100,0)</f>
        <v>2.9915774329246005</v>
      </c>
      <c r="R103" s="21">
        <f>+IFERROR('Q10'!R103/'Q10'!R98*100-100,0)</f>
        <v>7.2455215669994288</v>
      </c>
      <c r="S103" s="21">
        <f>+IFERROR('Q10'!S103/'Q10'!S98*100-100,0)</f>
        <v>-10.517486057503973</v>
      </c>
      <c r="T103" s="21">
        <f>+IFERROR('Q10'!T103/'Q10'!T98*100-100,0)</f>
        <v>79.636446016910014</v>
      </c>
      <c r="U103" s="21">
        <f>+IFERROR('Q10'!U103/'Q10'!U98*100-100,0)</f>
        <v>4.2591994908285358</v>
      </c>
    </row>
    <row r="104" spans="1:21" x14ac:dyDescent="0.25">
      <c r="A104" s="95"/>
      <c r="B104" s="100"/>
      <c r="C104" s="19" t="s">
        <v>29</v>
      </c>
      <c r="D104" s="2">
        <f>+IFERROR('Q10'!D104/'Q10'!D99*100-100,0)</f>
        <v>13.629105112925302</v>
      </c>
      <c r="E104" s="2">
        <f>+IFERROR('Q10'!E104/'Q10'!E99*100-100,0)</f>
        <v>21.441172697743767</v>
      </c>
      <c r="F104" s="2">
        <f>+IFERROR('Q10'!F104/'Q10'!F99*100-100,0)</f>
        <v>-5.0320427895229614E-2</v>
      </c>
      <c r="G104" s="2">
        <f>+IFERROR('Q10'!G104/'Q10'!G99*100-100,0)</f>
        <v>6.1083370557796712</v>
      </c>
      <c r="H104" s="2">
        <f>+IFERROR('Q10'!H104/'Q10'!H99*100-100,0)</f>
        <v>8.130122956364616</v>
      </c>
      <c r="I104" s="2">
        <f>+IFERROR('Q10'!I104/'Q10'!I99*100-100,0)</f>
        <v>2.3983108358220306</v>
      </c>
      <c r="J104" s="2">
        <f>+IFERROR('Q10'!J104/'Q10'!J99*100-100,0)</f>
        <v>8.4608344589646123</v>
      </c>
      <c r="K104" s="2">
        <f>+IFERROR('Q10'!K104/'Q10'!K99*100-100,0)</f>
        <v>19.167729412729088</v>
      </c>
      <c r="L104" s="2">
        <f>+IFERROR('Q10'!L104/'Q10'!L99*100-100,0)</f>
        <v>-17.500687414198268</v>
      </c>
      <c r="M104" s="2">
        <f>+IFERROR('Q10'!M104/'Q10'!M99*100-100,0)</f>
        <v>40.355837384108554</v>
      </c>
      <c r="N104" s="2">
        <f>+IFERROR('Q10'!N104/'Q10'!N99*100-100,0)</f>
        <v>-1.585563282157608</v>
      </c>
      <c r="O104" s="2">
        <f>+IFERROR('Q10'!O104/'Q10'!O99*100-100,0)</f>
        <v>15.283314710046824</v>
      </c>
      <c r="P104" s="2">
        <f>+IFERROR('Q10'!P104/'Q10'!P99*100-100,0)</f>
        <v>2.696850396887001</v>
      </c>
      <c r="Q104" s="2">
        <f>+IFERROR('Q10'!Q104/'Q10'!Q99*100-100,0)</f>
        <v>2.9865024209343431</v>
      </c>
      <c r="R104" s="2">
        <f>+IFERROR('Q10'!R104/'Q10'!R99*100-100,0)</f>
        <v>0.86727713239282878</v>
      </c>
      <c r="S104" s="2">
        <f>+IFERROR('Q10'!S104/'Q10'!S99*100-100,0)</f>
        <v>-15.604935310844198</v>
      </c>
      <c r="T104" s="2">
        <f>+IFERROR('Q10'!T104/'Q10'!T99*100-100,0)</f>
        <v>56.838927362569336</v>
      </c>
      <c r="U104" s="2">
        <f>+IFERROR('Q10'!U104/'Q10'!U99*100-100,0)</f>
        <v>7.0223194746284321</v>
      </c>
    </row>
    <row r="105" spans="1:21" x14ac:dyDescent="0.25">
      <c r="A105" s="95"/>
      <c r="B105" s="100"/>
      <c r="C105" s="19" t="s">
        <v>30</v>
      </c>
      <c r="D105" s="2">
        <f>+IFERROR('Q10'!D105/'Q10'!D100*100-100,0)</f>
        <v>8.1249098282701908</v>
      </c>
      <c r="E105" s="2">
        <f>+IFERROR('Q10'!E105/'Q10'!E100*100-100,0)</f>
        <v>8.2712133640442858</v>
      </c>
      <c r="F105" s="2">
        <f>+IFERROR('Q10'!F105/'Q10'!F100*100-100,0)</f>
        <v>4.9226669400618874</v>
      </c>
      <c r="G105" s="2">
        <f>+IFERROR('Q10'!G105/'Q10'!G100*100-100,0)</f>
        <v>9.7485871390743455</v>
      </c>
      <c r="H105" s="2">
        <f>+IFERROR('Q10'!H105/'Q10'!H100*100-100,0)</f>
        <v>4.5375529574497335</v>
      </c>
      <c r="I105" s="2">
        <f>+IFERROR('Q10'!I105/'Q10'!I100*100-100,0)</f>
        <v>3.1477696027179718</v>
      </c>
      <c r="J105" s="2">
        <f>+IFERROR('Q10'!J105/'Q10'!J100*100-100,0)</f>
        <v>9.6068322134693602</v>
      </c>
      <c r="K105" s="2">
        <f>+IFERROR('Q10'!K105/'Q10'!K100*100-100,0)</f>
        <v>9.6942999103063698</v>
      </c>
      <c r="L105" s="2">
        <f>+IFERROR('Q10'!L105/'Q10'!L100*100-100,0)</f>
        <v>-5.8629131438338788</v>
      </c>
      <c r="M105" s="2">
        <f>+IFERROR('Q10'!M105/'Q10'!M100*100-100,0)</f>
        <v>33.40036554543849</v>
      </c>
      <c r="N105" s="2">
        <f>+IFERROR('Q10'!N105/'Q10'!N100*100-100,0)</f>
        <v>-4.1265552574734414</v>
      </c>
      <c r="O105" s="2">
        <f>+IFERROR('Q10'!O105/'Q10'!O100*100-100,0)</f>
        <v>4.236259022649719</v>
      </c>
      <c r="P105" s="2">
        <f>+IFERROR('Q10'!P105/'Q10'!P100*100-100,0)</f>
        <v>4.5418306258981005</v>
      </c>
      <c r="Q105" s="2">
        <f>+IFERROR('Q10'!Q105/'Q10'!Q100*100-100,0)</f>
        <v>2.9869656905843271</v>
      </c>
      <c r="R105" s="2">
        <f>+IFERROR('Q10'!R105/'Q10'!R100*100-100,0)</f>
        <v>3.6820181263633316</v>
      </c>
      <c r="S105" s="2">
        <f>+IFERROR('Q10'!S105/'Q10'!S100*100-100,0)</f>
        <v>-14.137541326027488</v>
      </c>
      <c r="T105" s="2">
        <f>+IFERROR('Q10'!T105/'Q10'!T100*100-100,0)</f>
        <v>47.183347584689983</v>
      </c>
      <c r="U105" s="2">
        <f>+IFERROR('Q10'!U105/'Q10'!U100*100-100,0)</f>
        <v>5.800171551528905</v>
      </c>
    </row>
    <row r="106" spans="1:21" x14ac:dyDescent="0.25">
      <c r="A106" s="95"/>
      <c r="B106" s="101"/>
      <c r="C106" s="52" t="s">
        <v>31</v>
      </c>
      <c r="D106" s="20">
        <f>+IFERROR('Q10'!D106/'Q10'!D101*100-100,0)</f>
        <v>3.7999999999999972</v>
      </c>
      <c r="E106" s="20">
        <f>+IFERROR('Q10'!E106/'Q10'!E101*100-100,0)</f>
        <v>4.2000000000000028</v>
      </c>
      <c r="F106" s="20">
        <f>+IFERROR('Q10'!F106/'Q10'!F101*100-100,0)</f>
        <v>5.012030744576677</v>
      </c>
      <c r="G106" s="20">
        <f>+IFERROR('Q10'!G106/'Q10'!G101*100-100,0)</f>
        <v>5.4300000000000068</v>
      </c>
      <c r="H106" s="20">
        <f>+IFERROR('Q10'!H106/'Q10'!H101*100-100,0)</f>
        <v>2.9995063692090724</v>
      </c>
      <c r="I106" s="20">
        <f>+IFERROR('Q10'!I106/'Q10'!I101*100-100,0)</f>
        <v>5.0329184036042278</v>
      </c>
      <c r="J106" s="20">
        <f>+IFERROR('Q10'!J106/'Q10'!J101*100-100,0)</f>
        <v>5.5099999999999909</v>
      </c>
      <c r="K106" s="20">
        <f>+IFERROR('Q10'!K106/'Q10'!K101*100-100,0)</f>
        <v>1.0899999999999892</v>
      </c>
      <c r="L106" s="20">
        <f>+IFERROR('Q10'!L106/'Q10'!L101*100-100,0)</f>
        <v>4.819999999999979</v>
      </c>
      <c r="M106" s="20">
        <f>+IFERROR('Q10'!M106/'Q10'!M101*100-100,0)</f>
        <v>32.81</v>
      </c>
      <c r="N106" s="20">
        <f>+IFERROR('Q10'!N106/'Q10'!N101*100-100,0)</f>
        <v>-4.6999999999999744</v>
      </c>
      <c r="O106" s="20">
        <f>+IFERROR('Q10'!O106/'Q10'!O101*100-100,0)</f>
        <v>-7.1106958319732456</v>
      </c>
      <c r="P106" s="20">
        <f>+IFERROR('Q10'!P106/'Q10'!P101*100-100,0)</f>
        <v>7.3694496801061717</v>
      </c>
      <c r="Q106" s="20">
        <f>+IFERROR('Q10'!Q106/'Q10'!Q101*100-100,0)</f>
        <v>3.0000000000000426</v>
      </c>
      <c r="R106" s="20">
        <f>+IFERROR('Q10'!R106/'Q10'!R101*100-100,0)</f>
        <v>4.9178738304194667</v>
      </c>
      <c r="S106" s="20">
        <f>+IFERROR('Q10'!S106/'Q10'!S101*100-100,0)</f>
        <v>-3.5400443861420854</v>
      </c>
      <c r="T106" s="20">
        <f>+IFERROR('Q10'!T106/'Q10'!T101*100-100,0)</f>
        <v>34.666035171484964</v>
      </c>
      <c r="U106" s="20">
        <f>+IFERROR('Q10'!U106/'Q10'!U101*100-100,0)</f>
        <v>3.5574920667565095</v>
      </c>
    </row>
    <row r="107" spans="1:21" x14ac:dyDescent="0.25">
      <c r="A107" s="95"/>
      <c r="B107" s="58"/>
      <c r="C107" s="16" t="s">
        <v>51</v>
      </c>
      <c r="D107" s="26">
        <f>+IFERROR('Q10'!D107/'Q10'!D102*100-100,0)</f>
        <v>0.48987313890958717</v>
      </c>
      <c r="E107" s="26">
        <f>+IFERROR('Q10'!E107/'Q10'!E102*100-100,0)</f>
        <v>4.1235378802167588</v>
      </c>
      <c r="F107" s="26">
        <f>+IFERROR('Q10'!F107/'Q10'!F102*100-100,0)</f>
        <v>-1.229204894731339</v>
      </c>
      <c r="G107" s="26">
        <f>+IFERROR('Q10'!G107/'Q10'!G102*100-100,0)</f>
        <v>12.788867233116633</v>
      </c>
      <c r="H107" s="26">
        <f>+IFERROR('Q10'!H107/'Q10'!H102*100-100,0)</f>
        <v>2.8795093406010892</v>
      </c>
      <c r="I107" s="26">
        <f>+IFERROR('Q10'!I107/'Q10'!I102*100-100,0)</f>
        <v>6.4271930572463276</v>
      </c>
      <c r="J107" s="26">
        <f>+IFERROR('Q10'!J107/'Q10'!J102*100-100,0)</f>
        <v>5.3814859216402766</v>
      </c>
      <c r="K107" s="26">
        <f>+IFERROR('Q10'!K107/'Q10'!K102*100-100,0)</f>
        <v>-0.67648409628401396</v>
      </c>
      <c r="L107" s="26">
        <f>+IFERROR('Q10'!L107/'Q10'!L102*100-100,0)</f>
        <v>-2.3350633898473205</v>
      </c>
      <c r="M107" s="26">
        <f>+IFERROR('Q10'!M107/'Q10'!M102*100-100,0)</f>
        <v>18.712193480255166</v>
      </c>
      <c r="N107" s="26">
        <f>+IFERROR('Q10'!N107/'Q10'!N102*100-100,0)</f>
        <v>-0.86919065988668365</v>
      </c>
      <c r="O107" s="26">
        <f>+IFERROR('Q10'!O107/'Q10'!O102*100-100,0)</f>
        <v>-11.489819928309913</v>
      </c>
      <c r="P107" s="26">
        <f>+IFERROR('Q10'!P107/'Q10'!P102*100-100,0)</f>
        <v>6.24403526297219</v>
      </c>
      <c r="Q107" s="26">
        <f>+IFERROR('Q10'!Q107/'Q10'!Q102*100-100,0)</f>
        <v>2.94891996941287</v>
      </c>
      <c r="R107" s="26">
        <f>+IFERROR('Q10'!R107/'Q10'!R102*100-100,0)</f>
        <v>9.3595478110463262</v>
      </c>
      <c r="S107" s="26">
        <f>+IFERROR('Q10'!S107/'Q10'!S102*100-100,0)</f>
        <v>-1.0217010758526186</v>
      </c>
      <c r="T107" s="26">
        <f>+IFERROR('Q10'!T107/'Q10'!T102*100-100,0)</f>
        <v>-0.16768660134201241</v>
      </c>
      <c r="U107" s="26">
        <f>+IFERROR('Q10'!U107/'Q10'!U102*100-100,0)</f>
        <v>1.9707838366473283</v>
      </c>
    </row>
    <row r="108" spans="1:21" x14ac:dyDescent="0.25">
      <c r="A108" s="95"/>
      <c r="B108" s="99">
        <v>2023</v>
      </c>
      <c r="C108" s="61" t="s">
        <v>28</v>
      </c>
      <c r="D108" s="21">
        <f>+IFERROR('Q10'!D108/'Q10'!D103*100-100,0)</f>
        <v>4.0963517424546581</v>
      </c>
      <c r="E108" s="21">
        <f>+IFERROR('Q10'!E108/'Q10'!E103*100-100,0)</f>
        <v>4.0619748604635362</v>
      </c>
      <c r="F108" s="21">
        <f>+IFERROR('Q10'!F108/'Q10'!F103*100-100,0)</f>
        <v>1.599342628897432</v>
      </c>
      <c r="G108" s="21">
        <f>+IFERROR('Q10'!G108/'Q10'!G103*100-100,0)</f>
        <v>20.985445814941045</v>
      </c>
      <c r="H108" s="21">
        <f>+IFERROR('Q10'!H108/'Q10'!H103*100-100,0)</f>
        <v>0.94839967773521039</v>
      </c>
      <c r="I108" s="21">
        <f>+IFERROR('Q10'!I108/'Q10'!I103*100-100,0)</f>
        <v>6.496617524987073</v>
      </c>
      <c r="J108" s="21">
        <f>+IFERROR('Q10'!J108/'Q10'!J103*100-100,0)</f>
        <v>2.0817426200734985</v>
      </c>
      <c r="K108" s="21">
        <f>+IFERROR('Q10'!K108/'Q10'!K103*100-100,0)</f>
        <v>-0.2352667550713079</v>
      </c>
      <c r="L108" s="21">
        <f>+IFERROR('Q10'!L108/'Q10'!L103*100-100,0)</f>
        <v>2.4817365956276092</v>
      </c>
      <c r="M108" s="21">
        <f>+IFERROR('Q10'!M108/'Q10'!M103*100-100,0)</f>
        <v>30.127651087177668</v>
      </c>
      <c r="N108" s="21">
        <f>+IFERROR('Q10'!N108/'Q10'!N103*100-100,0)</f>
        <v>-2.0406888186283112</v>
      </c>
      <c r="O108" s="21">
        <f>+IFERROR('Q10'!O108/'Q10'!O103*100-100,0)</f>
        <v>-12.917266197125116</v>
      </c>
      <c r="P108" s="21">
        <f>+IFERROR('Q10'!P108/'Q10'!P103*100-100,0)</f>
        <v>7.0902615405169911</v>
      </c>
      <c r="Q108" s="21">
        <f>+IFERROR('Q10'!Q108/'Q10'!Q103*100-100,0)</f>
        <v>3.0294315544113317</v>
      </c>
      <c r="R108" s="21">
        <f>+IFERROR('Q10'!R108/'Q10'!R103*100-100,0)</f>
        <v>9.6539992371448875</v>
      </c>
      <c r="S108" s="21">
        <f>+IFERROR('Q10'!S108/'Q10'!S103*100-100,0)</f>
        <v>-1.3526162205051406</v>
      </c>
      <c r="T108" s="21">
        <f>+IFERROR('Q10'!T108/'Q10'!T103*100-100,0)</f>
        <v>23.660914229519221</v>
      </c>
      <c r="U108" s="21">
        <f>+IFERROR('Q10'!U108/'Q10'!U103*100-100,0)</f>
        <v>2.642998634075596</v>
      </c>
    </row>
    <row r="109" spans="1:21" x14ac:dyDescent="0.25">
      <c r="A109" s="95"/>
      <c r="B109" s="100"/>
      <c r="C109" s="19" t="s">
        <v>29</v>
      </c>
      <c r="D109" s="2">
        <f>+IFERROR('Q10'!D109/'Q10'!D104*100-100,0)</f>
        <v>-3.9979328579429705</v>
      </c>
      <c r="E109" s="2">
        <f>+IFERROR('Q10'!E109/'Q10'!E104*100-100,0)</f>
        <v>3.13450386624055</v>
      </c>
      <c r="F109" s="2">
        <f>+IFERROR('Q10'!F109/'Q10'!F104*100-100,0)</f>
        <v>-0.70805954079318667</v>
      </c>
      <c r="G109" s="2">
        <f>+IFERROR('Q10'!G109/'Q10'!G104*100-100,0)</f>
        <v>5.7552403006327211</v>
      </c>
      <c r="H109" s="2">
        <f>+IFERROR('Q10'!H109/'Q10'!H104*100-100,0)</f>
        <v>1.8511152253308865</v>
      </c>
      <c r="I109" s="2">
        <f>+IFERROR('Q10'!I109/'Q10'!I104*100-100,0)</f>
        <v>7.1001231787690529</v>
      </c>
      <c r="J109" s="2">
        <f>+IFERROR('Q10'!J109/'Q10'!J104*100-100,0)</f>
        <v>6.2297940232802063</v>
      </c>
      <c r="K109" s="2">
        <f>+IFERROR('Q10'!K109/'Q10'!K104*100-100,0)</f>
        <v>-3.998732683217014</v>
      </c>
      <c r="L109" s="2">
        <f>+IFERROR('Q10'!L109/'Q10'!L104*100-100,0)</f>
        <v>-3.7372427634418415</v>
      </c>
      <c r="M109" s="2">
        <f>+IFERROR('Q10'!M109/'Q10'!M104*100-100,0)</f>
        <v>26.390931075436285</v>
      </c>
      <c r="N109" s="2">
        <f>+IFERROR('Q10'!N109/'Q10'!N104*100-100,0)</f>
        <v>-1.2414342106094409</v>
      </c>
      <c r="O109" s="2">
        <f>+IFERROR('Q10'!O109/'Q10'!O104*100-100,0)</f>
        <v>-15.804333655971433</v>
      </c>
      <c r="P109" s="2">
        <f>+IFERROR('Q10'!P109/'Q10'!P104*100-100,0)</f>
        <v>7.855010297754859</v>
      </c>
      <c r="Q109" s="2">
        <f>+IFERROR('Q10'!Q109/'Q10'!Q104*100-100,0)</f>
        <v>3.0484192568444684</v>
      </c>
      <c r="R109" s="2">
        <f>+IFERROR('Q10'!R109/'Q10'!R104*100-100,0)</f>
        <v>13.062022670197337</v>
      </c>
      <c r="S109" s="2">
        <f>+IFERROR('Q10'!S109/'Q10'!S104*100-100,0)</f>
        <v>2.9990620307705456</v>
      </c>
      <c r="T109" s="2">
        <f>+IFERROR('Q10'!T109/'Q10'!T104*100-100,0)</f>
        <v>-6.6651700321077954</v>
      </c>
      <c r="U109" s="2">
        <f>+IFERROR('Q10'!U109/'Q10'!U104*100-100,0)</f>
        <v>1.3618647612209287</v>
      </c>
    </row>
    <row r="110" spans="1:21" x14ac:dyDescent="0.25">
      <c r="A110" s="95"/>
      <c r="B110" s="100"/>
      <c r="C110" s="19" t="s">
        <v>30</v>
      </c>
      <c r="D110" s="2">
        <f>+IFERROR('Q10'!D110/'Q10'!D105*100-100,0)</f>
        <v>-0.3926056415403707</v>
      </c>
      <c r="E110" s="2">
        <f>+IFERROR('Q10'!E110/'Q10'!E105*100-100,0)</f>
        <v>6.5269789671377225</v>
      </c>
      <c r="F110" s="2">
        <f>+IFERROR('Q10'!F110/'Q10'!F105*100-100,0)</f>
        <v>-3.2859224597715979</v>
      </c>
      <c r="G110" s="2">
        <f>+IFERROR('Q10'!G110/'Q10'!G105*100-100,0)</f>
        <v>12.918929450937583</v>
      </c>
      <c r="H110" s="2">
        <f>+IFERROR('Q10'!H110/'Q10'!H105*100-100,0)</f>
        <v>3.280084032114587</v>
      </c>
      <c r="I110" s="2">
        <f>+IFERROR('Q10'!I110/'Q10'!I105*100-100,0)</f>
        <v>6.8918098828401071</v>
      </c>
      <c r="J110" s="2">
        <f>+IFERROR('Q10'!J110/'Q10'!J105*100-100,0)</f>
        <v>15.000770628765451</v>
      </c>
      <c r="K110" s="2">
        <f>+IFERROR('Q10'!K110/'Q10'!K105*100-100,0)</f>
        <v>-0.7264143679035584</v>
      </c>
      <c r="L110" s="2">
        <f>+IFERROR('Q10'!L110/'Q10'!L105*100-100,0)</f>
        <v>-4.2672160936703136</v>
      </c>
      <c r="M110" s="2">
        <f>+IFERROR('Q10'!M110/'Q10'!M105*100-100,0)</f>
        <v>21.081356728022655</v>
      </c>
      <c r="N110" s="2">
        <f>+IFERROR('Q10'!N110/'Q10'!N105*100-100,0)</f>
        <v>-1.4991068272333052</v>
      </c>
      <c r="O110" s="2">
        <f>+IFERROR('Q10'!O110/'Q10'!O105*100-100,0)</f>
        <v>-12.41264382080017</v>
      </c>
      <c r="P110" s="2">
        <f>+IFERROR('Q10'!P110/'Q10'!P105*100-100,0)</f>
        <v>6.3087223875937468</v>
      </c>
      <c r="Q110" s="2">
        <f>+IFERROR('Q10'!Q110/'Q10'!Q105*100-100,0)</f>
        <v>2.8843901669892915</v>
      </c>
      <c r="R110" s="2">
        <f>+IFERROR('Q10'!R110/'Q10'!R105*100-100,0)</f>
        <v>10.554457803888866</v>
      </c>
      <c r="S110" s="2">
        <f>+IFERROR('Q10'!S110/'Q10'!S105*100-100,0)</f>
        <v>5.6139100034581162</v>
      </c>
      <c r="T110" s="2">
        <f>+IFERROR('Q10'!T110/'Q10'!T105*100-100,0)</f>
        <v>-13.183750063740021</v>
      </c>
      <c r="U110" s="2">
        <f>+IFERROR('Q10'!U110/'Q10'!U105*100-100,0)</f>
        <v>2.5788409481088763</v>
      </c>
    </row>
    <row r="111" spans="1:21" x14ac:dyDescent="0.25">
      <c r="A111" s="95"/>
      <c r="B111" s="101"/>
      <c r="C111" s="52" t="s">
        <v>31</v>
      </c>
      <c r="D111" s="20">
        <f>+IFERROR('Q10'!D111/'Q10'!D106*100-100,0)</f>
        <v>2.6520661158778722</v>
      </c>
      <c r="E111" s="20">
        <f>+IFERROR('Q10'!E111/'Q10'!E106*100-100,0)</f>
        <v>2.8157013853554247</v>
      </c>
      <c r="F111" s="20">
        <f>+IFERROR('Q10'!F111/'Q10'!F106*100-100,0)</f>
        <v>-2.4164025678173289</v>
      </c>
      <c r="G111" s="20">
        <f>+IFERROR('Q10'!G111/'Q10'!G106*100-100,0)</f>
        <v>12.240681691954606</v>
      </c>
      <c r="H111" s="20">
        <f>+IFERROR('Q10'!H111/'Q10'!H106*100-100,0)</f>
        <v>5.4308899446125452</v>
      </c>
      <c r="I111" s="20">
        <f>+IFERROR('Q10'!I111/'Q10'!I106*100-100,0)</f>
        <v>5.2571379444106299</v>
      </c>
      <c r="J111" s="20">
        <f>+IFERROR('Q10'!J111/'Q10'!J106*100-100,0)</f>
        <v>-1.508394885430036</v>
      </c>
      <c r="K111" s="20">
        <f>+IFERROR('Q10'!K111/'Q10'!K106*100-100,0)</f>
        <v>2.4211518088831099</v>
      </c>
      <c r="L111" s="20">
        <f>+IFERROR('Q10'!L111/'Q10'!L106*100-100,0)</f>
        <v>-3.7261395668284081</v>
      </c>
      <c r="M111" s="20">
        <f>+IFERROR('Q10'!M111/'Q10'!M106*100-100,0)</f>
        <v>0.78738351477379354</v>
      </c>
      <c r="N111" s="20">
        <f>+IFERROR('Q10'!N111/'Q10'!N106*100-100,0)</f>
        <v>1.3707090333074916</v>
      </c>
      <c r="O111" s="20">
        <f>+IFERROR('Q10'!O111/'Q10'!O106*100-100,0)</f>
        <v>-4.1797012539663854</v>
      </c>
      <c r="P111" s="20">
        <f>+IFERROR('Q10'!P111/'Q10'!P106*100-100,0)</f>
        <v>3.8478366799191974</v>
      </c>
      <c r="Q111" s="20">
        <f>+IFERROR('Q10'!Q111/'Q10'!Q106*100-100,0)</f>
        <v>2.8361928196332826</v>
      </c>
      <c r="R111" s="20">
        <f>+IFERROR('Q10'!R111/'Q10'!R106*100-100,0)</f>
        <v>4.4268977493751862</v>
      </c>
      <c r="S111" s="20">
        <f>+IFERROR('Q10'!S111/'Q10'!S106*100-100,0)</f>
        <v>-10.613348745881041</v>
      </c>
      <c r="T111" s="20">
        <f>+IFERROR('Q10'!T111/'Q10'!T106*100-100,0)</f>
        <v>-1.0963680666785081</v>
      </c>
      <c r="U111" s="20">
        <f>+IFERROR('Q10'!U111/'Q10'!U106*100-100,0)</f>
        <v>1.3201658708104134</v>
      </c>
    </row>
    <row r="112" spans="1:21" x14ac:dyDescent="0.25">
      <c r="A112" s="95"/>
      <c r="B112" s="58"/>
      <c r="C112" s="16" t="s">
        <v>51</v>
      </c>
      <c r="D112" s="26">
        <f>+IFERROR('Q10'!D112/'Q10'!D107*100-100,0)</f>
        <v>6.8993798846185683</v>
      </c>
      <c r="E112" s="26">
        <f>+IFERROR('Q10'!E112/'Q10'!E107*100-100,0)</f>
        <v>0.87549761225835709</v>
      </c>
      <c r="F112" s="26">
        <f>+IFERROR('Q10'!F112/'Q10'!F107*100-100,0)</f>
        <v>2.3610122058464071</v>
      </c>
      <c r="G112" s="26">
        <f>+IFERROR('Q10'!G112/'Q10'!G107*100-100,0)</f>
        <v>25.730665285713485</v>
      </c>
      <c r="H112" s="26">
        <f>+IFERROR('Q10'!H112/'Q10'!H107*100-100,0)</f>
        <v>4.8750845479636666</v>
      </c>
      <c r="I112" s="26">
        <f>+IFERROR('Q10'!I112/'Q10'!I107*100-100,0)</f>
        <v>4.3843156659977325</v>
      </c>
      <c r="J112" s="26">
        <f>+IFERROR('Q10'!J112/'Q10'!J107*100-100,0)</f>
        <v>-2.7463272063954065</v>
      </c>
      <c r="K112" s="26">
        <f>+IFERROR('Q10'!K112/'Q10'!K107*100-100,0)</f>
        <v>2.9806493634286397</v>
      </c>
      <c r="L112" s="26">
        <f>+IFERROR('Q10'!L112/'Q10'!L107*100-100,0)</f>
        <v>5.6075295906292837</v>
      </c>
      <c r="M112" s="26">
        <f>+IFERROR('Q10'!M112/'Q10'!M107*100-100,0)</f>
        <v>7.3244227541008513</v>
      </c>
      <c r="N112" s="26">
        <f>+IFERROR('Q10'!N112/'Q10'!N107*100-100,0)</f>
        <v>3.5318788094902231</v>
      </c>
      <c r="O112" s="26">
        <f>+IFERROR('Q10'!O112/'Q10'!O107*100-100,0)</f>
        <v>3.0706465951749919</v>
      </c>
      <c r="P112" s="26">
        <f>+IFERROR('Q10'!P112/'Q10'!P107*100-100,0)</f>
        <v>3.8318714383955239</v>
      </c>
      <c r="Q112" s="26">
        <f>+IFERROR('Q10'!Q112/'Q10'!Q107*100-100,0)</f>
        <v>2.5436487369409519</v>
      </c>
      <c r="R112" s="26">
        <f>+IFERROR('Q10'!R112/'Q10'!R107*100-100,0)</f>
        <v>2.5923600830309681</v>
      </c>
      <c r="S112" s="26">
        <f>+IFERROR('Q10'!S112/'Q10'!S107*100-100,0)</f>
        <v>-7.5481639226106125</v>
      </c>
      <c r="T112" s="26">
        <f>+IFERROR('Q10'!T112/'Q10'!T107*100-100,0)</f>
        <v>11.941627428325717</v>
      </c>
      <c r="U112" s="26">
        <f>+IFERROR('Q10'!U112/'Q10'!U107*100-100,0)</f>
        <v>3.1710359421363847</v>
      </c>
    </row>
    <row r="113" spans="1:21" x14ac:dyDescent="0.25">
      <c r="A113" s="95"/>
      <c r="B113" s="99">
        <v>2024</v>
      </c>
      <c r="C113" s="61" t="s">
        <v>28</v>
      </c>
      <c r="D113" s="21">
        <f>+IFERROR('Q10'!D113/'Q10'!D108*100-100,0)</f>
        <v>5.4620501787747031</v>
      </c>
      <c r="E113" s="21">
        <f>+IFERROR('Q10'!E113/'Q10'!E108*100-100,0)</f>
        <v>-0.28389001074337727</v>
      </c>
      <c r="F113" s="21">
        <f>+IFERROR('Q10'!F113/'Q10'!F108*100-100,0)</f>
        <v>0.57081031674275096</v>
      </c>
      <c r="G113" s="21">
        <f>+IFERROR('Q10'!G113/'Q10'!G108*100-100,0)</f>
        <v>6.9150348690717465</v>
      </c>
      <c r="H113" s="21">
        <f>+IFERROR('Q10'!H113/'Q10'!H108*100-100,0)</f>
        <v>5.4330176556560019</v>
      </c>
      <c r="I113" s="21">
        <f>+IFERROR('Q10'!I113/'Q10'!I108*100-100,0)</f>
        <v>4.4445462221692793</v>
      </c>
      <c r="J113" s="21">
        <f>+IFERROR('Q10'!J113/'Q10'!J108*100-100,0)</f>
        <v>0.23124236949291799</v>
      </c>
      <c r="K113" s="21">
        <f>+IFERROR('Q10'!K113/'Q10'!K108*100-100,0)</f>
        <v>3.1703907347188078</v>
      </c>
      <c r="L113" s="21">
        <f>+IFERROR('Q10'!L113/'Q10'!L108*100-100,0)</f>
        <v>-1.6369151475638404</v>
      </c>
      <c r="M113" s="21">
        <f>+IFERROR('Q10'!M113/'Q10'!M108*100-100,0)</f>
        <v>2.6935744653292062</v>
      </c>
      <c r="N113" s="21">
        <f>+IFERROR('Q10'!N113/'Q10'!N108*100-100,0)</f>
        <v>-3.4528065902859737</v>
      </c>
      <c r="O113" s="21">
        <f>+IFERROR('Q10'!O113/'Q10'!O108*100-100,0)</f>
        <v>0.18950976656842045</v>
      </c>
      <c r="P113" s="21">
        <f>+IFERROR('Q10'!P113/'Q10'!P108*100-100,0)</f>
        <v>3.7556289790738617</v>
      </c>
      <c r="Q113" s="21">
        <f>+IFERROR('Q10'!Q113/'Q10'!Q108*100-100,0)</f>
        <v>2.7129483995004193</v>
      </c>
      <c r="R113" s="21">
        <f>+IFERROR('Q10'!R113/'Q10'!R108*100-100,0)</f>
        <v>1.1273330921945899</v>
      </c>
      <c r="S113" s="21">
        <f>+IFERROR('Q10'!S113/'Q10'!S108*100-100,0)</f>
        <v>-8.034468239101443</v>
      </c>
      <c r="T113" s="21">
        <f>+IFERROR('Q10'!T113/'Q10'!T108*100-100,0)</f>
        <v>2.6703486963805148</v>
      </c>
      <c r="U113" s="21">
        <f>+IFERROR('Q10'!U113/'Q10'!U108*100-100,0)</f>
        <v>2.4673689443247753</v>
      </c>
    </row>
    <row r="114" spans="1:21" x14ac:dyDescent="0.25">
      <c r="A114" s="95"/>
      <c r="B114" s="100"/>
      <c r="C114" s="19" t="s">
        <v>29</v>
      </c>
      <c r="D114" s="2">
        <f>+IFERROR('Q10'!D114/'Q10'!D109*100-100,0)</f>
        <v>7.9338418663007531</v>
      </c>
      <c r="E114" s="2">
        <f>+IFERROR('Q10'!E114/'Q10'!E109*100-100,0)</f>
        <v>-0.26550877353989222</v>
      </c>
      <c r="F114" s="2">
        <f>+IFERROR('Q10'!F114/'Q10'!F109*100-100,0)</f>
        <v>1.8659844936696146</v>
      </c>
      <c r="G114" s="2">
        <f>+IFERROR('Q10'!G114/'Q10'!G109*100-100,0)</f>
        <v>24.71550828359112</v>
      </c>
      <c r="H114" s="2">
        <f>+IFERROR('Q10'!H114/'Q10'!H109*100-100,0)</f>
        <v>4.8919080621098345</v>
      </c>
      <c r="I114" s="2">
        <f>+IFERROR('Q10'!I114/'Q10'!I109*100-100,0)</f>
        <v>4.9867600269754746</v>
      </c>
      <c r="J114" s="2">
        <f>+IFERROR('Q10'!J114/'Q10'!J109*100-100,0)</f>
        <v>-3.8010456386979001</v>
      </c>
      <c r="K114" s="2">
        <f>+IFERROR('Q10'!K114/'Q10'!K109*100-100,0)</f>
        <v>3.960954548813163</v>
      </c>
      <c r="L114" s="2">
        <f>+IFERROR('Q10'!L114/'Q10'!L109*100-100,0)</f>
        <v>8.1707856290813794</v>
      </c>
      <c r="M114" s="2">
        <f>+IFERROR('Q10'!M114/'Q10'!M109*100-100,0)</f>
        <v>4.0999095304580635</v>
      </c>
      <c r="N114" s="2">
        <f>+IFERROR('Q10'!N114/'Q10'!N109*100-100,0)</f>
        <v>0.26494222388508604</v>
      </c>
      <c r="O114" s="2">
        <f>+IFERROR('Q10'!O114/'Q10'!O109*100-100,0)</f>
        <v>3.9111630988509489</v>
      </c>
      <c r="P114" s="2">
        <f>+IFERROR('Q10'!P114/'Q10'!P109*100-100,0)</f>
        <v>3.5345451390703175</v>
      </c>
      <c r="Q114" s="2">
        <f>+IFERROR('Q10'!Q114/'Q10'!Q109*100-100,0)</f>
        <v>2.5951375136322099</v>
      </c>
      <c r="R114" s="2">
        <f>+IFERROR('Q10'!R114/'Q10'!R109*100-100,0)</f>
        <v>0.39283030101459815</v>
      </c>
      <c r="S114" s="2">
        <f>+IFERROR('Q10'!S114/'Q10'!S109*100-100,0)</f>
        <v>-7.3686952344003203</v>
      </c>
      <c r="T114" s="2">
        <f>+IFERROR('Q10'!T114/'Q10'!T109*100-100,0)</f>
        <v>33.143338395268472</v>
      </c>
      <c r="U114" s="2">
        <f>+IFERROR('Q10'!U114/'Q10'!U109*100-100,0)</f>
        <v>2.4348081589488118</v>
      </c>
    </row>
    <row r="115" spans="1:21" x14ac:dyDescent="0.25">
      <c r="A115" s="95"/>
      <c r="B115" s="100"/>
      <c r="C115" s="19" t="s">
        <v>30</v>
      </c>
      <c r="D115" s="2">
        <f>+IFERROR('Q10'!D115/'Q10'!D110*100-100,0)</f>
        <v>7.972013909845117</v>
      </c>
      <c r="E115" s="2">
        <f>+IFERROR('Q10'!E115/'Q10'!E110*100-100,0)</f>
        <v>0.7972499076824846</v>
      </c>
      <c r="F115" s="2">
        <f>+IFERROR('Q10'!F115/'Q10'!F110*100-100,0)</f>
        <v>3.6877073427594951</v>
      </c>
      <c r="G115" s="2">
        <f>+IFERROR('Q10'!G115/'Q10'!G110*100-100,0)</f>
        <v>25.975709972549083</v>
      </c>
      <c r="H115" s="2">
        <f>+IFERROR('Q10'!H115/'Q10'!H110*100-100,0)</f>
        <v>4.9749619892471202</v>
      </c>
      <c r="I115" s="2">
        <f>+IFERROR('Q10'!I115/'Q10'!I110*100-100,0)</f>
        <v>4.1062959005149935</v>
      </c>
      <c r="J115" s="2">
        <f>+IFERROR('Q10'!J115/'Q10'!J110*100-100,0)</f>
        <v>-8.9189286419143627</v>
      </c>
      <c r="K115" s="2">
        <f>+IFERROR('Q10'!K115/'Q10'!K110*100-100,0)</f>
        <v>3.3602579468770699</v>
      </c>
      <c r="L115" s="2">
        <f>+IFERROR('Q10'!L115/'Q10'!L110*100-100,0)</f>
        <v>7.9949800739419459</v>
      </c>
      <c r="M115" s="2">
        <f>+IFERROR('Q10'!M115/'Q10'!M110*100-100,0)</f>
        <v>6.3963498780362613</v>
      </c>
      <c r="N115" s="2">
        <f>+IFERROR('Q10'!N115/'Q10'!N110*100-100,0)</f>
        <v>5.3774813065955271</v>
      </c>
      <c r="O115" s="2">
        <f>+IFERROR('Q10'!O115/'Q10'!O110*100-100,0)</f>
        <v>6.1097496770327524</v>
      </c>
      <c r="P115" s="2">
        <f>+IFERROR('Q10'!P115/'Q10'!P110*100-100,0)</f>
        <v>3.6753088400129457</v>
      </c>
      <c r="Q115" s="2">
        <f>+IFERROR('Q10'!Q115/'Q10'!Q110*100-100,0)</f>
        <v>2.4726796953752057</v>
      </c>
      <c r="R115" s="2">
        <f>+IFERROR('Q10'!R115/'Q10'!R110*100-100,0)</f>
        <v>1.6364549542286397</v>
      </c>
      <c r="S115" s="2">
        <f>+IFERROR('Q10'!S115/'Q10'!S110*100-100,0)</f>
        <v>-9.8309511692099392</v>
      </c>
      <c r="T115" s="2">
        <f>+IFERROR('Q10'!T115/'Q10'!T110*100-100,0)</f>
        <v>25.806032958311718</v>
      </c>
      <c r="U115" s="2">
        <f>+IFERROR('Q10'!U115/'Q10'!U110*100-100,0)</f>
        <v>2.828633904445141</v>
      </c>
    </row>
    <row r="116" spans="1:21" x14ac:dyDescent="0.25">
      <c r="A116" s="95"/>
      <c r="B116" s="101"/>
      <c r="C116" s="52" t="s">
        <v>31</v>
      </c>
      <c r="D116" s="20">
        <f>+IFERROR('Q10'!D116/'Q10'!D111*100-100,0)</f>
        <v>6.2179539612604771</v>
      </c>
      <c r="E116" s="20">
        <f>+IFERROR('Q10'!E116/'Q10'!E111*100-100,0)</f>
        <v>3.2210838796049188</v>
      </c>
      <c r="F116" s="20">
        <f>+IFERROR('Q10'!F116/'Q10'!F111*100-100,0)</f>
        <v>3.3419817438081765</v>
      </c>
      <c r="G116" s="20">
        <f>+IFERROR('Q10'!G116/'Q10'!G111*100-100,0)</f>
        <v>44.093122752925836</v>
      </c>
      <c r="H116" s="20">
        <f>+IFERROR('Q10'!H116/'Q10'!H111*100-100,0)</f>
        <v>4.2293215292084341</v>
      </c>
      <c r="I116" s="20">
        <f>+IFERROR('Q10'!I116/'Q10'!I111*100-100,0)</f>
        <v>4.0101281444571413</v>
      </c>
      <c r="J116" s="20">
        <f>+IFERROR('Q10'!J116/'Q10'!J111*100-100,0)</f>
        <v>2.3137069681762341</v>
      </c>
      <c r="K116" s="20">
        <f>+IFERROR('Q10'!K116/'Q10'!K111*100-100,0)</f>
        <v>1.452949740929327</v>
      </c>
      <c r="L116" s="20">
        <f>+IFERROR('Q10'!L116/'Q10'!L111*100-100,0)</f>
        <v>8.2328053537854942</v>
      </c>
      <c r="M116" s="20">
        <f>+IFERROR('Q10'!M116/'Q10'!M111*100-100,0)</f>
        <v>16.620069953565931</v>
      </c>
      <c r="N116" s="20">
        <f>+IFERROR('Q10'!N116/'Q10'!N111*100-100,0)</f>
        <v>11.985751561835144</v>
      </c>
      <c r="O116" s="20">
        <f>+IFERROR('Q10'!O116/'Q10'!O111*100-100,0)</f>
        <v>2.2192816153387724</v>
      </c>
      <c r="P116" s="20">
        <f>+IFERROR('Q10'!P116/'Q10'!P111*100-100,0)</f>
        <v>4.3559689629760356</v>
      </c>
      <c r="Q116" s="20">
        <f>+IFERROR('Q10'!Q116/'Q10'!Q111*100-100,0)</f>
        <v>2.3973292296761741</v>
      </c>
      <c r="R116" s="20">
        <f>+IFERROR('Q10'!R116/'Q10'!R111*100-100,0)</f>
        <v>7.2633171067771229</v>
      </c>
      <c r="S116" s="20">
        <f>+IFERROR('Q10'!S116/'Q10'!S111*100-100,0)</f>
        <v>-4.7124895662421835</v>
      </c>
      <c r="T116" s="20">
        <f>+IFERROR('Q10'!T116/'Q10'!T111*100-100,0)</f>
        <v>-8.3725550255727228</v>
      </c>
      <c r="U116" s="20">
        <f>+IFERROR('Q10'!U116/'Q10'!U111*100-100,0)</f>
        <v>4.9526786042598303</v>
      </c>
    </row>
    <row r="117" spans="1:21" x14ac:dyDescent="0.25">
      <c r="A117" s="95"/>
      <c r="B117" s="58"/>
      <c r="C117" s="16" t="s">
        <v>51</v>
      </c>
      <c r="D117" s="26">
        <f>+IFERROR('Q10'!D117/'Q10'!D112*100-100,0)</f>
        <v>3.7301416694333795</v>
      </c>
      <c r="E117" s="26">
        <f>+IFERROR('Q10'!E117/'Q10'!E112*100-100,0)</f>
        <v>2.8472662351369564</v>
      </c>
      <c r="F117" s="26">
        <f>+IFERROR('Q10'!F117/'Q10'!F112*100-100,0)</f>
        <v>-2.8499805661850104</v>
      </c>
      <c r="G117" s="26">
        <f>+IFERROR('Q10'!G117/'Q10'!G112*100-100,0)</f>
        <v>30.953926534826508</v>
      </c>
      <c r="H117" s="26">
        <f>+IFERROR('Q10'!H117/'Q10'!H112*100-100,0)</f>
        <v>6.9416139182345376</v>
      </c>
      <c r="I117" s="26">
        <f>+IFERROR('Q10'!I117/'Q10'!I112*100-100,0)</f>
        <v>1.611898385228443</v>
      </c>
      <c r="J117" s="26">
        <f>+IFERROR('Q10'!J117/'Q10'!J112*100-100,0)</f>
        <v>2.6103203585937251</v>
      </c>
      <c r="K117" s="26">
        <f>+IFERROR('Q10'!K117/'Q10'!K112*100-100,0)</f>
        <v>0.8937399119731424</v>
      </c>
      <c r="L117" s="26">
        <f>+IFERROR('Q10'!L117/'Q10'!L112*100-100,0)</f>
        <v>5.8149301213341005</v>
      </c>
      <c r="M117" s="26">
        <f>+IFERROR('Q10'!M117/'Q10'!M112*100-100,0)</f>
        <v>8.0312354490550462</v>
      </c>
      <c r="N117" s="26">
        <f>+IFERROR('Q10'!N117/'Q10'!N112*100-100,0)</f>
        <v>42.087331683309884</v>
      </c>
      <c r="O117" s="26">
        <f>+IFERROR('Q10'!O117/'Q10'!O112*100-100,0)</f>
        <v>5.3201184811464373</v>
      </c>
      <c r="P117" s="26">
        <f>+IFERROR('Q10'!P117/'Q10'!P112*100-100,0)</f>
        <v>4.5216222140747533</v>
      </c>
      <c r="Q117" s="26">
        <f>+IFERROR('Q10'!Q117/'Q10'!Q112*100-100,0)</f>
        <v>2.7093228713818291</v>
      </c>
      <c r="R117" s="26">
        <f>+IFERROR('Q10'!R117/'Q10'!R112*100-100,0)</f>
        <v>4.9260793170736008</v>
      </c>
      <c r="S117" s="26">
        <f>+IFERROR('Q10'!S117/'Q10'!S112*100-100,0)</f>
        <v>-10.327900805131762</v>
      </c>
      <c r="T117" s="26">
        <f>+IFERROR('Q10'!T117/'Q10'!T112*100-100,0)</f>
        <v>-30.9054892644061</v>
      </c>
      <c r="U117" s="26">
        <f>+IFERROR('Q10'!U117/'Q10'!U112*100-100,0)</f>
        <v>3.5028399609986423</v>
      </c>
    </row>
    <row r="118" spans="1:21" x14ac:dyDescent="0.25">
      <c r="A118" s="95"/>
      <c r="B118" s="99">
        <v>2025</v>
      </c>
      <c r="C118" s="61" t="s">
        <v>28</v>
      </c>
      <c r="D118" s="21">
        <f>+IFERROR('Q10'!D118/'Q10'!D113*100-100,0)</f>
        <v>5.207505054376611</v>
      </c>
      <c r="E118" s="21">
        <f>+IFERROR('Q10'!E118/'Q10'!E113*100-100,0)</f>
        <v>6.0771570720455088</v>
      </c>
      <c r="F118" s="21">
        <f>+IFERROR('Q10'!F118/'Q10'!F113*100-100,0)</f>
        <v>0.84907782121361208</v>
      </c>
      <c r="G118" s="21">
        <f>+IFERROR('Q10'!G118/'Q10'!G113*100-100,0)</f>
        <v>55.618221629044626</v>
      </c>
      <c r="H118" s="21">
        <f>+IFERROR('Q10'!H118/'Q10'!H113*100-100,0)</f>
        <v>5.2195667613708139</v>
      </c>
      <c r="I118" s="21">
        <f>+IFERROR('Q10'!I118/'Q10'!I113*100-100,0)</f>
        <v>2.7406232212622115</v>
      </c>
      <c r="J118" s="21">
        <f>+IFERROR('Q10'!J118/'Q10'!J113*100-100,0)</f>
        <v>2.9723018945279449</v>
      </c>
      <c r="K118" s="21">
        <f>+IFERROR('Q10'!K118/'Q10'!K113*100-100,0)</f>
        <v>0.95942529566201529</v>
      </c>
      <c r="L118" s="21">
        <f>+IFERROR('Q10'!L118/'Q10'!L113*100-100,0)</f>
        <v>6.2060502799436108</v>
      </c>
      <c r="M118" s="21">
        <f>+IFERROR('Q10'!M118/'Q10'!M113*100-100,0)</f>
        <v>9.3837202762252048</v>
      </c>
      <c r="N118" s="21">
        <f>+IFERROR('Q10'!N118/'Q10'!N113*100-100,0)</f>
        <v>25.932800869672761</v>
      </c>
      <c r="O118" s="21">
        <f>+IFERROR('Q10'!O118/'Q10'!O113*100-100,0)</f>
        <v>3.3655287352250696</v>
      </c>
      <c r="P118" s="21">
        <f>+IFERROR('Q10'!P118/'Q10'!P113*100-100,0)</f>
        <v>5.8692884788794686</v>
      </c>
      <c r="Q118" s="21">
        <f>+IFERROR('Q10'!Q118/'Q10'!Q113*100-100,0)</f>
        <v>2.4249198563119307</v>
      </c>
      <c r="R118" s="21">
        <f>+IFERROR('Q10'!R118/'Q10'!R113*100-100,0)</f>
        <v>8.4478657772799579</v>
      </c>
      <c r="S118" s="21">
        <f>+IFERROR('Q10'!S118/'Q10'!S113*100-100,0)</f>
        <v>-6.2619708338094426</v>
      </c>
      <c r="T118" s="21">
        <f>+IFERROR('Q10'!T118/'Q10'!T113*100-100,0)</f>
        <v>-20.38374810313465</v>
      </c>
      <c r="U118" s="21">
        <f>+IFERROR('Q10'!U118/'Q10'!U113*100-100,0)</f>
        <v>4.8891375187719603</v>
      </c>
    </row>
    <row r="119" spans="1:21" x14ac:dyDescent="0.25">
      <c r="A119" s="95"/>
      <c r="B119" s="100"/>
      <c r="C119" s="19" t="s">
        <v>29</v>
      </c>
      <c r="D119" s="2">
        <f>+IFERROR('Q10'!D119/'Q10'!D114*100-100,0)</f>
        <v>3.0344003476866277</v>
      </c>
      <c r="E119" s="2">
        <f>+IFERROR('Q10'!E119/'Q10'!E114*100-100,0)</f>
        <v>5.2606101331555095</v>
      </c>
      <c r="F119" s="2">
        <f>+IFERROR('Q10'!F119/'Q10'!F114*100-100,0)</f>
        <v>-2.067959741862893</v>
      </c>
      <c r="G119" s="2">
        <f>+IFERROR('Q10'!G119/'Q10'!G114*100-100,0)</f>
        <v>41.161360028402925</v>
      </c>
      <c r="H119" s="2">
        <f>+IFERROR('Q10'!H119/'Q10'!H114*100-100,0)</f>
        <v>5.3230090065991931</v>
      </c>
      <c r="I119" s="2">
        <f>+IFERROR('Q10'!I119/'Q10'!I114*100-100,0)</f>
        <v>1.4810198842463791</v>
      </c>
      <c r="J119" s="2">
        <f>+IFERROR('Q10'!J119/'Q10'!J114*100-100,0)</f>
        <v>2.2266139306113928</v>
      </c>
      <c r="K119" s="2">
        <f>+IFERROR('Q10'!K119/'Q10'!K114*100-100,0)</f>
        <v>-5.0422992224540053E-2</v>
      </c>
      <c r="L119" s="2">
        <f>+IFERROR('Q10'!L119/'Q10'!L114*100-100,0)</f>
        <v>5.3295193241286114</v>
      </c>
      <c r="M119" s="2">
        <f>+IFERROR('Q10'!M119/'Q10'!M114*100-100,0)</f>
        <v>8.6464145546327131</v>
      </c>
      <c r="N119" s="2">
        <f>+IFERROR('Q10'!N119/'Q10'!N114*100-100,0)</f>
        <v>39.649756402962481</v>
      </c>
      <c r="O119" s="2">
        <f>+IFERROR('Q10'!O119/'Q10'!O114*100-100,0)</f>
        <v>4.7269223611259008</v>
      </c>
      <c r="P119" s="2">
        <f>+IFERROR('Q10'!P119/'Q10'!P114*100-100,0)</f>
        <v>3.779222886880234</v>
      </c>
      <c r="Q119" s="2">
        <f>+IFERROR('Q10'!Q119/'Q10'!Q114*100-100,0)</f>
        <v>2.4990571218197744</v>
      </c>
      <c r="R119" s="2">
        <f>+IFERROR('Q10'!R119/'Q10'!R114*100-100,0)</f>
        <v>5.1472613970454404</v>
      </c>
      <c r="S119" s="2">
        <f>+IFERROR('Q10'!S119/'Q10'!S114*100-100,0)</f>
        <v>-10.876077811211459</v>
      </c>
      <c r="T119" s="2">
        <f>+IFERROR('Q10'!T119/'Q10'!T114*100-100,0)</f>
        <v>-33.060303170186174</v>
      </c>
      <c r="U119" s="2">
        <f>+IFERROR('Q10'!U119/'Q10'!U114*100-100,0)</f>
        <v>3.3519841083311945</v>
      </c>
    </row>
    <row r="120" spans="1:21" x14ac:dyDescent="0.25">
      <c r="A120" s="95"/>
      <c r="B120" s="100"/>
      <c r="C120" s="19" t="s">
        <v>30</v>
      </c>
      <c r="D120" s="2">
        <f>+IFERROR('Q10'!D120/'Q10'!D115*100-100,0)</f>
        <v>3.0678350186703796</v>
      </c>
      <c r="E120" s="2">
        <f>+IFERROR('Q10'!E120/'Q10'!E115*100-100,0)</f>
        <v>3.0455715945151951E-2</v>
      </c>
      <c r="F120" s="2">
        <f>+IFERROR('Q10'!F120/'Q10'!F115*100-100,0)</f>
        <v>-4.8762875017568206</v>
      </c>
      <c r="G120" s="2">
        <f>+IFERROR('Q10'!G120/'Q10'!G115*100-100,0)</f>
        <v>27.949394200911996</v>
      </c>
      <c r="H120" s="2">
        <f>+IFERROR('Q10'!H120/'Q10'!H115*100-100,0)</f>
        <v>6.6242424264249138</v>
      </c>
      <c r="I120" s="2">
        <f>+IFERROR('Q10'!I120/'Q10'!I115*100-100,0)</f>
        <v>1.280978860913379</v>
      </c>
      <c r="J120" s="2">
        <f>+IFERROR('Q10'!J120/'Q10'!J115*100-100,0)</f>
        <v>2.3304617785287149</v>
      </c>
      <c r="K120" s="2">
        <f>+IFERROR('Q10'!K120/'Q10'!K115*100-100,0)</f>
        <v>0.31944031152011121</v>
      </c>
      <c r="L120" s="2">
        <f>+IFERROR('Q10'!L120/'Q10'!L115*100-100,0)</f>
        <v>4.8804357816998589</v>
      </c>
      <c r="M120" s="2">
        <f>+IFERROR('Q10'!M120/'Q10'!M115*100-100,0)</f>
        <v>7.8640935615669036</v>
      </c>
      <c r="N120" s="2">
        <f>+IFERROR('Q10'!N120/'Q10'!N115*100-100,0)</f>
        <v>50.394443931114921</v>
      </c>
      <c r="O120" s="2">
        <f>+IFERROR('Q10'!O120/'Q10'!O115*100-100,0)</f>
        <v>5.5848350303911047</v>
      </c>
      <c r="P120" s="2">
        <f>+IFERROR('Q10'!P120/'Q10'!P115*100-100,0)</f>
        <v>4.1750071286942045</v>
      </c>
      <c r="Q120" s="2">
        <f>+IFERROR('Q10'!Q120/'Q10'!Q115*100-100,0)</f>
        <v>2.8548318986014039</v>
      </c>
      <c r="R120" s="2">
        <f>+IFERROR('Q10'!R120/'Q10'!R115*100-100,0)</f>
        <v>4.446378554732533</v>
      </c>
      <c r="S120" s="2">
        <f>+IFERROR('Q10'!S120/'Q10'!S115*100-100,0)</f>
        <v>-14.640216284245398</v>
      </c>
      <c r="T120" s="2">
        <f>+IFERROR('Q10'!T120/'Q10'!T115*100-100,0)</f>
        <v>-34.47522448001304</v>
      </c>
      <c r="U120" s="2">
        <f>+IFERROR('Q10'!U120/'Q10'!U115*100-100,0)</f>
        <v>2.6784132727965186</v>
      </c>
    </row>
    <row r="121" spans="1:21" x14ac:dyDescent="0.25">
      <c r="A121" s="95"/>
      <c r="B121" s="101"/>
      <c r="C121" s="52" t="s">
        <v>31</v>
      </c>
      <c r="D121" s="20">
        <f>+IFERROR('Q10'!D121/'Q10'!D116*100-100,0)</f>
        <v>3.6681663550726142</v>
      </c>
      <c r="E121" s="20">
        <f>+IFERROR('Q10'!E121/'Q10'!E116*100-100,0)</f>
        <v>0.25589741518514586</v>
      </c>
      <c r="F121" s="20">
        <f>+IFERROR('Q10'!F121/'Q10'!F116*100-100,0)</f>
        <v>-5.229451241916891</v>
      </c>
      <c r="G121" s="20">
        <f>+IFERROR('Q10'!G121/'Q10'!G116*100-100,0)</f>
        <v>8.384722881211502</v>
      </c>
      <c r="H121" s="20">
        <f>+IFERROR('Q10'!H121/'Q10'!H116*100-100,0)</f>
        <v>10.495350267914844</v>
      </c>
      <c r="I121" s="20">
        <f>+IFERROR('Q10'!I121/'Q10'!I116*100-100,0)</f>
        <v>0.97122861601839361</v>
      </c>
      <c r="J121" s="20">
        <f>+IFERROR('Q10'!J121/'Q10'!J116*100-100,0)</f>
        <v>2.9154073420617692</v>
      </c>
      <c r="K121" s="20">
        <f>+IFERROR('Q10'!K121/'Q10'!K116*100-100,0)</f>
        <v>2.3613065614445787</v>
      </c>
      <c r="L121" s="20">
        <f>+IFERROR('Q10'!L121/'Q10'!L116*100-100,0)</f>
        <v>6.8340387111694554</v>
      </c>
      <c r="M121" s="20">
        <f>+IFERROR('Q10'!M121/'Q10'!M116*100-100,0)</f>
        <v>6.3519042743672003</v>
      </c>
      <c r="N121" s="20">
        <f>+IFERROR('Q10'!N121/'Q10'!N116*100-100,0)</f>
        <v>50.521945988860551</v>
      </c>
      <c r="O121" s="20">
        <f>+IFERROR('Q10'!O121/'Q10'!O116*100-100,0)</f>
        <v>7.562704374840834</v>
      </c>
      <c r="P121" s="20">
        <f>+IFERROR('Q10'!P121/'Q10'!P116*100-100,0)</f>
        <v>4.2846877834245163</v>
      </c>
      <c r="Q121" s="20">
        <f>+IFERROR('Q10'!Q121/'Q10'!Q116*100-100,0)</f>
        <v>3.0522951256866548</v>
      </c>
      <c r="R121" s="20">
        <f>+IFERROR('Q10'!R121/'Q10'!R116*100-100,0)</f>
        <v>1.9175171090454626</v>
      </c>
      <c r="S121" s="20">
        <f>+IFERROR('Q10'!S121/'Q10'!S116*100-100,0)</f>
        <v>-9.6016457182175969</v>
      </c>
      <c r="T121" s="20">
        <f>+IFERROR('Q10'!T121/'Q10'!T116*100-100,0)</f>
        <v>-36.064541426703848</v>
      </c>
      <c r="U121" s="20">
        <f>+IFERROR('Q10'!U121/'Q10'!U116*100-100,0)</f>
        <v>3.1335354244999678</v>
      </c>
    </row>
    <row r="122" spans="1:21" x14ac:dyDescent="0.25">
      <c r="A122" s="95"/>
      <c r="B122" s="58"/>
      <c r="C122" s="16" t="s">
        <v>51</v>
      </c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 spans="1:21" x14ac:dyDescent="0.25">
      <c r="A123" s="95"/>
      <c r="B123" s="99">
        <v>2026</v>
      </c>
      <c r="C123" s="61" t="s">
        <v>28</v>
      </c>
      <c r="D123" s="21">
        <f>+IFERROR('Q10'!D123/'Q10'!D118*100-100,0)</f>
        <v>3.0011560000289705</v>
      </c>
      <c r="E123" s="21">
        <f>+IFERROR('Q10'!E123/'Q10'!E118*100-100,0)</f>
        <v>1.9456064370620112</v>
      </c>
      <c r="F123" s="21">
        <f>+IFERROR('Q10'!F123/'Q10'!F118*100-100,0)</f>
        <v>-4.3168493840636586</v>
      </c>
      <c r="G123" s="21">
        <f>+IFERROR('Q10'!G123/'Q10'!G118*100-100,0)</f>
        <v>0.86229338024963909</v>
      </c>
      <c r="H123" s="21">
        <f>+IFERROR('Q10'!H123/'Q10'!H118*100-100,0)</f>
        <v>10.833758289575385</v>
      </c>
      <c r="I123" s="21">
        <f>+IFERROR('Q10'!I123/'Q10'!I118*100-100,0)</f>
        <v>3.0946564992067067</v>
      </c>
      <c r="J123" s="21">
        <f>+IFERROR('Q10'!J123/'Q10'!J118*100-100,0)</f>
        <v>2.2090343722488228</v>
      </c>
      <c r="K123" s="21">
        <f>+IFERROR('Q10'!K123/'Q10'!K118*100-100,0)</f>
        <v>2.296407012623618</v>
      </c>
      <c r="L123" s="21">
        <f>+IFERROR('Q10'!L123/'Q10'!L118*100-100,0)</f>
        <v>6.7801026956592239</v>
      </c>
      <c r="M123" s="21">
        <f>+IFERROR('Q10'!M123/'Q10'!M118*100-100,0)</f>
        <v>10.463493059479106</v>
      </c>
      <c r="N123" s="21">
        <f>+IFERROR('Q10'!N123/'Q10'!N118*100-100,0)</f>
        <v>45.426313206393758</v>
      </c>
      <c r="O123" s="21">
        <f>+IFERROR('Q10'!O123/'Q10'!O118*100-100,0)</f>
        <v>7.5718736696663598</v>
      </c>
      <c r="P123" s="21">
        <f>+IFERROR('Q10'!P123/'Q10'!P118*100-100,0)</f>
        <v>2.3150902320270319</v>
      </c>
      <c r="Q123" s="21">
        <f>+IFERROR('Q10'!Q123/'Q10'!Q118*100-100,0)</f>
        <v>3.2594657265143638</v>
      </c>
      <c r="R123" s="21">
        <f>+IFERROR('Q10'!R123/'Q10'!R118*100-100,0)</f>
        <v>1.6788155767764863</v>
      </c>
      <c r="S123" s="21">
        <f>+IFERROR('Q10'!S123/'Q10'!S118*100-100,0)</f>
        <v>-12.412058059353839</v>
      </c>
      <c r="T123" s="21">
        <f>+IFERROR('Q10'!T123/'Q10'!T118*100-100,0)</f>
        <v>-39.035653994037681</v>
      </c>
      <c r="U123" s="21">
        <f>+IFERROR('Q10'!U123/'Q10'!U118*100-100,0)</f>
        <v>3.3867499905896779</v>
      </c>
    </row>
    <row r="124" spans="1:21" x14ac:dyDescent="0.25">
      <c r="A124" s="95"/>
      <c r="B124" s="100"/>
      <c r="C124" s="19" t="s">
        <v>29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5">
      <c r="A125" s="95"/>
      <c r="B125" s="100"/>
      <c r="C125" s="19" t="s">
        <v>30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5">
      <c r="A126" s="95"/>
      <c r="B126" s="101"/>
      <c r="C126" s="52" t="s">
        <v>31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 spans="1:21" x14ac:dyDescent="0.25">
      <c r="C127" s="17" t="s">
        <v>52</v>
      </c>
    </row>
  </sheetData>
  <mergeCells count="28">
    <mergeCell ref="B123:B126"/>
    <mergeCell ref="A1:A126"/>
    <mergeCell ref="C1:U1"/>
    <mergeCell ref="B2:C2"/>
    <mergeCell ref="B3:B6"/>
    <mergeCell ref="B8:B11"/>
    <mergeCell ref="B13:B16"/>
    <mergeCell ref="B18:B21"/>
    <mergeCell ref="B23:B26"/>
    <mergeCell ref="B28:B31"/>
    <mergeCell ref="B33:B36"/>
    <mergeCell ref="B38:B41"/>
    <mergeCell ref="B43:B46"/>
    <mergeCell ref="B48:B51"/>
    <mergeCell ref="B53:B56"/>
    <mergeCell ref="B58:B61"/>
    <mergeCell ref="B63:B66"/>
    <mergeCell ref="B68:B71"/>
    <mergeCell ref="B73:B76"/>
    <mergeCell ref="B78:B81"/>
    <mergeCell ref="B83:B86"/>
    <mergeCell ref="B88:B91"/>
    <mergeCell ref="B118:B121"/>
    <mergeCell ref="B93:B96"/>
    <mergeCell ref="B98:B101"/>
    <mergeCell ref="B103:B106"/>
    <mergeCell ref="B108:B111"/>
    <mergeCell ref="B113:B116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27"/>
  <sheetViews>
    <sheetView showGridLines="0" zoomScaleNormal="100" workbookViewId="0">
      <pane xSplit="3" ySplit="2" topLeftCell="D105" activePane="bottomRight" state="frozen"/>
      <selection activeCell="A2" sqref="A2:B98"/>
      <selection pane="topRight" activeCell="A2" sqref="A2:B98"/>
      <selection pane="bottomLeft" activeCell="A2" sqref="A2:B98"/>
      <selection pane="bottomRight" activeCell="D106" sqref="D106"/>
    </sheetView>
  </sheetViews>
  <sheetFormatPr defaultColWidth="8.875" defaultRowHeight="15.75" x14ac:dyDescent="0.25"/>
  <cols>
    <col min="2" max="3" width="7.125" style="18" customWidth="1"/>
    <col min="4" max="4" width="12.375" customWidth="1"/>
    <col min="6" max="6" width="9.25" bestFit="1" customWidth="1"/>
    <col min="11" max="11" width="9.25" bestFit="1" customWidth="1"/>
    <col min="16" max="16" width="9.25" bestFit="1" customWidth="1"/>
    <col min="17" max="17" width="8.5" bestFit="1" customWidth="1"/>
    <col min="21" max="21" width="10.375" customWidth="1"/>
  </cols>
  <sheetData>
    <row r="1" spans="1:23" x14ac:dyDescent="0.25">
      <c r="A1" s="95"/>
      <c r="C1" s="96" t="s">
        <v>18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spans="1:23" ht="78.75" x14ac:dyDescent="0.25">
      <c r="A2" s="95"/>
      <c r="B2" s="97" t="s">
        <v>53</v>
      </c>
      <c r="C2" s="97"/>
      <c r="D2" s="10" t="s">
        <v>0</v>
      </c>
      <c r="E2" s="10" t="s">
        <v>23</v>
      </c>
      <c r="F2" s="10" t="s">
        <v>2</v>
      </c>
      <c r="G2" s="10" t="s">
        <v>3</v>
      </c>
      <c r="H2" s="10" t="s">
        <v>4</v>
      </c>
      <c r="I2" s="10" t="s">
        <v>24</v>
      </c>
      <c r="J2" s="10" t="s">
        <v>6</v>
      </c>
      <c r="K2" s="10" t="s">
        <v>25</v>
      </c>
      <c r="L2" s="10" t="s">
        <v>26</v>
      </c>
      <c r="M2" s="10" t="s">
        <v>9</v>
      </c>
      <c r="N2" s="10" t="s">
        <v>27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0" t="s">
        <v>16</v>
      </c>
      <c r="U2" s="10" t="s">
        <v>17</v>
      </c>
      <c r="V2" s="11"/>
      <c r="W2" s="11"/>
    </row>
    <row r="3" spans="1:23" x14ac:dyDescent="0.25">
      <c r="A3" s="95"/>
      <c r="B3" s="50"/>
      <c r="C3" s="27" t="s">
        <v>51</v>
      </c>
      <c r="D3" s="44">
        <v>63834.247655787105</v>
      </c>
      <c r="E3" s="44">
        <v>6902.1394556969071</v>
      </c>
      <c r="F3" s="44">
        <v>295071.18303783145</v>
      </c>
      <c r="G3" s="44">
        <v>18804.604323147993</v>
      </c>
      <c r="H3" s="44">
        <v>28082.492046255615</v>
      </c>
      <c r="I3" s="44">
        <v>6356.0306247744593</v>
      </c>
      <c r="J3" s="44">
        <v>43799.186046252718</v>
      </c>
      <c r="K3" s="44">
        <v>72506.746571927681</v>
      </c>
      <c r="L3" s="44">
        <v>5823.0016034019436</v>
      </c>
      <c r="M3" s="44">
        <v>33135.831816314785</v>
      </c>
      <c r="N3" s="44">
        <v>7151.7638829207935</v>
      </c>
      <c r="O3" s="44">
        <v>12647.180164372277</v>
      </c>
      <c r="P3" s="44">
        <v>66631.999999999796</v>
      </c>
      <c r="Q3" s="44">
        <v>39603.9179477738</v>
      </c>
      <c r="R3" s="44">
        <v>47849.394491206498</v>
      </c>
      <c r="S3" s="44">
        <v>22391.000000000004</v>
      </c>
      <c r="T3" s="44">
        <v>-17017</v>
      </c>
      <c r="U3" s="45">
        <v>753573.71966766391</v>
      </c>
      <c r="V3" s="11"/>
      <c r="W3" s="11"/>
    </row>
    <row r="4" spans="1:23" x14ac:dyDescent="0.25">
      <c r="A4" s="95"/>
      <c r="B4" s="100">
        <v>2002</v>
      </c>
      <c r="C4" s="19" t="s">
        <v>28</v>
      </c>
      <c r="D4" s="12">
        <v>14522.105599478227</v>
      </c>
      <c r="E4" s="12">
        <v>1366.7813567861899</v>
      </c>
      <c r="F4" s="12">
        <v>50703.676988871055</v>
      </c>
      <c r="G4" s="12">
        <v>3581.8767825895716</v>
      </c>
      <c r="H4" s="12">
        <v>4761.7166169105294</v>
      </c>
      <c r="I4" s="12">
        <v>1046.8966607862251</v>
      </c>
      <c r="J4" s="12">
        <v>8768.0739245558452</v>
      </c>
      <c r="K4" s="12">
        <v>9779.4158048721656</v>
      </c>
      <c r="L4" s="12">
        <v>488.73789096784481</v>
      </c>
      <c r="M4" s="12">
        <v>7221.8767137803943</v>
      </c>
      <c r="N4" s="12">
        <v>985.40126091032948</v>
      </c>
      <c r="O4" s="12">
        <v>2217.0795626873737</v>
      </c>
      <c r="P4" s="12">
        <v>9133.9774951976106</v>
      </c>
      <c r="Q4" s="12">
        <v>7310.0021174951598</v>
      </c>
      <c r="R4" s="12">
        <v>7306.2836770753593</v>
      </c>
      <c r="S4" s="12">
        <v>3437.1743437829996</v>
      </c>
      <c r="T4" s="12">
        <v>-2324.6151535862896</v>
      </c>
      <c r="U4" s="39">
        <v>130306.46164316058</v>
      </c>
    </row>
    <row r="5" spans="1:23" x14ac:dyDescent="0.25">
      <c r="A5" s="95"/>
      <c r="B5" s="100"/>
      <c r="C5" s="19" t="s">
        <v>29</v>
      </c>
      <c r="D5" s="12">
        <v>22990.199514730783</v>
      </c>
      <c r="E5" s="12">
        <v>1254.6485713431898</v>
      </c>
      <c r="F5" s="12">
        <v>66093.90837545754</v>
      </c>
      <c r="G5" s="12">
        <v>4038.7267292144115</v>
      </c>
      <c r="H5" s="12">
        <v>5646.7712360774758</v>
      </c>
      <c r="I5" s="12">
        <v>1478.2476893350931</v>
      </c>
      <c r="J5" s="12">
        <v>9228.3456628696531</v>
      </c>
      <c r="K5" s="12">
        <v>13464.185116771554</v>
      </c>
      <c r="L5" s="12">
        <v>1212.1718706459772</v>
      </c>
      <c r="M5" s="12">
        <v>7705.599543798784</v>
      </c>
      <c r="N5" s="12">
        <v>1327.7943696679577</v>
      </c>
      <c r="O5" s="12">
        <v>2426.1227261522026</v>
      </c>
      <c r="P5" s="12">
        <v>10971.692394477021</v>
      </c>
      <c r="Q5" s="12">
        <v>8069.2388990156105</v>
      </c>
      <c r="R5" s="12">
        <v>9470.5919767982523</v>
      </c>
      <c r="S5" s="12">
        <v>4283.4829678856413</v>
      </c>
      <c r="T5" s="12">
        <v>-3042.9884917802997</v>
      </c>
      <c r="U5" s="39">
        <v>166618.73915246088</v>
      </c>
    </row>
    <row r="6" spans="1:23" x14ac:dyDescent="0.25">
      <c r="A6" s="95"/>
      <c r="B6" s="100"/>
      <c r="C6" s="19" t="s">
        <v>30</v>
      </c>
      <c r="D6" s="12">
        <v>15584.513771223643</v>
      </c>
      <c r="E6" s="12">
        <v>1454.5872953378469</v>
      </c>
      <c r="F6" s="12">
        <v>83830.978100290027</v>
      </c>
      <c r="G6" s="12">
        <v>5187.3728898202517</v>
      </c>
      <c r="H6" s="12">
        <v>7185.6346754781971</v>
      </c>
      <c r="I6" s="12">
        <v>1693.743493996222</v>
      </c>
      <c r="J6" s="12">
        <v>12342.552989271971</v>
      </c>
      <c r="K6" s="12">
        <v>20241.193332015078</v>
      </c>
      <c r="L6" s="12">
        <v>1765.4561676500689</v>
      </c>
      <c r="M6" s="12">
        <v>8797.2368819491458</v>
      </c>
      <c r="N6" s="12">
        <v>2075.6312148186703</v>
      </c>
      <c r="O6" s="12">
        <v>3393.968628862342</v>
      </c>
      <c r="P6" s="12">
        <v>15514.766686118555</v>
      </c>
      <c r="Q6" s="12">
        <v>10872.477555869853</v>
      </c>
      <c r="R6" s="12">
        <v>12863.546862824669</v>
      </c>
      <c r="S6" s="12">
        <v>5781.6407620360833</v>
      </c>
      <c r="T6" s="12">
        <v>-4406.7879108352936</v>
      </c>
      <c r="U6" s="39">
        <v>204178.5133967273</v>
      </c>
    </row>
    <row r="7" spans="1:23" x14ac:dyDescent="0.25">
      <c r="A7" s="95"/>
      <c r="B7" s="101"/>
      <c r="C7" s="52" t="s">
        <v>31</v>
      </c>
      <c r="D7" s="40">
        <v>10737.428770354449</v>
      </c>
      <c r="E7" s="40">
        <v>2826.1222322296799</v>
      </c>
      <c r="F7" s="40">
        <v>94442.619573212825</v>
      </c>
      <c r="G7" s="40">
        <v>5996.6279215237555</v>
      </c>
      <c r="H7" s="40">
        <v>10488.369517789415</v>
      </c>
      <c r="I7" s="40">
        <v>2137.1427806569191</v>
      </c>
      <c r="J7" s="40">
        <v>13460.213469555247</v>
      </c>
      <c r="K7" s="40">
        <v>29021.952318268879</v>
      </c>
      <c r="L7" s="40">
        <v>2356.6356741380528</v>
      </c>
      <c r="M7" s="40">
        <v>9411.1186767864619</v>
      </c>
      <c r="N7" s="40">
        <v>2762.9370375238359</v>
      </c>
      <c r="O7" s="40">
        <v>4610.0092466703591</v>
      </c>
      <c r="P7" s="40">
        <v>31011.563424206612</v>
      </c>
      <c r="Q7" s="40">
        <v>13352.199375393173</v>
      </c>
      <c r="R7" s="40">
        <v>18208.971974508218</v>
      </c>
      <c r="S7" s="40">
        <v>8888.7019262952781</v>
      </c>
      <c r="T7" s="40">
        <v>-7242.6084437981162</v>
      </c>
      <c r="U7" s="41">
        <v>252470.005475315</v>
      </c>
    </row>
    <row r="8" spans="1:23" x14ac:dyDescent="0.25">
      <c r="A8" s="95"/>
      <c r="B8" s="50"/>
      <c r="C8" s="27" t="s">
        <v>51</v>
      </c>
      <c r="D8" s="44">
        <v>138029.61893589981</v>
      </c>
      <c r="E8" s="44">
        <v>13736.640612855894</v>
      </c>
      <c r="F8" s="44">
        <v>541281.93296532438</v>
      </c>
      <c r="G8" s="44">
        <v>38916.704890706533</v>
      </c>
      <c r="H8" s="44">
        <v>58963.344935139488</v>
      </c>
      <c r="I8" s="44">
        <v>18800.50254000572</v>
      </c>
      <c r="J8" s="44">
        <v>86867.717382900737</v>
      </c>
      <c r="K8" s="44">
        <v>162758.73688703871</v>
      </c>
      <c r="L8" s="44">
        <v>12396.259004223844</v>
      </c>
      <c r="M8" s="44">
        <v>68050.638004764842</v>
      </c>
      <c r="N8" s="44">
        <v>15115.325008347918</v>
      </c>
      <c r="O8" s="44">
        <v>24948.786851185876</v>
      </c>
      <c r="P8" s="44">
        <v>159792.24982030387</v>
      </c>
      <c r="Q8" s="44">
        <v>67406.405470225145</v>
      </c>
      <c r="R8" s="44">
        <v>106810.06959366525</v>
      </c>
      <c r="S8" s="44">
        <v>52751</v>
      </c>
      <c r="T8" s="44">
        <v>-48975</v>
      </c>
      <c r="U8" s="45">
        <v>1517650.932902588</v>
      </c>
    </row>
    <row r="9" spans="1:23" x14ac:dyDescent="0.25">
      <c r="A9" s="95"/>
      <c r="B9" s="100">
        <v>2003</v>
      </c>
      <c r="C9" s="19" t="s">
        <v>28</v>
      </c>
      <c r="D9" s="12">
        <v>33191.733052864634</v>
      </c>
      <c r="E9" s="12">
        <v>2890.7779863221313</v>
      </c>
      <c r="F9" s="12">
        <v>129469.82328010838</v>
      </c>
      <c r="G9" s="12">
        <v>5929.4462075560414</v>
      </c>
      <c r="H9" s="12">
        <v>10155.312329179909</v>
      </c>
      <c r="I9" s="12">
        <v>3308.4436929253843</v>
      </c>
      <c r="J9" s="12">
        <v>18307.388228607218</v>
      </c>
      <c r="K9" s="12">
        <v>23594.464723336412</v>
      </c>
      <c r="L9" s="12">
        <v>1074.9575543264045</v>
      </c>
      <c r="M9" s="12">
        <v>8832.5737774935424</v>
      </c>
      <c r="N9" s="12">
        <v>2990.839972771555</v>
      </c>
      <c r="O9" s="12">
        <v>4558.3985946207085</v>
      </c>
      <c r="P9" s="12">
        <v>24013.99404589488</v>
      </c>
      <c r="Q9" s="12">
        <v>9716.0561577609478</v>
      </c>
      <c r="R9" s="12">
        <v>17101.933059018473</v>
      </c>
      <c r="S9" s="12">
        <v>8532.7225283776406</v>
      </c>
      <c r="T9" s="12">
        <v>-7367.4486538319043</v>
      </c>
      <c r="U9" s="39">
        <v>296301.41653733235</v>
      </c>
    </row>
    <row r="10" spans="1:23" x14ac:dyDescent="0.25">
      <c r="A10" s="95"/>
      <c r="B10" s="100"/>
      <c r="C10" s="19" t="s">
        <v>29</v>
      </c>
      <c r="D10" s="12">
        <v>52364.107145560978</v>
      </c>
      <c r="E10" s="12">
        <v>2839.8381028355566</v>
      </c>
      <c r="F10" s="12">
        <v>124948.97052911804</v>
      </c>
      <c r="G10" s="12">
        <v>8291.9760004255168</v>
      </c>
      <c r="H10" s="12">
        <v>12889.831071224267</v>
      </c>
      <c r="I10" s="12">
        <v>4512.3755503713537</v>
      </c>
      <c r="J10" s="12">
        <v>19592.758526137899</v>
      </c>
      <c r="K10" s="12">
        <v>35250.19403615802</v>
      </c>
      <c r="L10" s="12">
        <v>2776.8959684368483</v>
      </c>
      <c r="M10" s="12">
        <v>17287.89135560943</v>
      </c>
      <c r="N10" s="12">
        <v>3689.5187873299819</v>
      </c>
      <c r="O10" s="12">
        <v>4820.2074821146889</v>
      </c>
      <c r="P10" s="12">
        <v>30747.028589054578</v>
      </c>
      <c r="Q10" s="12">
        <v>12169.293116487464</v>
      </c>
      <c r="R10" s="12">
        <v>23926.188004025469</v>
      </c>
      <c r="S10" s="12">
        <v>11449.103207739799</v>
      </c>
      <c r="T10" s="12">
        <v>-10370.057507879514</v>
      </c>
      <c r="U10" s="39">
        <v>357186.11996475037</v>
      </c>
    </row>
    <row r="11" spans="1:23" x14ac:dyDescent="0.25">
      <c r="A11" s="95"/>
      <c r="B11" s="100"/>
      <c r="C11" s="19" t="s">
        <v>30</v>
      </c>
      <c r="D11" s="12">
        <v>31255.734034865578</v>
      </c>
      <c r="E11" s="12">
        <v>2888.8277131756126</v>
      </c>
      <c r="F11" s="12">
        <v>149175.34313376425</v>
      </c>
      <c r="G11" s="12">
        <v>14121.033250260522</v>
      </c>
      <c r="H11" s="12">
        <v>15639.902931546774</v>
      </c>
      <c r="I11" s="12">
        <v>5668.1053830333576</v>
      </c>
      <c r="J11" s="12">
        <v>24515.204214558791</v>
      </c>
      <c r="K11" s="12">
        <v>47605.800288389459</v>
      </c>
      <c r="L11" s="12">
        <v>3947.4444419458118</v>
      </c>
      <c r="M11" s="12">
        <v>21268.268508067318</v>
      </c>
      <c r="N11" s="12">
        <v>3980.7274373585778</v>
      </c>
      <c r="O11" s="12">
        <v>6926.0894313085273</v>
      </c>
      <c r="P11" s="12">
        <v>39804.029691583295</v>
      </c>
      <c r="Q11" s="12">
        <v>20008.353458151345</v>
      </c>
      <c r="R11" s="12">
        <v>30302.251340459417</v>
      </c>
      <c r="S11" s="12">
        <v>14270.706204650072</v>
      </c>
      <c r="T11" s="12">
        <v>-13418.98138666753</v>
      </c>
      <c r="U11" s="39">
        <v>417958.84007645113</v>
      </c>
    </row>
    <row r="12" spans="1:23" x14ac:dyDescent="0.25">
      <c r="A12" s="95"/>
      <c r="B12" s="101"/>
      <c r="C12" s="52" t="s">
        <v>31</v>
      </c>
      <c r="D12" s="40">
        <v>21218.044702608633</v>
      </c>
      <c r="E12" s="40">
        <v>5117.1968105225942</v>
      </c>
      <c r="F12" s="40">
        <v>137687.7960223337</v>
      </c>
      <c r="G12" s="40">
        <v>10574.24943246445</v>
      </c>
      <c r="H12" s="40">
        <v>20278.298603188534</v>
      </c>
      <c r="I12" s="40">
        <v>5311.5779136756255</v>
      </c>
      <c r="J12" s="40">
        <v>24452.366413596825</v>
      </c>
      <c r="K12" s="40">
        <v>56308.277839154813</v>
      </c>
      <c r="L12" s="40">
        <v>4596.9610395147793</v>
      </c>
      <c r="M12" s="40">
        <v>20661.904363594553</v>
      </c>
      <c r="N12" s="40">
        <v>4454.238810887804</v>
      </c>
      <c r="O12" s="40">
        <v>8644.0913431419522</v>
      </c>
      <c r="P12" s="40">
        <v>65227.197493771135</v>
      </c>
      <c r="Q12" s="40">
        <v>25512.702737825388</v>
      </c>
      <c r="R12" s="40">
        <v>35479.697190161882</v>
      </c>
      <c r="S12" s="40">
        <v>18498.468059232484</v>
      </c>
      <c r="T12" s="40">
        <v>-17818.512451621053</v>
      </c>
      <c r="U12" s="41">
        <v>446204.55632405414</v>
      </c>
    </row>
    <row r="13" spans="1:23" x14ac:dyDescent="0.25">
      <c r="A13" s="95"/>
      <c r="B13" s="50"/>
      <c r="C13" s="27" t="s">
        <v>51</v>
      </c>
      <c r="D13" s="44">
        <v>215556.79280534119</v>
      </c>
      <c r="E13" s="44">
        <v>18188.609875039689</v>
      </c>
      <c r="F13" s="44">
        <v>821202.14279448835</v>
      </c>
      <c r="G13" s="44">
        <v>54535.666321800978</v>
      </c>
      <c r="H13" s="44">
        <v>105536.46226720898</v>
      </c>
      <c r="I13" s="44">
        <v>24536.641440665437</v>
      </c>
      <c r="J13" s="44">
        <v>131715.71240993051</v>
      </c>
      <c r="K13" s="44">
        <v>244536.13631503476</v>
      </c>
      <c r="L13" s="44">
        <v>14752.739879515786</v>
      </c>
      <c r="M13" s="44">
        <v>92839.345522627875</v>
      </c>
      <c r="N13" s="44">
        <v>17364.626121587462</v>
      </c>
      <c r="O13" s="44">
        <v>37034.390615905068</v>
      </c>
      <c r="P13" s="44">
        <v>214468.78074975876</v>
      </c>
      <c r="Q13" s="44">
        <v>126503.36306290023</v>
      </c>
      <c r="R13" s="44">
        <v>145137.4615433971</v>
      </c>
      <c r="S13" s="44">
        <v>74060.000000000015</v>
      </c>
      <c r="T13" s="44">
        <v>-82521</v>
      </c>
      <c r="U13" s="45">
        <v>2255447.8717252016</v>
      </c>
    </row>
    <row r="14" spans="1:23" x14ac:dyDescent="0.25">
      <c r="A14" s="95"/>
      <c r="B14" s="100">
        <v>2004</v>
      </c>
      <c r="C14" s="19" t="s">
        <v>28</v>
      </c>
      <c r="D14" s="12">
        <v>57657.555819501911</v>
      </c>
      <c r="E14" s="12">
        <v>4570.8781025998323</v>
      </c>
      <c r="F14" s="12">
        <v>172541.71319906021</v>
      </c>
      <c r="G14" s="12">
        <v>9756.24259715263</v>
      </c>
      <c r="H14" s="12">
        <v>20564.314393377052</v>
      </c>
      <c r="I14" s="12">
        <v>5463.4467524028441</v>
      </c>
      <c r="J14" s="12">
        <v>29813.231338309484</v>
      </c>
      <c r="K14" s="12">
        <v>47273.618645731527</v>
      </c>
      <c r="L14" s="12">
        <v>1579.5752084899996</v>
      </c>
      <c r="M14" s="12">
        <v>16621.086514530427</v>
      </c>
      <c r="N14" s="12">
        <v>3283.2532562244105</v>
      </c>
      <c r="O14" s="12">
        <v>7540.6519110175832</v>
      </c>
      <c r="P14" s="12">
        <v>43427.26334363957</v>
      </c>
      <c r="Q14" s="12">
        <v>27063.941579214417</v>
      </c>
      <c r="R14" s="12">
        <v>33430.355620030976</v>
      </c>
      <c r="S14" s="12">
        <v>14944.780208913928</v>
      </c>
      <c r="T14" s="12">
        <v>-78916.117084753379</v>
      </c>
      <c r="U14" s="39">
        <v>416615.79140544333</v>
      </c>
    </row>
    <row r="15" spans="1:23" x14ac:dyDescent="0.25">
      <c r="A15" s="95"/>
      <c r="B15" s="100"/>
      <c r="C15" s="19" t="s">
        <v>29</v>
      </c>
      <c r="D15" s="12">
        <v>80248.565790082706</v>
      </c>
      <c r="E15" s="12">
        <v>3788.1845114382349</v>
      </c>
      <c r="F15" s="12">
        <v>179895.2673127545</v>
      </c>
      <c r="G15" s="12">
        <v>11395.331919045415</v>
      </c>
      <c r="H15" s="12">
        <v>24554.301372447884</v>
      </c>
      <c r="I15" s="12">
        <v>6360.5533027033416</v>
      </c>
      <c r="J15" s="12">
        <v>29520.480771360257</v>
      </c>
      <c r="K15" s="12">
        <v>56117.969325313905</v>
      </c>
      <c r="L15" s="12">
        <v>3371.3846195269944</v>
      </c>
      <c r="M15" s="12">
        <v>22070.671703271008</v>
      </c>
      <c r="N15" s="12">
        <v>3464.0293173886753</v>
      </c>
      <c r="O15" s="12">
        <v>7301.5553354419972</v>
      </c>
      <c r="P15" s="12">
        <v>41914.090332733365</v>
      </c>
      <c r="Q15" s="12">
        <v>31361.007703470921</v>
      </c>
      <c r="R15" s="12">
        <v>35538.912723758127</v>
      </c>
      <c r="S15" s="12">
        <v>18059.86952721671</v>
      </c>
      <c r="T15" s="12">
        <v>-1132.9408567327228</v>
      </c>
      <c r="U15" s="39">
        <v>553829.2347112213</v>
      </c>
    </row>
    <row r="16" spans="1:23" x14ac:dyDescent="0.25">
      <c r="A16" s="95"/>
      <c r="B16" s="100"/>
      <c r="C16" s="19" t="s">
        <v>30</v>
      </c>
      <c r="D16" s="12">
        <v>46609.314302859268</v>
      </c>
      <c r="E16" s="12">
        <v>3633.5328392932984</v>
      </c>
      <c r="F16" s="12">
        <v>223187.5680829765</v>
      </c>
      <c r="G16" s="12">
        <v>16075.532228967244</v>
      </c>
      <c r="H16" s="12">
        <v>27417.827300516241</v>
      </c>
      <c r="I16" s="12">
        <v>7130.7059488897867</v>
      </c>
      <c r="J16" s="12">
        <v>35649.038712723661</v>
      </c>
      <c r="K16" s="12">
        <v>65331.006974555014</v>
      </c>
      <c r="L16" s="12">
        <v>4419.6722644591</v>
      </c>
      <c r="M16" s="12">
        <v>26925.1750437466</v>
      </c>
      <c r="N16" s="12">
        <v>4127.4181853694581</v>
      </c>
      <c r="O16" s="12">
        <v>9923.2695021827931</v>
      </c>
      <c r="P16" s="12">
        <v>52266.72116854749</v>
      </c>
      <c r="Q16" s="12">
        <v>33837.076586925708</v>
      </c>
      <c r="R16" s="12">
        <v>36518.707157051394</v>
      </c>
      <c r="S16" s="12">
        <v>16155.794350842429</v>
      </c>
      <c r="T16" s="12">
        <v>-1175.936103745687</v>
      </c>
      <c r="U16" s="39">
        <v>608032.42454616027</v>
      </c>
    </row>
    <row r="17" spans="1:21" x14ac:dyDescent="0.25">
      <c r="A17" s="95"/>
      <c r="B17" s="101"/>
      <c r="C17" s="52" t="s">
        <v>31</v>
      </c>
      <c r="D17" s="40">
        <v>31041.356892897304</v>
      </c>
      <c r="E17" s="40">
        <v>6196.0144217083243</v>
      </c>
      <c r="F17" s="40">
        <v>245577.59419969714</v>
      </c>
      <c r="G17" s="40">
        <v>17308.559576635689</v>
      </c>
      <c r="H17" s="40">
        <v>33000.019200867813</v>
      </c>
      <c r="I17" s="40">
        <v>5581.9354366694597</v>
      </c>
      <c r="J17" s="40">
        <v>36732.961587537102</v>
      </c>
      <c r="K17" s="40">
        <v>75813.541369434344</v>
      </c>
      <c r="L17" s="40">
        <v>5382.1077870396912</v>
      </c>
      <c r="M17" s="40">
        <v>27222.412261079833</v>
      </c>
      <c r="N17" s="40">
        <v>6489.9253626049176</v>
      </c>
      <c r="O17" s="40">
        <v>12268.913867262698</v>
      </c>
      <c r="P17" s="40">
        <v>76860.705904838323</v>
      </c>
      <c r="Q17" s="40">
        <v>34241.337193289182</v>
      </c>
      <c r="R17" s="40">
        <v>39649.486042556608</v>
      </c>
      <c r="S17" s="40">
        <v>24899.555913026947</v>
      </c>
      <c r="T17" s="40">
        <v>-1296.0059547682176</v>
      </c>
      <c r="U17" s="41">
        <v>676970.42106237728</v>
      </c>
    </row>
    <row r="18" spans="1:21" x14ac:dyDescent="0.25">
      <c r="A18" s="95"/>
      <c r="B18" s="50"/>
      <c r="C18" s="27" t="s">
        <v>51</v>
      </c>
      <c r="D18" s="44">
        <v>285242.86104657705</v>
      </c>
      <c r="E18" s="44">
        <v>23803.755298062508</v>
      </c>
      <c r="F18" s="44">
        <v>1560680.6272785775</v>
      </c>
      <c r="G18" s="44">
        <v>82949.223541026702</v>
      </c>
      <c r="H18" s="44">
        <v>140563.52733785729</v>
      </c>
      <c r="I18" s="44">
        <v>25150.94337633266</v>
      </c>
      <c r="J18" s="44">
        <v>219289.06454272594</v>
      </c>
      <c r="K18" s="44">
        <v>357650.4258880869</v>
      </c>
      <c r="L18" s="44">
        <v>26154.970344694921</v>
      </c>
      <c r="M18" s="44">
        <v>128159.61626510373</v>
      </c>
      <c r="N18" s="44">
        <v>46624.212204004012</v>
      </c>
      <c r="O18" s="44">
        <v>50169.443649942499</v>
      </c>
      <c r="P18" s="44">
        <v>311898.00680217164</v>
      </c>
      <c r="Q18" s="44">
        <v>144426.3080118786</v>
      </c>
      <c r="R18" s="44">
        <v>212151.32327369164</v>
      </c>
      <c r="S18" s="44">
        <v>95625</v>
      </c>
      <c r="T18" s="44">
        <v>-102444.00000000001</v>
      </c>
      <c r="U18" s="45">
        <v>3608095.3088607341</v>
      </c>
    </row>
    <row r="19" spans="1:21" x14ac:dyDescent="0.25">
      <c r="A19" s="95"/>
      <c r="B19" s="100">
        <v>2005</v>
      </c>
      <c r="C19" s="19" t="s">
        <v>28</v>
      </c>
      <c r="D19" s="12">
        <v>75976.680722372679</v>
      </c>
      <c r="E19" s="12">
        <v>5449.1608410912168</v>
      </c>
      <c r="F19" s="12">
        <v>351197.92378393497</v>
      </c>
      <c r="G19" s="12">
        <v>16930.930719025651</v>
      </c>
      <c r="H19" s="12">
        <v>29855.421256350885</v>
      </c>
      <c r="I19" s="12">
        <v>5215.9668192645086</v>
      </c>
      <c r="J19" s="12">
        <v>47051.564769547134</v>
      </c>
      <c r="K19" s="12">
        <v>75156.256215308385</v>
      </c>
      <c r="L19" s="12">
        <v>2086.0109193931899</v>
      </c>
      <c r="M19" s="12">
        <v>26670.702227061298</v>
      </c>
      <c r="N19" s="12">
        <v>8499.1838296967999</v>
      </c>
      <c r="O19" s="12">
        <v>10806.902008853043</v>
      </c>
      <c r="P19" s="12">
        <v>62426.145299154901</v>
      </c>
      <c r="Q19" s="12">
        <v>34661.293956141861</v>
      </c>
      <c r="R19" s="12">
        <v>41964.531521318961</v>
      </c>
      <c r="S19" s="12">
        <v>20834.32312010567</v>
      </c>
      <c r="T19" s="12">
        <v>-2400.173513057221</v>
      </c>
      <c r="U19" s="39">
        <v>812382.82449556375</v>
      </c>
    </row>
    <row r="20" spans="1:21" x14ac:dyDescent="0.25">
      <c r="A20" s="95"/>
      <c r="B20" s="100"/>
      <c r="C20" s="19" t="s">
        <v>29</v>
      </c>
      <c r="D20" s="12">
        <v>104438.70992679572</v>
      </c>
      <c r="E20" s="12">
        <v>4761.6463237442922</v>
      </c>
      <c r="F20" s="12">
        <v>357911.72815978405</v>
      </c>
      <c r="G20" s="12">
        <v>24134.935290783727</v>
      </c>
      <c r="H20" s="12">
        <v>33333.238625995764</v>
      </c>
      <c r="I20" s="12">
        <v>5886.9288250466061</v>
      </c>
      <c r="J20" s="12">
        <v>48239.331375878523</v>
      </c>
      <c r="K20" s="12">
        <v>86014.014184390893</v>
      </c>
      <c r="L20" s="12">
        <v>5264.2310519026405</v>
      </c>
      <c r="M20" s="12">
        <v>28994.150284292449</v>
      </c>
      <c r="N20" s="12">
        <v>10974.781426187154</v>
      </c>
      <c r="O20" s="12">
        <v>10613.851922494878</v>
      </c>
      <c r="P20" s="12">
        <v>62958.258311496415</v>
      </c>
      <c r="Q20" s="12">
        <v>35454.675239524819</v>
      </c>
      <c r="R20" s="12">
        <v>46183.971327383675</v>
      </c>
      <c r="S20" s="12">
        <v>21633.241610940499</v>
      </c>
      <c r="T20" s="12">
        <v>-2579.0354934007651</v>
      </c>
      <c r="U20" s="39">
        <v>884218.65839324135</v>
      </c>
    </row>
    <row r="21" spans="1:21" x14ac:dyDescent="0.25">
      <c r="A21" s="95"/>
      <c r="B21" s="100"/>
      <c r="C21" s="19" t="s">
        <v>30</v>
      </c>
      <c r="D21" s="12">
        <v>63011.702682051284</v>
      </c>
      <c r="E21" s="12">
        <v>4821.4416521574585</v>
      </c>
      <c r="F21" s="12">
        <v>461027.64191585459</v>
      </c>
      <c r="G21" s="12">
        <v>25234.119077363666</v>
      </c>
      <c r="H21" s="12">
        <v>35515.052375348168</v>
      </c>
      <c r="I21" s="12">
        <v>6456.3942761709004</v>
      </c>
      <c r="J21" s="12">
        <v>60325.408093005768</v>
      </c>
      <c r="K21" s="12">
        <v>95025.557195382804</v>
      </c>
      <c r="L21" s="12">
        <v>7905.0958246042574</v>
      </c>
      <c r="M21" s="12">
        <v>34785.220708436696</v>
      </c>
      <c r="N21" s="12">
        <v>12211.634384635863</v>
      </c>
      <c r="O21" s="12">
        <v>13436.924866177465</v>
      </c>
      <c r="P21" s="12">
        <v>70674.00792983656</v>
      </c>
      <c r="Q21" s="12">
        <v>36718.944972116784</v>
      </c>
      <c r="R21" s="12">
        <v>53601.346353265515</v>
      </c>
      <c r="S21" s="12">
        <v>21747.892876465008</v>
      </c>
      <c r="T21" s="12">
        <v>-2606.8116423396555</v>
      </c>
      <c r="U21" s="39">
        <v>999891.57354053319</v>
      </c>
    </row>
    <row r="22" spans="1:21" x14ac:dyDescent="0.25">
      <c r="A22" s="95"/>
      <c r="B22" s="101"/>
      <c r="C22" s="52" t="s">
        <v>31</v>
      </c>
      <c r="D22" s="40">
        <v>41815.767715357339</v>
      </c>
      <c r="E22" s="40">
        <v>8771.5064810695385</v>
      </c>
      <c r="F22" s="40">
        <v>390543.33341900393</v>
      </c>
      <c r="G22" s="40">
        <v>16649.238453853653</v>
      </c>
      <c r="H22" s="40">
        <v>41859.815080162472</v>
      </c>
      <c r="I22" s="40">
        <v>7591.6534558506437</v>
      </c>
      <c r="J22" s="40">
        <v>63672.760304294527</v>
      </c>
      <c r="K22" s="40">
        <v>101454.59829300482</v>
      </c>
      <c r="L22" s="40">
        <v>10899.632548794834</v>
      </c>
      <c r="M22" s="40">
        <v>37709.543045313287</v>
      </c>
      <c r="N22" s="40">
        <v>14938.612563484196</v>
      </c>
      <c r="O22" s="40">
        <v>15311.764852417118</v>
      </c>
      <c r="P22" s="40">
        <v>115839.59526168373</v>
      </c>
      <c r="Q22" s="40">
        <v>37591.393844095146</v>
      </c>
      <c r="R22" s="40">
        <v>70401.474071723511</v>
      </c>
      <c r="S22" s="40">
        <v>31409.542392488824</v>
      </c>
      <c r="T22" s="40">
        <v>-94857.979351202375</v>
      </c>
      <c r="U22" s="41">
        <v>911602.25243139546</v>
      </c>
    </row>
    <row r="23" spans="1:21" x14ac:dyDescent="0.25">
      <c r="A23" s="95"/>
      <c r="B23" s="50"/>
      <c r="C23" s="27" t="s">
        <v>51</v>
      </c>
      <c r="D23" s="44">
        <v>361818.03106962127</v>
      </c>
      <c r="E23" s="44">
        <v>36081.135344360002</v>
      </c>
      <c r="F23" s="44">
        <v>1904860.19656251</v>
      </c>
      <c r="G23" s="44">
        <v>76810.542452126363</v>
      </c>
      <c r="H23" s="44">
        <v>172615.25334981995</v>
      </c>
      <c r="I23" s="44">
        <v>67066.442369180746</v>
      </c>
      <c r="J23" s="44">
        <v>341993.23359511053</v>
      </c>
      <c r="K23" s="44">
        <v>397593.34650666837</v>
      </c>
      <c r="L23" s="44">
        <v>59920.362010611243</v>
      </c>
      <c r="M23" s="44">
        <v>173819.34905226727</v>
      </c>
      <c r="N23" s="44">
        <v>64135.651627225903</v>
      </c>
      <c r="O23" s="44">
        <v>62441.849431452785</v>
      </c>
      <c r="P23" s="44">
        <v>408946.95760567684</v>
      </c>
      <c r="Q23" s="44">
        <v>182088.80125994995</v>
      </c>
      <c r="R23" s="44">
        <v>394564.41607634729</v>
      </c>
      <c r="S23" s="44">
        <v>123082.00000000001</v>
      </c>
      <c r="T23" s="44">
        <v>-113956</v>
      </c>
      <c r="U23" s="45">
        <v>4713881.5683129299</v>
      </c>
    </row>
    <row r="24" spans="1:21" x14ac:dyDescent="0.25">
      <c r="A24" s="95"/>
      <c r="B24" s="100">
        <v>2006</v>
      </c>
      <c r="C24" s="19" t="s">
        <v>28</v>
      </c>
      <c r="D24" s="12">
        <v>101178.00515209432</v>
      </c>
      <c r="E24" s="12">
        <v>8533.3953012642505</v>
      </c>
      <c r="F24" s="12">
        <v>476232.51001853566</v>
      </c>
      <c r="G24" s="12">
        <v>18839.838784832336</v>
      </c>
      <c r="H24" s="12">
        <v>38605.456379488678</v>
      </c>
      <c r="I24" s="12">
        <v>10046.273127810802</v>
      </c>
      <c r="J24" s="12">
        <v>80876.315723624255</v>
      </c>
      <c r="K24" s="12">
        <v>93183.639262774639</v>
      </c>
      <c r="L24" s="12">
        <v>4684.103478985985</v>
      </c>
      <c r="M24" s="12">
        <v>35773.810416238615</v>
      </c>
      <c r="N24" s="12">
        <v>13905.785710008862</v>
      </c>
      <c r="O24" s="12">
        <v>11885.55251433712</v>
      </c>
      <c r="P24" s="12">
        <v>80414.357124331174</v>
      </c>
      <c r="Q24" s="12">
        <v>40006.142304290879</v>
      </c>
      <c r="R24" s="12">
        <v>99088.91637203857</v>
      </c>
      <c r="S24" s="12">
        <v>23134.680719615153</v>
      </c>
      <c r="T24" s="12">
        <v>-21076.410805283012</v>
      </c>
      <c r="U24" s="39">
        <v>1115312.3715849884</v>
      </c>
    </row>
    <row r="25" spans="1:21" x14ac:dyDescent="0.25">
      <c r="A25" s="95"/>
      <c r="B25" s="100"/>
      <c r="C25" s="19" t="s">
        <v>29</v>
      </c>
      <c r="D25" s="12">
        <v>134014.52026468073</v>
      </c>
      <c r="E25" s="12">
        <v>7521.1254209322869</v>
      </c>
      <c r="F25" s="12">
        <v>500115.24502903182</v>
      </c>
      <c r="G25" s="12">
        <v>17634.553267879484</v>
      </c>
      <c r="H25" s="12">
        <v>41750.651365988197</v>
      </c>
      <c r="I25" s="12">
        <v>13612.206872184839</v>
      </c>
      <c r="J25" s="12">
        <v>79470.643833921495</v>
      </c>
      <c r="K25" s="12">
        <v>95550.518993537873</v>
      </c>
      <c r="L25" s="12">
        <v>12430.729865012578</v>
      </c>
      <c r="M25" s="12">
        <v>39760.531363349852</v>
      </c>
      <c r="N25" s="12">
        <v>15310.567765258405</v>
      </c>
      <c r="O25" s="12">
        <v>11219.88901740425</v>
      </c>
      <c r="P25" s="12">
        <v>92761.541849451169</v>
      </c>
      <c r="Q25" s="12">
        <v>42761.836507279113</v>
      </c>
      <c r="R25" s="12">
        <v>107360.93126477614</v>
      </c>
      <c r="S25" s="12">
        <v>25521.455417542351</v>
      </c>
      <c r="T25" s="12">
        <v>-21460.824381289924</v>
      </c>
      <c r="U25" s="39">
        <v>1215336.1237169404</v>
      </c>
    </row>
    <row r="26" spans="1:21" x14ac:dyDescent="0.25">
      <c r="A26" s="95"/>
      <c r="B26" s="100"/>
      <c r="C26" s="19" t="s">
        <v>30</v>
      </c>
      <c r="D26" s="12">
        <v>76374.585975067079</v>
      </c>
      <c r="E26" s="12">
        <v>7381.8453606277371</v>
      </c>
      <c r="F26" s="12">
        <v>495177.76931055152</v>
      </c>
      <c r="G26" s="12">
        <v>20988.164534759246</v>
      </c>
      <c r="H26" s="12">
        <v>42927.817899273541</v>
      </c>
      <c r="I26" s="12">
        <v>18398.308998083467</v>
      </c>
      <c r="J26" s="12">
        <v>93028.923503345548</v>
      </c>
      <c r="K26" s="12">
        <v>100732.80113529693</v>
      </c>
      <c r="L26" s="12">
        <v>18826.897873399885</v>
      </c>
      <c r="M26" s="12">
        <v>47529.587235268322</v>
      </c>
      <c r="N26" s="12">
        <v>16045.314148721696</v>
      </c>
      <c r="O26" s="12">
        <v>15332.78294560862</v>
      </c>
      <c r="P26" s="12">
        <v>84923.108798395755</v>
      </c>
      <c r="Q26" s="12">
        <v>44527.169152119212</v>
      </c>
      <c r="R26" s="12">
        <v>100720.67782487304</v>
      </c>
      <c r="S26" s="12">
        <v>31010.373136122442</v>
      </c>
      <c r="T26" s="12">
        <v>-24229.540245108183</v>
      </c>
      <c r="U26" s="39">
        <v>1189696.5875864062</v>
      </c>
    </row>
    <row r="27" spans="1:21" x14ac:dyDescent="0.25">
      <c r="A27" s="95"/>
      <c r="B27" s="101"/>
      <c r="C27" s="52" t="s">
        <v>31</v>
      </c>
      <c r="D27" s="40">
        <v>50250.919677779137</v>
      </c>
      <c r="E27" s="40">
        <v>12644.769261535723</v>
      </c>
      <c r="F27" s="40">
        <v>433334.67220439092</v>
      </c>
      <c r="G27" s="40">
        <v>19347.985864655304</v>
      </c>
      <c r="H27" s="40">
        <v>49331.327705069525</v>
      </c>
      <c r="I27" s="40">
        <v>25009.653371101631</v>
      </c>
      <c r="J27" s="40">
        <v>88617.350534219251</v>
      </c>
      <c r="K27" s="40">
        <v>108126.38711505897</v>
      </c>
      <c r="L27" s="40">
        <v>23978.630793212797</v>
      </c>
      <c r="M27" s="40">
        <v>50755.420037410491</v>
      </c>
      <c r="N27" s="40">
        <v>18873.984003236936</v>
      </c>
      <c r="O27" s="40">
        <v>24003.624954102794</v>
      </c>
      <c r="P27" s="40">
        <v>150847.94983349871</v>
      </c>
      <c r="Q27" s="40">
        <v>54793.653296260738</v>
      </c>
      <c r="R27" s="40">
        <v>87393.890614659525</v>
      </c>
      <c r="S27" s="40">
        <v>43415.490726720062</v>
      </c>
      <c r="T27" s="40">
        <v>-47189.224568318874</v>
      </c>
      <c r="U27" s="41">
        <v>1193536.485424594</v>
      </c>
    </row>
    <row r="28" spans="1:21" x14ac:dyDescent="0.25">
      <c r="A28" s="95"/>
      <c r="B28" s="50"/>
      <c r="C28" s="27" t="s">
        <v>51</v>
      </c>
      <c r="D28" s="44">
        <v>440439.18508963403</v>
      </c>
      <c r="E28" s="44">
        <v>42281.343090363662</v>
      </c>
      <c r="F28" s="44">
        <v>2436848.8374239327</v>
      </c>
      <c r="G28" s="44">
        <v>76609.537800042759</v>
      </c>
      <c r="H28" s="44">
        <v>192875.33632649746</v>
      </c>
      <c r="I28" s="44">
        <v>106789.2185951994</v>
      </c>
      <c r="J28" s="44">
        <v>442721.3501835916</v>
      </c>
      <c r="K28" s="44">
        <v>477166.32158900017</v>
      </c>
      <c r="L28" s="44">
        <v>90274.475504121656</v>
      </c>
      <c r="M28" s="44">
        <v>229997.55822646234</v>
      </c>
      <c r="N28" s="44">
        <v>76975.944072635073</v>
      </c>
      <c r="O28" s="44">
        <v>90669.78514528551</v>
      </c>
      <c r="P28" s="44">
        <v>504342.72581226565</v>
      </c>
      <c r="Q28" s="44">
        <v>223645.87055032986</v>
      </c>
      <c r="R28" s="44">
        <v>205452.12370718538</v>
      </c>
      <c r="S28" s="44">
        <v>167460</v>
      </c>
      <c r="T28" s="44">
        <v>-202100</v>
      </c>
      <c r="U28" s="45">
        <v>5602449.6131165475</v>
      </c>
    </row>
    <row r="29" spans="1:21" x14ac:dyDescent="0.25">
      <c r="A29" s="95"/>
      <c r="B29" s="100">
        <v>2007</v>
      </c>
      <c r="C29" s="19" t="s">
        <v>28</v>
      </c>
      <c r="D29" s="12">
        <v>122946.18058199259</v>
      </c>
      <c r="E29" s="12">
        <v>10920.495086669893</v>
      </c>
      <c r="F29" s="12">
        <v>541387.34947835328</v>
      </c>
      <c r="G29" s="12">
        <v>17030.393558093911</v>
      </c>
      <c r="H29" s="12">
        <v>42277.755590164576</v>
      </c>
      <c r="I29" s="12">
        <v>13977.447431249546</v>
      </c>
      <c r="J29" s="12">
        <v>97555.796177094409</v>
      </c>
      <c r="K29" s="12">
        <v>106048.98199162586</v>
      </c>
      <c r="L29" s="12">
        <v>8632.9886446367564</v>
      </c>
      <c r="M29" s="12">
        <v>45545.427929908888</v>
      </c>
      <c r="N29" s="12">
        <v>16708.913020531603</v>
      </c>
      <c r="O29" s="12">
        <v>17591.536264563845</v>
      </c>
      <c r="P29" s="12">
        <v>103789.42187277075</v>
      </c>
      <c r="Q29" s="12">
        <v>53820.138358070377</v>
      </c>
      <c r="R29" s="12">
        <v>65752.558868826382</v>
      </c>
      <c r="S29" s="12">
        <v>36992.391988150041</v>
      </c>
      <c r="T29" s="12">
        <v>-39558.704711837323</v>
      </c>
      <c r="U29" s="39">
        <v>1261419.0721308654</v>
      </c>
    </row>
    <row r="30" spans="1:21" x14ac:dyDescent="0.25">
      <c r="A30" s="95"/>
      <c r="B30" s="100"/>
      <c r="C30" s="19" t="s">
        <v>29</v>
      </c>
      <c r="D30" s="12">
        <v>161321.13176923976</v>
      </c>
      <c r="E30" s="12">
        <v>8837.921989463297</v>
      </c>
      <c r="F30" s="12">
        <v>533719.65656034148</v>
      </c>
      <c r="G30" s="12">
        <v>14948.942613526911</v>
      </c>
      <c r="H30" s="12">
        <v>44631.176673604845</v>
      </c>
      <c r="I30" s="12">
        <v>31664.640988731782</v>
      </c>
      <c r="J30" s="12">
        <v>85123.51883710979</v>
      </c>
      <c r="K30" s="12">
        <v>113566.70654205294</v>
      </c>
      <c r="L30" s="12">
        <v>20227.692163798012</v>
      </c>
      <c r="M30" s="12">
        <v>51652.730305555844</v>
      </c>
      <c r="N30" s="12">
        <v>17839.522187748393</v>
      </c>
      <c r="O30" s="12">
        <v>17698.414882578225</v>
      </c>
      <c r="P30" s="12">
        <v>107673.97897859872</v>
      </c>
      <c r="Q30" s="12">
        <v>55733.979455349741</v>
      </c>
      <c r="R30" s="12">
        <v>49832.012228729218</v>
      </c>
      <c r="S30" s="12">
        <v>37564.73336089676</v>
      </c>
      <c r="T30" s="12">
        <v>-23353.004166512594</v>
      </c>
      <c r="U30" s="39">
        <v>1328683.7553708134</v>
      </c>
    </row>
    <row r="31" spans="1:21" x14ac:dyDescent="0.25">
      <c r="A31" s="95"/>
      <c r="B31" s="100"/>
      <c r="C31" s="19" t="s">
        <v>30</v>
      </c>
      <c r="D31" s="12">
        <v>94454.05335707948</v>
      </c>
      <c r="E31" s="12">
        <v>8355.0541340247546</v>
      </c>
      <c r="F31" s="12">
        <v>624830.23030116549</v>
      </c>
      <c r="G31" s="12">
        <v>18922.339353845917</v>
      </c>
      <c r="H31" s="12">
        <v>47762.072855775521</v>
      </c>
      <c r="I31" s="12">
        <v>30380.548444970049</v>
      </c>
      <c r="J31" s="12">
        <v>125744.49642049913</v>
      </c>
      <c r="K31" s="12">
        <v>123588.41896108362</v>
      </c>
      <c r="L31" s="12">
        <v>27819.330562883144</v>
      </c>
      <c r="M31" s="12">
        <v>62476.390293064265</v>
      </c>
      <c r="N31" s="12">
        <v>18844.506614287373</v>
      </c>
      <c r="O31" s="12">
        <v>24023.420692411335</v>
      </c>
      <c r="P31" s="12">
        <v>121605.96370663091</v>
      </c>
      <c r="Q31" s="12">
        <v>57010.026624893144</v>
      </c>
      <c r="R31" s="12">
        <v>43595.664619925417</v>
      </c>
      <c r="S31" s="12">
        <v>44573.554388764576</v>
      </c>
      <c r="T31" s="12">
        <v>-2833.9093896426634</v>
      </c>
      <c r="U31" s="39">
        <v>1471152.1619416613</v>
      </c>
    </row>
    <row r="32" spans="1:21" x14ac:dyDescent="0.25">
      <c r="A32" s="95"/>
      <c r="B32" s="101"/>
      <c r="C32" s="52" t="s">
        <v>31</v>
      </c>
      <c r="D32" s="40">
        <v>61717.819381322275</v>
      </c>
      <c r="E32" s="40">
        <v>14167.871880205717</v>
      </c>
      <c r="F32" s="40">
        <v>736911.60108407296</v>
      </c>
      <c r="G32" s="40">
        <v>25707.862274576022</v>
      </c>
      <c r="H32" s="40">
        <v>58204.331206952542</v>
      </c>
      <c r="I32" s="40">
        <v>30766.581730248021</v>
      </c>
      <c r="J32" s="40">
        <v>134297.53874888827</v>
      </c>
      <c r="K32" s="40">
        <v>133962.21409423777</v>
      </c>
      <c r="L32" s="40">
        <v>33594.46413280374</v>
      </c>
      <c r="M32" s="40">
        <v>70323.009697933332</v>
      </c>
      <c r="N32" s="40">
        <v>23583.002250067697</v>
      </c>
      <c r="O32" s="40">
        <v>31356.413305732109</v>
      </c>
      <c r="P32" s="40">
        <v>171273.36125426524</v>
      </c>
      <c r="Q32" s="40">
        <v>57081.7261120166</v>
      </c>
      <c r="R32" s="40">
        <v>46271.887989704352</v>
      </c>
      <c r="S32" s="40">
        <v>48329.320262188601</v>
      </c>
      <c r="T32" s="40">
        <v>-136354.38173200743</v>
      </c>
      <c r="U32" s="41">
        <v>1541194.6236732078</v>
      </c>
    </row>
    <row r="33" spans="1:21" x14ac:dyDescent="0.25">
      <c r="A33" s="95"/>
      <c r="B33" s="50"/>
      <c r="C33" s="27" t="s">
        <v>51</v>
      </c>
      <c r="D33" s="44">
        <v>525638.32482700143</v>
      </c>
      <c r="E33" s="44">
        <v>53900.560932013817</v>
      </c>
      <c r="F33" s="44">
        <v>3231741.1254653744</v>
      </c>
      <c r="G33" s="44">
        <v>71564.405990204992</v>
      </c>
      <c r="H33" s="44">
        <v>261838.28590651459</v>
      </c>
      <c r="I33" s="44">
        <v>91761.383986038141</v>
      </c>
      <c r="J33" s="44">
        <v>522148.59106279752</v>
      </c>
      <c r="K33" s="44">
        <v>589267.02865708177</v>
      </c>
      <c r="L33" s="44">
        <v>122968.37045711643</v>
      </c>
      <c r="M33" s="44">
        <v>356489.15359109436</v>
      </c>
      <c r="N33" s="44">
        <v>113224.46626521616</v>
      </c>
      <c r="O33" s="44">
        <v>123663.30495100557</v>
      </c>
      <c r="P33" s="44">
        <v>707048.11512859468</v>
      </c>
      <c r="Q33" s="44">
        <v>251327.40178697355</v>
      </c>
      <c r="R33" s="44">
        <v>260087.0113004068</v>
      </c>
      <c r="S33" s="44">
        <v>267866</v>
      </c>
      <c r="T33" s="44">
        <v>-137956</v>
      </c>
      <c r="U33" s="45">
        <v>7412577.5303074345</v>
      </c>
    </row>
    <row r="34" spans="1:21" x14ac:dyDescent="0.25">
      <c r="A34" s="95"/>
      <c r="B34" s="100">
        <v>2008</v>
      </c>
      <c r="C34" s="19" t="s">
        <v>28</v>
      </c>
      <c r="D34" s="12">
        <v>148886.61592955838</v>
      </c>
      <c r="E34" s="12">
        <v>13027.814548309321</v>
      </c>
      <c r="F34" s="12">
        <v>871927.81480746774</v>
      </c>
      <c r="G34" s="12">
        <v>22948.983202675216</v>
      </c>
      <c r="H34" s="12">
        <v>54611.540058040104</v>
      </c>
      <c r="I34" s="12">
        <v>29465.018476060293</v>
      </c>
      <c r="J34" s="12">
        <v>137289.38604862193</v>
      </c>
      <c r="K34" s="12">
        <v>131034.3578654649</v>
      </c>
      <c r="L34" s="12">
        <v>12090.531488896717</v>
      </c>
      <c r="M34" s="12">
        <v>71701.304279543416</v>
      </c>
      <c r="N34" s="12">
        <v>23342.977860839535</v>
      </c>
      <c r="O34" s="12">
        <v>25307.850326879852</v>
      </c>
      <c r="P34" s="12">
        <v>113543.399619388</v>
      </c>
      <c r="Q34" s="12">
        <v>58896.324443302357</v>
      </c>
      <c r="R34" s="12">
        <v>57666.043394036678</v>
      </c>
      <c r="S34" s="12">
        <v>47912.484404433759</v>
      </c>
      <c r="T34" s="12">
        <v>-32096.209150041865</v>
      </c>
      <c r="U34" s="39">
        <v>1787556.2376034765</v>
      </c>
    </row>
    <row r="35" spans="1:21" x14ac:dyDescent="0.25">
      <c r="A35" s="95"/>
      <c r="B35" s="100"/>
      <c r="C35" s="19" t="s">
        <v>29</v>
      </c>
      <c r="D35" s="12">
        <v>197476.02549537682</v>
      </c>
      <c r="E35" s="12">
        <v>11265.870742683164</v>
      </c>
      <c r="F35" s="12">
        <v>1050516.6609450984</v>
      </c>
      <c r="G35" s="12">
        <v>20456.161213540545</v>
      </c>
      <c r="H35" s="12">
        <v>61590.343013080615</v>
      </c>
      <c r="I35" s="12">
        <v>19277.582591040442</v>
      </c>
      <c r="J35" s="12">
        <v>116028.75691084472</v>
      </c>
      <c r="K35" s="12">
        <v>140350.68045403503</v>
      </c>
      <c r="L35" s="12">
        <v>28224.090700842415</v>
      </c>
      <c r="M35" s="12">
        <v>83502.516187497735</v>
      </c>
      <c r="N35" s="12">
        <v>26698.590930056951</v>
      </c>
      <c r="O35" s="12">
        <v>25956.380426850305</v>
      </c>
      <c r="P35" s="12">
        <v>137167.6551074631</v>
      </c>
      <c r="Q35" s="12">
        <v>61883.132520192441</v>
      </c>
      <c r="R35" s="12">
        <v>63360.354610964285</v>
      </c>
      <c r="S35" s="12">
        <v>66921.8584207245</v>
      </c>
      <c r="T35" s="12">
        <v>-55323.070234787563</v>
      </c>
      <c r="U35" s="39">
        <v>2055353.5900355037</v>
      </c>
    </row>
    <row r="36" spans="1:21" x14ac:dyDescent="0.25">
      <c r="A36" s="95"/>
      <c r="B36" s="100"/>
      <c r="C36" s="19" t="s">
        <v>30</v>
      </c>
      <c r="D36" s="12">
        <v>108838.06790791839</v>
      </c>
      <c r="E36" s="12">
        <v>10870.980715195399</v>
      </c>
      <c r="F36" s="12">
        <v>906829.11243195774</v>
      </c>
      <c r="G36" s="12">
        <v>19398.27402031891</v>
      </c>
      <c r="H36" s="12">
        <v>66974.421277133952</v>
      </c>
      <c r="I36" s="12">
        <v>23197.039700617133</v>
      </c>
      <c r="J36" s="12">
        <v>134295.38101021535</v>
      </c>
      <c r="K36" s="12">
        <v>152973.6882982832</v>
      </c>
      <c r="L36" s="12">
        <v>38157.112319539032</v>
      </c>
      <c r="M36" s="12">
        <v>99757.555660534097</v>
      </c>
      <c r="N36" s="12">
        <v>28671.655810078471</v>
      </c>
      <c r="O36" s="12">
        <v>31756.042841243714</v>
      </c>
      <c r="P36" s="12">
        <v>178789.33702923954</v>
      </c>
      <c r="Q36" s="12">
        <v>64587.936512798267</v>
      </c>
      <c r="R36" s="12">
        <v>66860.810145109586</v>
      </c>
      <c r="S36" s="12">
        <v>76924.225255765035</v>
      </c>
      <c r="T36" s="12">
        <v>-42686.735374256328</v>
      </c>
      <c r="U36" s="39">
        <v>1966194.9055616918</v>
      </c>
    </row>
    <row r="37" spans="1:21" x14ac:dyDescent="0.25">
      <c r="A37" s="95"/>
      <c r="B37" s="101"/>
      <c r="C37" s="52" t="s">
        <v>31</v>
      </c>
      <c r="D37" s="40">
        <v>70437.615494147889</v>
      </c>
      <c r="E37" s="40">
        <v>18735.894925825934</v>
      </c>
      <c r="F37" s="40">
        <v>402467.53728085046</v>
      </c>
      <c r="G37" s="40">
        <v>8760.9875536703294</v>
      </c>
      <c r="H37" s="40">
        <v>78661.981558259926</v>
      </c>
      <c r="I37" s="40">
        <v>19821.74321832028</v>
      </c>
      <c r="J37" s="40">
        <v>134535.06709311547</v>
      </c>
      <c r="K37" s="40">
        <v>164908.30203929867</v>
      </c>
      <c r="L37" s="40">
        <v>44496.635947838258</v>
      </c>
      <c r="M37" s="40">
        <v>101527.77746351909</v>
      </c>
      <c r="N37" s="40">
        <v>34511.241664241199</v>
      </c>
      <c r="O37" s="40">
        <v>40643.031356031701</v>
      </c>
      <c r="P37" s="40">
        <v>277547.72337250394</v>
      </c>
      <c r="Q37" s="40">
        <v>65960.008310680481</v>
      </c>
      <c r="R37" s="40">
        <v>72199.803150296226</v>
      </c>
      <c r="S37" s="40">
        <v>76107.431919076742</v>
      </c>
      <c r="T37" s="40">
        <v>-7849.9852409142468</v>
      </c>
      <c r="U37" s="41">
        <v>1603472.7971067624</v>
      </c>
    </row>
    <row r="38" spans="1:21" x14ac:dyDescent="0.25">
      <c r="A38" s="95"/>
      <c r="B38" s="50"/>
      <c r="C38" s="27" t="s">
        <v>51</v>
      </c>
      <c r="D38" s="44">
        <v>609991.48864771589</v>
      </c>
      <c r="E38" s="44">
        <v>61892.618571828018</v>
      </c>
      <c r="F38" s="44">
        <v>1536797.0591260802</v>
      </c>
      <c r="G38" s="44">
        <v>39717.043680997551</v>
      </c>
      <c r="H38" s="44">
        <v>322485.07695361425</v>
      </c>
      <c r="I38" s="44">
        <v>97639.586529428212</v>
      </c>
      <c r="J38" s="44">
        <v>672434.49769543391</v>
      </c>
      <c r="K38" s="44">
        <v>709134.68037997885</v>
      </c>
      <c r="L38" s="44">
        <v>149977.50652248538</v>
      </c>
      <c r="M38" s="44">
        <v>400854.76711916551</v>
      </c>
      <c r="N38" s="44">
        <v>137178.33594845992</v>
      </c>
      <c r="O38" s="44">
        <v>145673.96848134257</v>
      </c>
      <c r="P38" s="44">
        <v>862179.81674337038</v>
      </c>
      <c r="Q38" s="44">
        <v>303159.80875145335</v>
      </c>
      <c r="R38" s="44">
        <v>302495.54440964747</v>
      </c>
      <c r="S38" s="44">
        <v>267865.99999999994</v>
      </c>
      <c r="T38" s="44">
        <v>-137956</v>
      </c>
      <c r="U38" s="45">
        <v>6481521.7995610023</v>
      </c>
    </row>
    <row r="39" spans="1:21" x14ac:dyDescent="0.25">
      <c r="A39" s="95"/>
      <c r="B39" s="100">
        <v>2009</v>
      </c>
      <c r="C39" s="19" t="s">
        <v>28</v>
      </c>
      <c r="D39" s="12">
        <v>170145.59407605015</v>
      </c>
      <c r="E39" s="12">
        <v>15368.099333565558</v>
      </c>
      <c r="F39" s="12">
        <v>281768.19639977149</v>
      </c>
      <c r="G39" s="12">
        <v>7633.4826899546697</v>
      </c>
      <c r="H39" s="12">
        <v>69484.130555237964</v>
      </c>
      <c r="I39" s="12">
        <v>19042.579737576489</v>
      </c>
      <c r="J39" s="12">
        <v>164609.87029086356</v>
      </c>
      <c r="K39" s="12">
        <v>157510.93595598594</v>
      </c>
      <c r="L39" s="12">
        <v>15839.04186333323</v>
      </c>
      <c r="M39" s="12">
        <v>88315.935209297342</v>
      </c>
      <c r="N39" s="12">
        <v>31417.351745290496</v>
      </c>
      <c r="O39" s="12">
        <v>30653.499659942692</v>
      </c>
      <c r="P39" s="12">
        <v>177618.22623421374</v>
      </c>
      <c r="Q39" s="12">
        <v>61169.237191642344</v>
      </c>
      <c r="R39" s="12">
        <v>75402.323853154652</v>
      </c>
      <c r="S39" s="12">
        <v>74925.667196261202</v>
      </c>
      <c r="T39" s="12">
        <v>-9717.7859073947584</v>
      </c>
      <c r="U39" s="39">
        <v>1431186.3860847466</v>
      </c>
    </row>
    <row r="40" spans="1:21" x14ac:dyDescent="0.25">
      <c r="A40" s="95"/>
      <c r="B40" s="100"/>
      <c r="C40" s="19" t="s">
        <v>29</v>
      </c>
      <c r="D40" s="12">
        <v>223129.93770772035</v>
      </c>
      <c r="E40" s="12">
        <v>13194.467558463764</v>
      </c>
      <c r="F40" s="12">
        <v>349232.22712549067</v>
      </c>
      <c r="G40" s="12">
        <v>10135.162467275894</v>
      </c>
      <c r="H40" s="12">
        <v>76803.188120193474</v>
      </c>
      <c r="I40" s="12">
        <v>25211.292085384466</v>
      </c>
      <c r="J40" s="12">
        <v>157912.93806523187</v>
      </c>
      <c r="K40" s="12">
        <v>168587.44008282703</v>
      </c>
      <c r="L40" s="12">
        <v>35266.855281950899</v>
      </c>
      <c r="M40" s="12">
        <v>94888.862980469785</v>
      </c>
      <c r="N40" s="12">
        <v>33626.772131012585</v>
      </c>
      <c r="O40" s="12">
        <v>29581.228958366639</v>
      </c>
      <c r="P40" s="12">
        <v>188304.61556172362</v>
      </c>
      <c r="Q40" s="12">
        <v>77432.369930676214</v>
      </c>
      <c r="R40" s="12">
        <v>73863.264155115336</v>
      </c>
      <c r="S40" s="12">
        <v>59006.579444258823</v>
      </c>
      <c r="T40" s="12">
        <v>-19008.574758688046</v>
      </c>
      <c r="U40" s="39">
        <v>1597168.6268974734</v>
      </c>
    </row>
    <row r="41" spans="1:21" x14ac:dyDescent="0.25">
      <c r="A41" s="95"/>
      <c r="B41" s="100"/>
      <c r="C41" s="19" t="s">
        <v>30</v>
      </c>
      <c r="D41" s="12">
        <v>128430.21548854618</v>
      </c>
      <c r="E41" s="12">
        <v>12345.785223089179</v>
      </c>
      <c r="F41" s="12">
        <v>394424.64315174951</v>
      </c>
      <c r="G41" s="12">
        <v>9900.9451765545309</v>
      </c>
      <c r="H41" s="12">
        <v>81824.471242834319</v>
      </c>
      <c r="I41" s="12">
        <v>26026.485529689719</v>
      </c>
      <c r="J41" s="12">
        <v>175384.40958951137</v>
      </c>
      <c r="K41" s="12">
        <v>183688.65680709115</v>
      </c>
      <c r="L41" s="12">
        <v>45226.73762063394</v>
      </c>
      <c r="M41" s="12">
        <v>107096.39706182019</v>
      </c>
      <c r="N41" s="12">
        <v>33986.718522134695</v>
      </c>
      <c r="O41" s="12">
        <v>43222.522683834133</v>
      </c>
      <c r="P41" s="12">
        <v>192451.52759229534</v>
      </c>
      <c r="Q41" s="12">
        <v>82750.80352176931</v>
      </c>
      <c r="R41" s="12">
        <v>73845.86388549293</v>
      </c>
      <c r="S41" s="12">
        <v>69067.73411221405</v>
      </c>
      <c r="T41" s="12">
        <v>-18627.550666261523</v>
      </c>
      <c r="U41" s="39">
        <v>1641046.3665429994</v>
      </c>
    </row>
    <row r="42" spans="1:21" x14ac:dyDescent="0.25">
      <c r="A42" s="95"/>
      <c r="B42" s="101"/>
      <c r="C42" s="52" t="s">
        <v>31</v>
      </c>
      <c r="D42" s="40">
        <v>88285.741375399186</v>
      </c>
      <c r="E42" s="40">
        <v>20984.266456709513</v>
      </c>
      <c r="F42" s="40">
        <v>511371.99244906852</v>
      </c>
      <c r="G42" s="40">
        <v>12047.453347212459</v>
      </c>
      <c r="H42" s="40">
        <v>94373.287035348505</v>
      </c>
      <c r="I42" s="40">
        <v>27359.229176777535</v>
      </c>
      <c r="J42" s="40">
        <v>174527.27974982714</v>
      </c>
      <c r="K42" s="40">
        <v>199347.64753407467</v>
      </c>
      <c r="L42" s="40">
        <v>53644.871756567307</v>
      </c>
      <c r="M42" s="40">
        <v>110553.5718675782</v>
      </c>
      <c r="N42" s="40">
        <v>38147.493550022147</v>
      </c>
      <c r="O42" s="40">
        <v>42216.717179199106</v>
      </c>
      <c r="P42" s="40">
        <v>303805.44735513773</v>
      </c>
      <c r="Q42" s="40">
        <v>81807.398107365472</v>
      </c>
      <c r="R42" s="40">
        <v>79384.092515884593</v>
      </c>
      <c r="S42" s="40">
        <v>64866.019247265889</v>
      </c>
      <c r="T42" s="40">
        <v>-90602.088667655669</v>
      </c>
      <c r="U42" s="41">
        <v>1812120.4200357818</v>
      </c>
    </row>
    <row r="43" spans="1:21" x14ac:dyDescent="0.25">
      <c r="A43" s="95"/>
      <c r="B43" s="50"/>
      <c r="C43" s="27" t="s">
        <v>51</v>
      </c>
      <c r="D43" s="44">
        <v>812396.25638742803</v>
      </c>
      <c r="E43" s="44">
        <v>73752.525913428457</v>
      </c>
      <c r="F43" s="44">
        <v>2885020.7805345398</v>
      </c>
      <c r="G43" s="44">
        <v>66688.669103359905</v>
      </c>
      <c r="H43" s="44">
        <v>394037.40684202069</v>
      </c>
      <c r="I43" s="44">
        <v>107290.75636782421</v>
      </c>
      <c r="J43" s="44">
        <v>825109.99627306161</v>
      </c>
      <c r="K43" s="44">
        <v>895490.15844420181</v>
      </c>
      <c r="L43" s="44">
        <v>201404.88198104416</v>
      </c>
      <c r="M43" s="44">
        <v>472635.44755939837</v>
      </c>
      <c r="N43" s="44">
        <v>147756.20772383729</v>
      </c>
      <c r="O43" s="44">
        <v>168767.78364562016</v>
      </c>
      <c r="P43" s="44">
        <v>917262.90326875518</v>
      </c>
      <c r="Q43" s="44">
        <v>351330.45303611364</v>
      </c>
      <c r="R43" s="44">
        <v>378708.30621520098</v>
      </c>
      <c r="S43" s="44">
        <v>294851.92054790258</v>
      </c>
      <c r="T43" s="44">
        <v>-211195.99999999997</v>
      </c>
      <c r="U43" s="45">
        <v>8781308.4538437352</v>
      </c>
    </row>
    <row r="44" spans="1:21" x14ac:dyDescent="0.25">
      <c r="A44" s="95"/>
      <c r="B44" s="100">
        <v>2010</v>
      </c>
      <c r="C44" s="19" t="s">
        <v>28</v>
      </c>
      <c r="D44" s="12">
        <v>228121.04547416812</v>
      </c>
      <c r="E44" s="12">
        <v>17329.686280007998</v>
      </c>
      <c r="F44" s="12">
        <v>659961.72823157534</v>
      </c>
      <c r="G44" s="12">
        <v>13219.845248253861</v>
      </c>
      <c r="H44" s="12">
        <v>83302.132634873473</v>
      </c>
      <c r="I44" s="12">
        <v>27877.231807169985</v>
      </c>
      <c r="J44" s="12">
        <v>206949.7115905364</v>
      </c>
      <c r="K44" s="12">
        <v>192487.6832410816</v>
      </c>
      <c r="L44" s="12">
        <v>19777.06852625289</v>
      </c>
      <c r="M44" s="12">
        <v>101275.06627212418</v>
      </c>
      <c r="N44" s="12">
        <v>31774.019680194757</v>
      </c>
      <c r="O44" s="12">
        <v>38121.660938786052</v>
      </c>
      <c r="P44" s="12">
        <v>189691.02216251119</v>
      </c>
      <c r="Q44" s="12">
        <v>81790.298018485104</v>
      </c>
      <c r="R44" s="12">
        <v>87562.705230129126</v>
      </c>
      <c r="S44" s="12">
        <v>54838.536068317786</v>
      </c>
      <c r="T44" s="12">
        <v>-2271.6881080680027</v>
      </c>
      <c r="U44" s="39">
        <v>2031807.7532964</v>
      </c>
    </row>
    <row r="45" spans="1:21" x14ac:dyDescent="0.25">
      <c r="A45" s="95"/>
      <c r="B45" s="100"/>
      <c r="C45" s="19" t="s">
        <v>29</v>
      </c>
      <c r="D45" s="12">
        <v>302912.12497656175</v>
      </c>
      <c r="E45" s="12">
        <v>15195.337124674441</v>
      </c>
      <c r="F45" s="12">
        <v>717777.63760475756</v>
      </c>
      <c r="G45" s="12">
        <v>15614.435315342875</v>
      </c>
      <c r="H45" s="12">
        <v>93449.493257786729</v>
      </c>
      <c r="I45" s="12">
        <v>25002.972712833202</v>
      </c>
      <c r="J45" s="12">
        <v>193808.59067564105</v>
      </c>
      <c r="K45" s="12">
        <v>208942.26579209141</v>
      </c>
      <c r="L45" s="12">
        <v>45833.865439231442</v>
      </c>
      <c r="M45" s="12">
        <v>108064.25974325558</v>
      </c>
      <c r="N45" s="12">
        <v>32828.504450065979</v>
      </c>
      <c r="O45" s="12">
        <v>36479.626204117529</v>
      </c>
      <c r="P45" s="12">
        <v>209385.33464819627</v>
      </c>
      <c r="Q45" s="12">
        <v>88803.542221908647</v>
      </c>
      <c r="R45" s="12">
        <v>91199.079707433528</v>
      </c>
      <c r="S45" s="12">
        <v>65128.944473253046</v>
      </c>
      <c r="T45" s="12">
        <v>-7927.8658002561424</v>
      </c>
      <c r="U45" s="39">
        <v>2242498.1485468941</v>
      </c>
    </row>
    <row r="46" spans="1:21" x14ac:dyDescent="0.25">
      <c r="A46" s="95"/>
      <c r="B46" s="100"/>
      <c r="C46" s="19" t="s">
        <v>30</v>
      </c>
      <c r="D46" s="12">
        <v>169799.20060393275</v>
      </c>
      <c r="E46" s="12">
        <v>14912.928371437642</v>
      </c>
      <c r="F46" s="12">
        <v>731403.24297576433</v>
      </c>
      <c r="G46" s="12">
        <v>17390.741496454029</v>
      </c>
      <c r="H46" s="12">
        <v>100041.83618155992</v>
      </c>
      <c r="I46" s="12">
        <v>25962.679860746881</v>
      </c>
      <c r="J46" s="12">
        <v>219160.37806099877</v>
      </c>
      <c r="K46" s="12">
        <v>233111.54452814069</v>
      </c>
      <c r="L46" s="12">
        <v>61257.319813448339</v>
      </c>
      <c r="M46" s="12">
        <v>127248.36179020783</v>
      </c>
      <c r="N46" s="12">
        <v>35327.792938042898</v>
      </c>
      <c r="O46" s="12">
        <v>39092.978575740846</v>
      </c>
      <c r="P46" s="12">
        <v>224128.02756516862</v>
      </c>
      <c r="Q46" s="12">
        <v>91566.189947916981</v>
      </c>
      <c r="R46" s="12">
        <v>95082.23089727429</v>
      </c>
      <c r="S46" s="12">
        <v>85063.162700021421</v>
      </c>
      <c r="T46" s="12">
        <v>-4979.8748180169741</v>
      </c>
      <c r="U46" s="39">
        <v>2265568.74148884</v>
      </c>
    </row>
    <row r="47" spans="1:21" x14ac:dyDescent="0.25">
      <c r="A47" s="95"/>
      <c r="B47" s="101"/>
      <c r="C47" s="52" t="s">
        <v>31</v>
      </c>
      <c r="D47" s="40">
        <v>111563.88533276538</v>
      </c>
      <c r="E47" s="40">
        <v>26314.574137308373</v>
      </c>
      <c r="F47" s="40">
        <v>775878.17172244296</v>
      </c>
      <c r="G47" s="40">
        <v>20463.647043309134</v>
      </c>
      <c r="H47" s="40">
        <v>117243.94476780058</v>
      </c>
      <c r="I47" s="40">
        <v>28447.871987074152</v>
      </c>
      <c r="J47" s="40">
        <v>205191.31594588541</v>
      </c>
      <c r="K47" s="40">
        <v>260948.66488288809</v>
      </c>
      <c r="L47" s="40">
        <v>74536.628202111489</v>
      </c>
      <c r="M47" s="40">
        <v>136047.75975381085</v>
      </c>
      <c r="N47" s="40">
        <v>47825.890655533673</v>
      </c>
      <c r="O47" s="40">
        <v>55073.517926975728</v>
      </c>
      <c r="P47" s="40">
        <v>294058.51889287907</v>
      </c>
      <c r="Q47" s="40">
        <v>89170.422847802838</v>
      </c>
      <c r="R47" s="40">
        <v>104864.29038036401</v>
      </c>
      <c r="S47" s="40">
        <v>89821.277306310338</v>
      </c>
      <c r="T47" s="40">
        <v>-196016.57127365886</v>
      </c>
      <c r="U47" s="41">
        <v>2241433.810511603</v>
      </c>
    </row>
    <row r="48" spans="1:21" x14ac:dyDescent="0.25">
      <c r="A48" s="95"/>
      <c r="B48" s="50"/>
      <c r="C48" s="27" t="s">
        <v>51</v>
      </c>
      <c r="D48" s="44">
        <v>1027089.2694431023</v>
      </c>
      <c r="E48" s="44">
        <v>99949.106884268302</v>
      </c>
      <c r="F48" s="44">
        <v>4477821.7597486377</v>
      </c>
      <c r="G48" s="44">
        <v>83760.692155062599</v>
      </c>
      <c r="H48" s="44">
        <v>492749.20548560307</v>
      </c>
      <c r="I48" s="44">
        <v>110996.70060367711</v>
      </c>
      <c r="J48" s="44">
        <v>1002864.6154971181</v>
      </c>
      <c r="K48" s="44">
        <v>1142283.0272631745</v>
      </c>
      <c r="L48" s="44">
        <v>264318.40561451396</v>
      </c>
      <c r="M48" s="44">
        <v>556274.24549937085</v>
      </c>
      <c r="N48" s="44">
        <v>276392.05925732089</v>
      </c>
      <c r="O48" s="44">
        <v>204608.62918351055</v>
      </c>
      <c r="P48" s="44">
        <v>1156860.4517134815</v>
      </c>
      <c r="Q48" s="44">
        <v>378439.06082498655</v>
      </c>
      <c r="R48" s="44">
        <v>466746.95847553475</v>
      </c>
      <c r="S48" s="44">
        <v>310398.230406655</v>
      </c>
      <c r="T48" s="44">
        <v>-257891</v>
      </c>
      <c r="U48" s="45">
        <v>11793661.418056019</v>
      </c>
    </row>
    <row r="49" spans="1:21" x14ac:dyDescent="0.25">
      <c r="A49" s="95"/>
      <c r="B49" s="100">
        <v>2011</v>
      </c>
      <c r="C49" s="19" t="s">
        <v>28</v>
      </c>
      <c r="D49" s="12">
        <v>288087.7321963837</v>
      </c>
      <c r="E49" s="12">
        <v>23341.463486168552</v>
      </c>
      <c r="F49" s="12">
        <v>1015023.7538127415</v>
      </c>
      <c r="G49" s="12">
        <v>18940.81951341117</v>
      </c>
      <c r="H49" s="12">
        <v>105930.841766439</v>
      </c>
      <c r="I49" s="12">
        <v>29597.925881380179</v>
      </c>
      <c r="J49" s="12">
        <v>235810.68722705403</v>
      </c>
      <c r="K49" s="12">
        <v>252360.30415466262</v>
      </c>
      <c r="L49" s="12">
        <v>28327.35122705757</v>
      </c>
      <c r="M49" s="12">
        <v>120430.04866337244</v>
      </c>
      <c r="N49" s="12">
        <v>51559.781682787383</v>
      </c>
      <c r="O49" s="12">
        <v>50765.073104878094</v>
      </c>
      <c r="P49" s="12">
        <v>230980.74671907231</v>
      </c>
      <c r="Q49" s="12">
        <v>88661.274874333947</v>
      </c>
      <c r="R49" s="12">
        <v>113111.68167191555</v>
      </c>
      <c r="S49" s="12">
        <v>69076.355932438149</v>
      </c>
      <c r="T49" s="12">
        <v>-3331.7257680611656</v>
      </c>
      <c r="U49" s="39">
        <v>2718674.1161460346</v>
      </c>
    </row>
    <row r="50" spans="1:21" x14ac:dyDescent="0.25">
      <c r="A50" s="95"/>
      <c r="B50" s="100"/>
      <c r="C50" s="19" t="s">
        <v>29</v>
      </c>
      <c r="D50" s="12">
        <v>382920.44391074538</v>
      </c>
      <c r="E50" s="12">
        <v>21285.133380339663</v>
      </c>
      <c r="F50" s="12">
        <v>1054665.1012056279</v>
      </c>
      <c r="G50" s="12">
        <v>22903.12205743121</v>
      </c>
      <c r="H50" s="12">
        <v>119234.56202072941</v>
      </c>
      <c r="I50" s="12">
        <v>28332.805098799396</v>
      </c>
      <c r="J50" s="12">
        <v>220601.41134604253</v>
      </c>
      <c r="K50" s="12">
        <v>272811.68675768003</v>
      </c>
      <c r="L50" s="12">
        <v>63402.176725700192</v>
      </c>
      <c r="M50" s="12">
        <v>127891.91050686767</v>
      </c>
      <c r="N50" s="12">
        <v>65148.553032289637</v>
      </c>
      <c r="O50" s="12">
        <v>37442.364547625759</v>
      </c>
      <c r="P50" s="12">
        <v>234973.03084152882</v>
      </c>
      <c r="Q50" s="12">
        <v>92589.223180087458</v>
      </c>
      <c r="R50" s="12">
        <v>114359.26109749934</v>
      </c>
      <c r="S50" s="12">
        <v>80247.233733626374</v>
      </c>
      <c r="T50" s="12">
        <v>-3228.5356864544879</v>
      </c>
      <c r="U50" s="39">
        <v>2935579.4837561673</v>
      </c>
    </row>
    <row r="51" spans="1:21" x14ac:dyDescent="0.25">
      <c r="A51" s="95"/>
      <c r="B51" s="100"/>
      <c r="C51" s="19" t="s">
        <v>30</v>
      </c>
      <c r="D51" s="12">
        <v>214064.97390260908</v>
      </c>
      <c r="E51" s="12">
        <v>20481.72312234723</v>
      </c>
      <c r="F51" s="12">
        <v>1177578.0988159785</v>
      </c>
      <c r="G51" s="12">
        <v>21498.174844016805</v>
      </c>
      <c r="H51" s="12">
        <v>126168.09318924681</v>
      </c>
      <c r="I51" s="12">
        <v>26737.164293885613</v>
      </c>
      <c r="J51" s="12">
        <v>265534.72669237596</v>
      </c>
      <c r="K51" s="12">
        <v>296962.33920277702</v>
      </c>
      <c r="L51" s="12">
        <v>80926.968012584417</v>
      </c>
      <c r="M51" s="12">
        <v>150134.91125216425</v>
      </c>
      <c r="N51" s="12">
        <v>72838.895905932324</v>
      </c>
      <c r="O51" s="12">
        <v>55923.463681595953</v>
      </c>
      <c r="P51" s="12">
        <v>284958.11331854737</v>
      </c>
      <c r="Q51" s="12">
        <v>96833.746214557439</v>
      </c>
      <c r="R51" s="12">
        <v>115811.52560939001</v>
      </c>
      <c r="S51" s="12">
        <v>79993.576721049001</v>
      </c>
      <c r="T51" s="12">
        <v>-6404.6420744025445</v>
      </c>
      <c r="U51" s="39">
        <v>3080041.8527046554</v>
      </c>
    </row>
    <row r="52" spans="1:21" x14ac:dyDescent="0.25">
      <c r="A52" s="95"/>
      <c r="B52" s="101"/>
      <c r="C52" s="52" t="s">
        <v>31</v>
      </c>
      <c r="D52" s="40">
        <v>142016.1194333641</v>
      </c>
      <c r="E52" s="40">
        <v>34840.786895412864</v>
      </c>
      <c r="F52" s="40">
        <v>1230554.8059142902</v>
      </c>
      <c r="G52" s="40">
        <v>20418.575740203421</v>
      </c>
      <c r="H52" s="40">
        <v>141415.70850918785</v>
      </c>
      <c r="I52" s="40">
        <v>26328.805329611921</v>
      </c>
      <c r="J52" s="40">
        <v>280917.79023164551</v>
      </c>
      <c r="K52" s="40">
        <v>320148.69714805478</v>
      </c>
      <c r="L52" s="40">
        <v>91661.909649171794</v>
      </c>
      <c r="M52" s="40">
        <v>157817.37507696651</v>
      </c>
      <c r="N52" s="40">
        <v>86844.828636311533</v>
      </c>
      <c r="O52" s="40">
        <v>60477.727849410723</v>
      </c>
      <c r="P52" s="40">
        <v>405948.56083433307</v>
      </c>
      <c r="Q52" s="40">
        <v>100354.81655600773</v>
      </c>
      <c r="R52" s="40">
        <v>123464.49009672982</v>
      </c>
      <c r="S52" s="40">
        <v>81081.064019541489</v>
      </c>
      <c r="T52" s="40">
        <v>-244926.09647108181</v>
      </c>
      <c r="U52" s="41">
        <v>3059365.9654491614</v>
      </c>
    </row>
    <row r="53" spans="1:21" x14ac:dyDescent="0.25">
      <c r="A53" s="95"/>
      <c r="B53" s="50"/>
      <c r="C53" s="27" t="s">
        <v>51</v>
      </c>
      <c r="D53" s="44">
        <v>1198383.5576716331</v>
      </c>
      <c r="E53" s="44">
        <v>130743.76183197073</v>
      </c>
      <c r="F53" s="44">
        <v>5000143.5858316189</v>
      </c>
      <c r="G53" s="44">
        <v>81779.473962203934</v>
      </c>
      <c r="H53" s="44">
        <v>597871.17402302637</v>
      </c>
      <c r="I53" s="44">
        <v>121908.20765393855</v>
      </c>
      <c r="J53" s="44">
        <v>1529213.0181797571</v>
      </c>
      <c r="K53" s="44">
        <v>1374060.5860799069</v>
      </c>
      <c r="L53" s="44">
        <v>280634.55397452967</v>
      </c>
      <c r="M53" s="44">
        <v>632689.85181402427</v>
      </c>
      <c r="N53" s="44">
        <v>303496.26548826206</v>
      </c>
      <c r="O53" s="44">
        <v>232583.99225723784</v>
      </c>
      <c r="P53" s="44">
        <v>1366424.788251078</v>
      </c>
      <c r="Q53" s="44">
        <v>479741.36744899914</v>
      </c>
      <c r="R53" s="44">
        <v>542921.69063180196</v>
      </c>
      <c r="S53" s="44">
        <v>316064</v>
      </c>
      <c r="T53" s="44">
        <v>-482047.99999999994</v>
      </c>
      <c r="U53" s="45">
        <v>13706611.875099985</v>
      </c>
    </row>
    <row r="54" spans="1:21" x14ac:dyDescent="0.25">
      <c r="A54" s="95"/>
      <c r="B54" s="100">
        <v>2012</v>
      </c>
      <c r="C54" s="19" t="s">
        <v>28</v>
      </c>
      <c r="D54" s="12">
        <v>308483.09814699535</v>
      </c>
      <c r="E54" s="12">
        <v>27324.151028876833</v>
      </c>
      <c r="F54" s="12">
        <v>1366438.8403016126</v>
      </c>
      <c r="G54" s="12">
        <v>21040.85903956668</v>
      </c>
      <c r="H54" s="12">
        <v>117022.01522961754</v>
      </c>
      <c r="I54" s="12">
        <v>31954.215612906191</v>
      </c>
      <c r="J54" s="12">
        <v>342040.3660706206</v>
      </c>
      <c r="K54" s="12">
        <v>315630.43503924308</v>
      </c>
      <c r="L54" s="12">
        <v>30452.943615105254</v>
      </c>
      <c r="M54" s="12">
        <v>144344.4618594739</v>
      </c>
      <c r="N54" s="12">
        <v>72659.96612985601</v>
      </c>
      <c r="O54" s="12">
        <v>53230.222012053484</v>
      </c>
      <c r="P54" s="12">
        <v>273359.76717162027</v>
      </c>
      <c r="Q54" s="12">
        <v>110946.74834332342</v>
      </c>
      <c r="R54" s="12">
        <v>136471.10765386166</v>
      </c>
      <c r="S54" s="12">
        <v>68530.063929823911</v>
      </c>
      <c r="T54" s="12">
        <v>-6994.1025095804262</v>
      </c>
      <c r="U54" s="39">
        <v>3412935.1586749768</v>
      </c>
    </row>
    <row r="55" spans="1:21" x14ac:dyDescent="0.25">
      <c r="A55" s="95"/>
      <c r="B55" s="100"/>
      <c r="C55" s="19" t="s">
        <v>29</v>
      </c>
      <c r="D55" s="12">
        <v>428012.99227257731</v>
      </c>
      <c r="E55" s="12">
        <v>24850.809244273627</v>
      </c>
      <c r="F55" s="12">
        <v>1189299.1806885221</v>
      </c>
      <c r="G55" s="12">
        <v>21091.892252398462</v>
      </c>
      <c r="H55" s="12">
        <v>132669.37566040014</v>
      </c>
      <c r="I55" s="12">
        <v>31296.272130521418</v>
      </c>
      <c r="J55" s="12">
        <v>351981.29518694128</v>
      </c>
      <c r="K55" s="12">
        <v>332697.75861611386</v>
      </c>
      <c r="L55" s="12">
        <v>65731.911461203636</v>
      </c>
      <c r="M55" s="12">
        <v>152242.56673004801</v>
      </c>
      <c r="N55" s="12">
        <v>73224.040810611055</v>
      </c>
      <c r="O55" s="12">
        <v>49006.069251437475</v>
      </c>
      <c r="P55" s="12">
        <v>263687.79739438579</v>
      </c>
      <c r="Q55" s="12">
        <v>119381.130272482</v>
      </c>
      <c r="R55" s="12">
        <v>134836.89926905552</v>
      </c>
      <c r="S55" s="12">
        <v>82185.427157972677</v>
      </c>
      <c r="T55" s="12">
        <v>-7536.4801324562422</v>
      </c>
      <c r="U55" s="39">
        <v>3444658.9382664892</v>
      </c>
    </row>
    <row r="56" spans="1:21" x14ac:dyDescent="0.25">
      <c r="A56" s="95"/>
      <c r="B56" s="100"/>
      <c r="C56" s="19" t="s">
        <v>30</v>
      </c>
      <c r="D56" s="12">
        <v>264508.52274685865</v>
      </c>
      <c r="E56" s="12">
        <v>26265.12424139482</v>
      </c>
      <c r="F56" s="12">
        <v>1191974.4785534539</v>
      </c>
      <c r="G56" s="12">
        <v>18301.13750627041</v>
      </c>
      <c r="H56" s="12">
        <v>152492.40178315068</v>
      </c>
      <c r="I56" s="12">
        <v>29589.104608593814</v>
      </c>
      <c r="J56" s="12">
        <v>422233.30825426825</v>
      </c>
      <c r="K56" s="12">
        <v>353168.25665077381</v>
      </c>
      <c r="L56" s="12">
        <v>83981.498697674426</v>
      </c>
      <c r="M56" s="12">
        <v>171142.39429362331</v>
      </c>
      <c r="N56" s="12">
        <v>72637.566080961347</v>
      </c>
      <c r="O56" s="12">
        <v>69812.875205274788</v>
      </c>
      <c r="P56" s="12">
        <v>350275.37967345974</v>
      </c>
      <c r="Q56" s="12">
        <v>124492.48283810352</v>
      </c>
      <c r="R56" s="12">
        <v>132814.59377246423</v>
      </c>
      <c r="S56" s="12">
        <v>76903.632440868489</v>
      </c>
      <c r="T56" s="12">
        <v>-8351.659661723701</v>
      </c>
      <c r="U56" s="39">
        <v>3532241.0976854698</v>
      </c>
    </row>
    <row r="57" spans="1:21" x14ac:dyDescent="0.25">
      <c r="A57" s="95"/>
      <c r="B57" s="101"/>
      <c r="C57" s="52" t="s">
        <v>31</v>
      </c>
      <c r="D57" s="40">
        <v>197378.94450520186</v>
      </c>
      <c r="E57" s="40">
        <v>52303.677317425456</v>
      </c>
      <c r="F57" s="40">
        <v>1252431.08628803</v>
      </c>
      <c r="G57" s="40">
        <v>21345.585163968379</v>
      </c>
      <c r="H57" s="40">
        <v>195687.3813498579</v>
      </c>
      <c r="I57" s="40">
        <v>29068.615301917118</v>
      </c>
      <c r="J57" s="40">
        <v>412958.04866792687</v>
      </c>
      <c r="K57" s="40">
        <v>372564.1357737761</v>
      </c>
      <c r="L57" s="40">
        <v>100468.20020054636</v>
      </c>
      <c r="M57" s="40">
        <v>164960.4289308791</v>
      </c>
      <c r="N57" s="40">
        <v>84974.692466833658</v>
      </c>
      <c r="O57" s="40">
        <v>60534.825788472081</v>
      </c>
      <c r="P57" s="40">
        <v>479101.84401161224</v>
      </c>
      <c r="Q57" s="40">
        <v>124921.00599509016</v>
      </c>
      <c r="R57" s="40">
        <v>138799.0899364205</v>
      </c>
      <c r="S57" s="40">
        <v>88444.876471334923</v>
      </c>
      <c r="T57" s="40">
        <v>-459165.75769623957</v>
      </c>
      <c r="U57" s="41">
        <v>3316776.6804730534</v>
      </c>
    </row>
    <row r="58" spans="1:21" x14ac:dyDescent="0.25">
      <c r="A58" s="95"/>
      <c r="B58" s="50"/>
      <c r="C58" s="27" t="s">
        <v>51</v>
      </c>
      <c r="D58" s="44">
        <v>1380160.25107976</v>
      </c>
      <c r="E58" s="44">
        <v>152823.62683192699</v>
      </c>
      <c r="F58" s="44">
        <v>4701738.6178649506</v>
      </c>
      <c r="G58" s="44">
        <v>87686.705679442704</v>
      </c>
      <c r="H58" s="44">
        <v>709335.47799319122</v>
      </c>
      <c r="I58" s="44">
        <v>152149.50284282953</v>
      </c>
      <c r="J58" s="44">
        <v>1846297.2453134225</v>
      </c>
      <c r="K58" s="44">
        <v>1595524.3965819131</v>
      </c>
      <c r="L58" s="44">
        <v>367472.85768758424</v>
      </c>
      <c r="M58" s="44">
        <v>690075.65377951728</v>
      </c>
      <c r="N58" s="44">
        <v>356113.06047981931</v>
      </c>
      <c r="O58" s="44">
        <v>242218.87735638637</v>
      </c>
      <c r="P58" s="44">
        <v>1600972.1781433714</v>
      </c>
      <c r="Q58" s="44">
        <v>526327.06000081555</v>
      </c>
      <c r="R58" s="44">
        <v>610839.96211052849</v>
      </c>
      <c r="S58" s="44">
        <v>373927.99999999988</v>
      </c>
      <c r="T58" s="44">
        <v>-552903</v>
      </c>
      <c r="U58" s="45">
        <v>14840760.473745463</v>
      </c>
    </row>
    <row r="59" spans="1:21" x14ac:dyDescent="0.25">
      <c r="A59" s="95"/>
      <c r="B59" s="100">
        <v>2013</v>
      </c>
      <c r="C59" s="19" t="s">
        <v>28</v>
      </c>
      <c r="D59" s="12">
        <v>389098.88058618474</v>
      </c>
      <c r="E59" s="12">
        <v>34443.113370447427</v>
      </c>
      <c r="F59" s="12">
        <v>1217447.8061058638</v>
      </c>
      <c r="G59" s="12">
        <v>19825.920144109525</v>
      </c>
      <c r="H59" s="12">
        <v>139955.58842139848</v>
      </c>
      <c r="I59" s="12">
        <v>38311.387549020183</v>
      </c>
      <c r="J59" s="12">
        <v>453039.38432437135</v>
      </c>
      <c r="K59" s="12">
        <v>361809.28359360545</v>
      </c>
      <c r="L59" s="12">
        <v>37747.441839714244</v>
      </c>
      <c r="M59" s="12">
        <v>178303.09689505724</v>
      </c>
      <c r="N59" s="12">
        <v>78966.875974184339</v>
      </c>
      <c r="O59" s="12">
        <v>49245.835664327868</v>
      </c>
      <c r="P59" s="12">
        <v>358755.7229463465</v>
      </c>
      <c r="Q59" s="12">
        <v>129805.97397360974</v>
      </c>
      <c r="R59" s="12">
        <v>150989.40803467168</v>
      </c>
      <c r="S59" s="12">
        <v>82982.581121345138</v>
      </c>
      <c r="T59" s="12">
        <v>-8136.9984166414079</v>
      </c>
      <c r="U59" s="39">
        <v>3712591.3021276151</v>
      </c>
    </row>
    <row r="60" spans="1:21" x14ac:dyDescent="0.25">
      <c r="A60" s="95"/>
      <c r="B60" s="100"/>
      <c r="C60" s="19" t="s">
        <v>29</v>
      </c>
      <c r="D60" s="12">
        <v>542473.66189302399</v>
      </c>
      <c r="E60" s="12">
        <v>33187.7604186608</v>
      </c>
      <c r="F60" s="12">
        <v>1125508.990094915</v>
      </c>
      <c r="G60" s="12">
        <v>22087.228380712302</v>
      </c>
      <c r="H60" s="12">
        <v>171377.74696481033</v>
      </c>
      <c r="I60" s="12">
        <v>40911.603647527249</v>
      </c>
      <c r="J60" s="12">
        <v>424863.74596139113</v>
      </c>
      <c r="K60" s="12">
        <v>381660.46129213442</v>
      </c>
      <c r="L60" s="12">
        <v>88590.827807897513</v>
      </c>
      <c r="M60" s="12">
        <v>186760.23870629878</v>
      </c>
      <c r="N60" s="12">
        <v>86107.634670687505</v>
      </c>
      <c r="O60" s="12">
        <v>51220.536931808194</v>
      </c>
      <c r="P60" s="12">
        <v>340603.01456144848</v>
      </c>
      <c r="Q60" s="12">
        <v>132834.4781093928</v>
      </c>
      <c r="R60" s="12">
        <v>149879.57880963248</v>
      </c>
      <c r="S60" s="12">
        <v>87665.330021773567</v>
      </c>
      <c r="T60" s="12">
        <v>-27917.281949357119</v>
      </c>
      <c r="U60" s="39">
        <v>3837815.5563227572</v>
      </c>
    </row>
    <row r="61" spans="1:21" x14ac:dyDescent="0.25">
      <c r="A61" s="95"/>
      <c r="B61" s="100"/>
      <c r="C61" s="19" t="s">
        <v>30</v>
      </c>
      <c r="D61" s="12">
        <v>283303.71557299129</v>
      </c>
      <c r="E61" s="12">
        <v>32536.564667172956</v>
      </c>
      <c r="F61" s="12">
        <v>1213727.852383716</v>
      </c>
      <c r="G61" s="12">
        <v>23191.114259896865</v>
      </c>
      <c r="H61" s="12">
        <v>187210.22860317657</v>
      </c>
      <c r="I61" s="12">
        <v>33917.919525934092</v>
      </c>
      <c r="J61" s="12">
        <v>490122.47026360559</v>
      </c>
      <c r="K61" s="12">
        <v>410822.68538927007</v>
      </c>
      <c r="L61" s="12">
        <v>114403.62655703111</v>
      </c>
      <c r="M61" s="12">
        <v>179527.71824971866</v>
      </c>
      <c r="N61" s="12">
        <v>88775.800749682006</v>
      </c>
      <c r="O61" s="12">
        <v>71102.336036698092</v>
      </c>
      <c r="P61" s="12">
        <v>382600.21129184787</v>
      </c>
      <c r="Q61" s="12">
        <v>133401.88136491424</v>
      </c>
      <c r="R61" s="12">
        <v>149947.02736521157</v>
      </c>
      <c r="S61" s="12">
        <v>90074.020705117873</v>
      </c>
      <c r="T61" s="12">
        <v>-408017.47409398906</v>
      </c>
      <c r="U61" s="39">
        <v>3476647.6988919959</v>
      </c>
    </row>
    <row r="62" spans="1:21" x14ac:dyDescent="0.25">
      <c r="A62" s="95"/>
      <c r="B62" s="101"/>
      <c r="C62" s="52" t="s">
        <v>31</v>
      </c>
      <c r="D62" s="40">
        <v>165283.99302756003</v>
      </c>
      <c r="E62" s="40">
        <v>52656.18837564579</v>
      </c>
      <c r="F62" s="40">
        <v>1145053.9692804557</v>
      </c>
      <c r="G62" s="40">
        <v>22582.442894724019</v>
      </c>
      <c r="H62" s="40">
        <v>210791.91400380587</v>
      </c>
      <c r="I62" s="40">
        <v>39008.592120348025</v>
      </c>
      <c r="J62" s="40">
        <v>478271.64476405428</v>
      </c>
      <c r="K62" s="40">
        <v>441231.96630690311</v>
      </c>
      <c r="L62" s="40">
        <v>126730.96148294138</v>
      </c>
      <c r="M62" s="40">
        <v>145484.59992844262</v>
      </c>
      <c r="N62" s="40">
        <v>102262.74908526542</v>
      </c>
      <c r="O62" s="40">
        <v>70650.168723552226</v>
      </c>
      <c r="P62" s="40">
        <v>519013.22934372874</v>
      </c>
      <c r="Q62" s="40">
        <v>130284.72655289876</v>
      </c>
      <c r="R62" s="40">
        <v>160023.9479010127</v>
      </c>
      <c r="S62" s="40">
        <v>113206.06815176332</v>
      </c>
      <c r="T62" s="40">
        <v>-108831.24554001246</v>
      </c>
      <c r="U62" s="41">
        <v>3813705.9164030883</v>
      </c>
    </row>
    <row r="63" spans="1:21" x14ac:dyDescent="0.25">
      <c r="A63" s="95"/>
      <c r="B63" s="50"/>
      <c r="C63" s="27" t="s">
        <v>51</v>
      </c>
      <c r="D63" s="44">
        <v>1640875.6235084152</v>
      </c>
      <c r="E63" s="44">
        <v>214654.62954970205</v>
      </c>
      <c r="F63" s="44">
        <v>3995140.9541703956</v>
      </c>
      <c r="G63" s="44">
        <v>98126.582790311732</v>
      </c>
      <c r="H63" s="44">
        <v>764018.70884478965</v>
      </c>
      <c r="I63" s="44">
        <v>157005.46745076787</v>
      </c>
      <c r="J63" s="44">
        <v>2119960.961905513</v>
      </c>
      <c r="K63" s="44">
        <v>2228244.878360373</v>
      </c>
      <c r="L63" s="44">
        <v>343642.98605443409</v>
      </c>
      <c r="M63" s="44">
        <v>787242.496700146</v>
      </c>
      <c r="N63" s="44">
        <v>391253.58506184682</v>
      </c>
      <c r="O63" s="44">
        <v>235190.29458099406</v>
      </c>
      <c r="P63" s="44">
        <v>1818382.9258345314</v>
      </c>
      <c r="Q63" s="44">
        <v>544768.06606658548</v>
      </c>
      <c r="R63" s="44">
        <v>750871.61125242</v>
      </c>
      <c r="S63" s="44">
        <v>430590.58713054389</v>
      </c>
      <c r="T63" s="44">
        <v>-354302.53811586805</v>
      </c>
      <c r="U63" s="45">
        <v>16165667.821145894</v>
      </c>
    </row>
    <row r="64" spans="1:21" x14ac:dyDescent="0.25">
      <c r="A64" s="95"/>
      <c r="B64" s="100">
        <v>2014</v>
      </c>
      <c r="C64" s="19" t="s">
        <v>28</v>
      </c>
      <c r="D64" s="12">
        <v>519173.84222178068</v>
      </c>
      <c r="E64" s="12">
        <v>68345.384424486751</v>
      </c>
      <c r="F64" s="12">
        <v>1040766.1833140965</v>
      </c>
      <c r="G64" s="12">
        <v>21221.668641109747</v>
      </c>
      <c r="H64" s="12">
        <v>185428.64807853146</v>
      </c>
      <c r="I64" s="12">
        <v>42289.458845819681</v>
      </c>
      <c r="J64" s="12">
        <v>514948.32804846577</v>
      </c>
      <c r="K64" s="12">
        <v>475090.09672025306</v>
      </c>
      <c r="L64" s="12">
        <v>56442.266849398606</v>
      </c>
      <c r="M64" s="12">
        <v>204920.47211460237</v>
      </c>
      <c r="N64" s="12">
        <v>91058.180487100559</v>
      </c>
      <c r="O64" s="12">
        <v>51536.161836094579</v>
      </c>
      <c r="P64" s="12">
        <v>373269.09310586523</v>
      </c>
      <c r="Q64" s="12">
        <v>137557.08173086762</v>
      </c>
      <c r="R64" s="12">
        <v>187482.90374492723</v>
      </c>
      <c r="S64" s="12">
        <v>103218.03089017306</v>
      </c>
      <c r="T64" s="12">
        <v>-152925.228670618</v>
      </c>
      <c r="U64" s="39">
        <v>3919822.5723829553</v>
      </c>
    </row>
    <row r="65" spans="1:21" x14ac:dyDescent="0.25">
      <c r="A65" s="95"/>
      <c r="B65" s="100"/>
      <c r="C65" s="19" t="s">
        <v>29</v>
      </c>
      <c r="D65" s="12">
        <v>604460.64465697668</v>
      </c>
      <c r="E65" s="12">
        <v>44592.670803377099</v>
      </c>
      <c r="F65" s="12">
        <v>1093889.3287867892</v>
      </c>
      <c r="G65" s="12">
        <v>26655.570775847271</v>
      </c>
      <c r="H65" s="12">
        <v>178525.916495549</v>
      </c>
      <c r="I65" s="12">
        <v>35701.944913968415</v>
      </c>
      <c r="J65" s="12">
        <v>373159.17004440993</v>
      </c>
      <c r="K65" s="12">
        <v>513100.58691083273</v>
      </c>
      <c r="L65" s="12">
        <v>126203.77732457239</v>
      </c>
      <c r="M65" s="12">
        <v>215060.85826579685</v>
      </c>
      <c r="N65" s="12">
        <v>92547.244592573654</v>
      </c>
      <c r="O65" s="12">
        <v>52617.774637135444</v>
      </c>
      <c r="P65" s="12">
        <v>374464.07890612166</v>
      </c>
      <c r="Q65" s="12">
        <v>138336.33516059542</v>
      </c>
      <c r="R65" s="12">
        <v>190543.42281969174</v>
      </c>
      <c r="S65" s="12">
        <v>123776.6965167634</v>
      </c>
      <c r="T65" s="12">
        <v>-124822.08144228173</v>
      </c>
      <c r="U65" s="39">
        <v>4058813.9401687179</v>
      </c>
    </row>
    <row r="66" spans="1:21" x14ac:dyDescent="0.25">
      <c r="A66" s="95"/>
      <c r="B66" s="100"/>
      <c r="C66" s="19" t="s">
        <v>30</v>
      </c>
      <c r="D66" s="12">
        <v>318555.73423297342</v>
      </c>
      <c r="E66" s="12">
        <v>39620.507892730391</v>
      </c>
      <c r="F66" s="12">
        <v>1058842.8606094364</v>
      </c>
      <c r="G66" s="12">
        <v>26265.612415907824</v>
      </c>
      <c r="H66" s="12">
        <v>177340.88592266158</v>
      </c>
      <c r="I66" s="12">
        <v>35813.309225218087</v>
      </c>
      <c r="J66" s="12">
        <v>608752.35534789192</v>
      </c>
      <c r="K66" s="12">
        <v>582298.5501692543</v>
      </c>
      <c r="L66" s="12">
        <v>74453.939768221113</v>
      </c>
      <c r="M66" s="12">
        <v>200798.59176532022</v>
      </c>
      <c r="N66" s="12">
        <v>100128.74258858027</v>
      </c>
      <c r="O66" s="12">
        <v>48646.378523879102</v>
      </c>
      <c r="P66" s="12">
        <v>437272.99978968431</v>
      </c>
      <c r="Q66" s="12">
        <v>136800.07072598193</v>
      </c>
      <c r="R66" s="12">
        <v>181751.40917259749</v>
      </c>
      <c r="S66" s="12">
        <v>122988.45521719949</v>
      </c>
      <c r="T66" s="12">
        <v>-50673.590816514436</v>
      </c>
      <c r="U66" s="39">
        <v>4099656.8125510239</v>
      </c>
    </row>
    <row r="67" spans="1:21" x14ac:dyDescent="0.25">
      <c r="A67" s="95"/>
      <c r="B67" s="101"/>
      <c r="C67" s="52" t="s">
        <v>31</v>
      </c>
      <c r="D67" s="40">
        <v>198685.40239668443</v>
      </c>
      <c r="E67" s="40">
        <v>62096.066429107799</v>
      </c>
      <c r="F67" s="40">
        <v>801642.58146007324</v>
      </c>
      <c r="G67" s="40">
        <v>23983.730957446896</v>
      </c>
      <c r="H67" s="40">
        <v>222723.25834804768</v>
      </c>
      <c r="I67" s="40">
        <v>43200.754465761711</v>
      </c>
      <c r="J67" s="40">
        <v>623101.10846474546</v>
      </c>
      <c r="K67" s="40">
        <v>657755.64456003276</v>
      </c>
      <c r="L67" s="40">
        <v>86543.002112242</v>
      </c>
      <c r="M67" s="40">
        <v>166462.5745544266</v>
      </c>
      <c r="N67" s="40">
        <v>107519.41739359236</v>
      </c>
      <c r="O67" s="40">
        <v>82389.979583884939</v>
      </c>
      <c r="P67" s="40">
        <v>633376.75403286039</v>
      </c>
      <c r="Q67" s="40">
        <v>132074.57844914059</v>
      </c>
      <c r="R67" s="40">
        <v>191093.87551520349</v>
      </c>
      <c r="S67" s="40">
        <v>80607.404506407882</v>
      </c>
      <c r="T67" s="40">
        <v>-25881.637186453874</v>
      </c>
      <c r="U67" s="41">
        <v>4087374.4960432043</v>
      </c>
    </row>
    <row r="68" spans="1:21" x14ac:dyDescent="0.25">
      <c r="A68" s="95"/>
      <c r="B68" s="50"/>
      <c r="C68" s="27" t="s">
        <v>51</v>
      </c>
      <c r="D68" s="44">
        <v>1899851.4793126374</v>
      </c>
      <c r="E68" s="44">
        <v>260024.37217325397</v>
      </c>
      <c r="F68" s="44">
        <v>2607992.9277057014</v>
      </c>
      <c r="G68" s="44">
        <v>93147.279250019084</v>
      </c>
      <c r="H68" s="44">
        <v>828384.93019869644</v>
      </c>
      <c r="I68" s="44">
        <v>182525.87563522888</v>
      </c>
      <c r="J68" s="44">
        <v>2120053.3878588234</v>
      </c>
      <c r="K68" s="44">
        <v>2350525.4879440218</v>
      </c>
      <c r="L68" s="44">
        <v>384531.3417801733</v>
      </c>
      <c r="M68" s="44">
        <v>863166.93669357931</v>
      </c>
      <c r="N68" s="44">
        <v>393009.41241554834</v>
      </c>
      <c r="O68" s="44">
        <v>295802.26506063697</v>
      </c>
      <c r="P68" s="44">
        <v>1933012.0855653523</v>
      </c>
      <c r="Q68" s="44">
        <v>594799.63213071576</v>
      </c>
      <c r="R68" s="44">
        <v>753830.5031739577</v>
      </c>
      <c r="S68" s="44">
        <v>471057.30780678277</v>
      </c>
      <c r="T68" s="44">
        <v>-224397.89211850998</v>
      </c>
      <c r="U68" s="45">
        <v>15807317.332586622</v>
      </c>
    </row>
    <row r="69" spans="1:21" x14ac:dyDescent="0.25">
      <c r="A69" s="95"/>
      <c r="B69" s="100">
        <v>2015</v>
      </c>
      <c r="C69" s="19" t="s">
        <v>28</v>
      </c>
      <c r="D69" s="12">
        <v>531922.87882193225</v>
      </c>
      <c r="E69" s="12">
        <v>69462.056438088301</v>
      </c>
      <c r="F69" s="12">
        <v>588341.23369959905</v>
      </c>
      <c r="G69" s="12">
        <v>21498.969193389898</v>
      </c>
      <c r="H69" s="12">
        <v>199333.31449197276</v>
      </c>
      <c r="I69" s="12">
        <v>47282.387878091649</v>
      </c>
      <c r="J69" s="12">
        <v>441783.12787182635</v>
      </c>
      <c r="K69" s="12">
        <v>552897.63109488867</v>
      </c>
      <c r="L69" s="12">
        <v>65634.937803575478</v>
      </c>
      <c r="M69" s="12">
        <v>227067.37573638922</v>
      </c>
      <c r="N69" s="12">
        <v>89119.621879109487</v>
      </c>
      <c r="O69" s="12">
        <v>75819.101065180424</v>
      </c>
      <c r="P69" s="12">
        <v>418546.15164165938</v>
      </c>
      <c r="Q69" s="12">
        <v>138062.73135249727</v>
      </c>
      <c r="R69" s="12">
        <v>210452.08859659705</v>
      </c>
      <c r="S69" s="12">
        <v>108093.07104186152</v>
      </c>
      <c r="T69" s="12">
        <v>-111217.11928171814</v>
      </c>
      <c r="U69" s="39">
        <v>3674099.5593249416</v>
      </c>
    </row>
    <row r="70" spans="1:21" x14ac:dyDescent="0.25">
      <c r="A70" s="95"/>
      <c r="B70" s="100"/>
      <c r="C70" s="19" t="s">
        <v>29</v>
      </c>
      <c r="D70" s="12">
        <v>718873.41989479004</v>
      </c>
      <c r="E70" s="12">
        <v>46897.326713690585</v>
      </c>
      <c r="F70" s="12">
        <v>741503.96770410729</v>
      </c>
      <c r="G70" s="12">
        <v>21960.379397810186</v>
      </c>
      <c r="H70" s="12">
        <v>192834.9863844545</v>
      </c>
      <c r="I70" s="12">
        <v>44416.604620215192</v>
      </c>
      <c r="J70" s="12">
        <v>411390.94595676853</v>
      </c>
      <c r="K70" s="12">
        <v>556300.60770051309</v>
      </c>
      <c r="L70" s="12">
        <v>149522.51172502371</v>
      </c>
      <c r="M70" s="12">
        <v>232564.78281387279</v>
      </c>
      <c r="N70" s="12">
        <v>94720.004972073686</v>
      </c>
      <c r="O70" s="12">
        <v>71468.930507665442</v>
      </c>
      <c r="P70" s="12">
        <v>452851.1632773765</v>
      </c>
      <c r="Q70" s="12">
        <v>142845.17455558339</v>
      </c>
      <c r="R70" s="12">
        <v>186234.86981550822</v>
      </c>
      <c r="S70" s="12">
        <v>88166.504481452765</v>
      </c>
      <c r="T70" s="12">
        <v>-17573.258374276738</v>
      </c>
      <c r="U70" s="39">
        <v>4134978.9221466295</v>
      </c>
    </row>
    <row r="71" spans="1:21" x14ac:dyDescent="0.25">
      <c r="A71" s="95"/>
      <c r="B71" s="100"/>
      <c r="C71" s="19" t="s">
        <v>30</v>
      </c>
      <c r="D71" s="12">
        <v>391678.43331289687</v>
      </c>
      <c r="E71" s="12">
        <v>58056.315942151967</v>
      </c>
      <c r="F71" s="12">
        <v>677175.4528140747</v>
      </c>
      <c r="G71" s="12">
        <v>22736.751635666118</v>
      </c>
      <c r="H71" s="12">
        <v>192497.30077636446</v>
      </c>
      <c r="I71" s="12">
        <v>42542.775485733488</v>
      </c>
      <c r="J71" s="12">
        <v>655889.71168556332</v>
      </c>
      <c r="K71" s="12">
        <v>592299.44138809422</v>
      </c>
      <c r="L71" s="12">
        <v>87682.679543024657</v>
      </c>
      <c r="M71" s="12">
        <v>242346.14363780894</v>
      </c>
      <c r="N71" s="12">
        <v>99788.129481109776</v>
      </c>
      <c r="O71" s="12">
        <v>75349.136285164917</v>
      </c>
      <c r="P71" s="12">
        <v>479213.71300583711</v>
      </c>
      <c r="Q71" s="12">
        <v>153593.40702265425</v>
      </c>
      <c r="R71" s="12">
        <v>177690.62907337392</v>
      </c>
      <c r="S71" s="12">
        <v>95574.962777745852</v>
      </c>
      <c r="T71" s="12">
        <v>-7170.3166991950493</v>
      </c>
      <c r="U71" s="39">
        <v>4036944.6671680696</v>
      </c>
    </row>
    <row r="72" spans="1:21" x14ac:dyDescent="0.25">
      <c r="A72" s="95"/>
      <c r="B72" s="101"/>
      <c r="C72" s="52" t="s">
        <v>31</v>
      </c>
      <c r="D72" s="40">
        <v>257376.74728301831</v>
      </c>
      <c r="E72" s="40">
        <v>85608.673079323096</v>
      </c>
      <c r="F72" s="40">
        <v>600972.27348792052</v>
      </c>
      <c r="G72" s="40">
        <v>26951.179023152879</v>
      </c>
      <c r="H72" s="40">
        <v>243719.32854590466</v>
      </c>
      <c r="I72" s="40">
        <v>48284.10765118854</v>
      </c>
      <c r="J72" s="40">
        <v>610989.60234466533</v>
      </c>
      <c r="K72" s="40">
        <v>649027.80776052619</v>
      </c>
      <c r="L72" s="40">
        <v>81691.212708549472</v>
      </c>
      <c r="M72" s="40">
        <v>161188.63450550832</v>
      </c>
      <c r="N72" s="40">
        <v>109381.65608325534</v>
      </c>
      <c r="O72" s="40">
        <v>73165.097202626173</v>
      </c>
      <c r="P72" s="40">
        <v>582401.0576404793</v>
      </c>
      <c r="Q72" s="40">
        <v>160298.31919998085</v>
      </c>
      <c r="R72" s="40">
        <v>179452.91568847853</v>
      </c>
      <c r="S72" s="40">
        <v>179222.76950572265</v>
      </c>
      <c r="T72" s="40">
        <v>-88437.197763320073</v>
      </c>
      <c r="U72" s="41">
        <v>3961294.1839469797</v>
      </c>
    </row>
    <row r="73" spans="1:21" x14ac:dyDescent="0.25">
      <c r="A73" s="95"/>
      <c r="B73" s="50"/>
      <c r="C73" s="27" t="s">
        <v>51</v>
      </c>
      <c r="D73" s="44">
        <v>2421324.2425714284</v>
      </c>
      <c r="E73" s="44">
        <v>334182.52437877003</v>
      </c>
      <c r="F73" s="44">
        <v>2903001.5268959412</v>
      </c>
      <c r="G73" s="44">
        <v>126457.69312243335</v>
      </c>
      <c r="H73" s="44">
        <v>1102288.8687638673</v>
      </c>
      <c r="I73" s="44">
        <v>237357.46004619738</v>
      </c>
      <c r="J73" s="44">
        <v>2687433.0092887878</v>
      </c>
      <c r="K73" s="44">
        <v>2863803.66674414</v>
      </c>
      <c r="L73" s="44">
        <v>349092.53359373391</v>
      </c>
      <c r="M73" s="44">
        <v>971063.47242937994</v>
      </c>
      <c r="N73" s="44">
        <v>373146.9974858585</v>
      </c>
      <c r="O73" s="44">
        <v>369088.42040808161</v>
      </c>
      <c r="P73" s="44">
        <v>2003422.4455440193</v>
      </c>
      <c r="Q73" s="44">
        <v>828612.82219357404</v>
      </c>
      <c r="R73" s="44">
        <v>984024.02305969875</v>
      </c>
      <c r="S73" s="44">
        <v>578391.97297271993</v>
      </c>
      <c r="T73" s="44">
        <v>-71147.67793886998</v>
      </c>
      <c r="U73" s="45">
        <v>19061544.001559757</v>
      </c>
    </row>
    <row r="74" spans="1:21" x14ac:dyDescent="0.25">
      <c r="A74" s="95"/>
      <c r="B74" s="100">
        <v>2016</v>
      </c>
      <c r="C74" s="19" t="s">
        <v>28</v>
      </c>
      <c r="D74" s="12">
        <v>641270.17276595486</v>
      </c>
      <c r="E74" s="12">
        <v>61692.196747816466</v>
      </c>
      <c r="F74" s="12">
        <v>542984.07956372062</v>
      </c>
      <c r="G74" s="12">
        <v>31153.269684347833</v>
      </c>
      <c r="H74" s="12">
        <v>240636.45918925112</v>
      </c>
      <c r="I74" s="12">
        <v>63853.494553639626</v>
      </c>
      <c r="J74" s="12">
        <v>622712.28836880845</v>
      </c>
      <c r="K74" s="12">
        <v>667309.35693914175</v>
      </c>
      <c r="L74" s="12">
        <v>66796.576050698495</v>
      </c>
      <c r="M74" s="12">
        <v>224116.23697578401</v>
      </c>
      <c r="N74" s="12">
        <v>90303.273568506891</v>
      </c>
      <c r="O74" s="12">
        <v>88490.314370559456</v>
      </c>
      <c r="P74" s="12">
        <v>459799.73192237661</v>
      </c>
      <c r="Q74" s="12">
        <v>181004.70329854224</v>
      </c>
      <c r="R74" s="12">
        <v>236068.8793902059</v>
      </c>
      <c r="S74" s="12">
        <v>113661.92115151905</v>
      </c>
      <c r="T74" s="12">
        <v>-5588.3051457377442</v>
      </c>
      <c r="U74" s="39">
        <v>4326264.6493951343</v>
      </c>
    </row>
    <row r="75" spans="1:21" x14ac:dyDescent="0.25">
      <c r="A75" s="95"/>
      <c r="B75" s="100"/>
      <c r="C75" s="19" t="s">
        <v>29</v>
      </c>
      <c r="D75" s="12">
        <v>892888.50447282416</v>
      </c>
      <c r="E75" s="12">
        <v>56305.883202382742</v>
      </c>
      <c r="F75" s="12">
        <v>768394.11037647701</v>
      </c>
      <c r="G75" s="12">
        <v>26420.849353798822</v>
      </c>
      <c r="H75" s="12">
        <v>226384.9547421537</v>
      </c>
      <c r="I75" s="12">
        <v>58721.336730661496</v>
      </c>
      <c r="J75" s="12">
        <v>551179.33920483512</v>
      </c>
      <c r="K75" s="12">
        <v>677128.48244800966</v>
      </c>
      <c r="L75" s="12">
        <v>121848.05900567562</v>
      </c>
      <c r="M75" s="12">
        <v>260014.53557361901</v>
      </c>
      <c r="N75" s="12">
        <v>90427.920684595403</v>
      </c>
      <c r="O75" s="12">
        <v>91363.607901847819</v>
      </c>
      <c r="P75" s="12">
        <v>462529.27988918981</v>
      </c>
      <c r="Q75" s="12">
        <v>212654.0578094685</v>
      </c>
      <c r="R75" s="12">
        <v>227341.40219340805</v>
      </c>
      <c r="S75" s="12">
        <v>129582.16006976386</v>
      </c>
      <c r="T75" s="12">
        <v>-21964.650673863016</v>
      </c>
      <c r="U75" s="39">
        <v>4831219.832984847</v>
      </c>
    </row>
    <row r="76" spans="1:21" x14ac:dyDescent="0.25">
      <c r="A76" s="95"/>
      <c r="B76" s="100"/>
      <c r="C76" s="19" t="s">
        <v>30</v>
      </c>
      <c r="D76" s="12">
        <v>547321.88658765447</v>
      </c>
      <c r="E76" s="12">
        <v>85457.103101595349</v>
      </c>
      <c r="F76" s="12">
        <v>785701.12211448571</v>
      </c>
      <c r="G76" s="12">
        <v>35908.066059983197</v>
      </c>
      <c r="H76" s="12">
        <v>283602.79654039594</v>
      </c>
      <c r="I76" s="12">
        <v>54413.586986226415</v>
      </c>
      <c r="J76" s="12">
        <v>674858.69864448381</v>
      </c>
      <c r="K76" s="12">
        <v>744235.50795062375</v>
      </c>
      <c r="L76" s="12">
        <v>73854.882409798578</v>
      </c>
      <c r="M76" s="12">
        <v>294942.81313405582</v>
      </c>
      <c r="N76" s="12">
        <v>90531.885418908932</v>
      </c>
      <c r="O76" s="12">
        <v>94290.129289351433</v>
      </c>
      <c r="P76" s="12">
        <v>515449.17158808495</v>
      </c>
      <c r="Q76" s="12">
        <v>220189.2079643941</v>
      </c>
      <c r="R76" s="12">
        <v>242871.61972401376</v>
      </c>
      <c r="S76" s="12">
        <v>146297.5030835653</v>
      </c>
      <c r="T76" s="12">
        <v>-20590.391897076872</v>
      </c>
      <c r="U76" s="39">
        <v>4869335.588700545</v>
      </c>
    </row>
    <row r="77" spans="1:21" x14ac:dyDescent="0.25">
      <c r="A77" s="95"/>
      <c r="B77" s="101"/>
      <c r="C77" s="52" t="s">
        <v>31</v>
      </c>
      <c r="D77" s="40">
        <v>339843.67874499474</v>
      </c>
      <c r="E77" s="40">
        <v>130727.34132697551</v>
      </c>
      <c r="F77" s="40">
        <v>805922.21484125755</v>
      </c>
      <c r="G77" s="40">
        <v>32975.508024303512</v>
      </c>
      <c r="H77" s="40">
        <v>351664.65829206666</v>
      </c>
      <c r="I77" s="40">
        <v>60369.041775669837</v>
      </c>
      <c r="J77" s="40">
        <v>838682.68307066045</v>
      </c>
      <c r="K77" s="40">
        <v>775130.31940636481</v>
      </c>
      <c r="L77" s="40">
        <v>86593.016127561219</v>
      </c>
      <c r="M77" s="40">
        <v>191989.88674592113</v>
      </c>
      <c r="N77" s="40">
        <v>101883.91781384734</v>
      </c>
      <c r="O77" s="40">
        <v>94944.36884632289</v>
      </c>
      <c r="P77" s="40">
        <v>565644.26214436779</v>
      </c>
      <c r="Q77" s="40">
        <v>214764.85312116914</v>
      </c>
      <c r="R77" s="40">
        <v>277742.12175207114</v>
      </c>
      <c r="S77" s="40">
        <v>188850.38866787165</v>
      </c>
      <c r="T77" s="40">
        <v>-23004.330222192359</v>
      </c>
      <c r="U77" s="41">
        <v>5034723.9304792332</v>
      </c>
    </row>
    <row r="78" spans="1:21" x14ac:dyDescent="0.25">
      <c r="A78" s="95"/>
      <c r="B78" s="50"/>
      <c r="C78" s="27" t="s">
        <v>51</v>
      </c>
      <c r="D78" s="44">
        <v>3054389.7499235542</v>
      </c>
      <c r="E78" s="44">
        <v>409101.10371207242</v>
      </c>
      <c r="F78" s="44">
        <v>3665503.6871050028</v>
      </c>
      <c r="G78" s="44">
        <v>126985.41392688602</v>
      </c>
      <c r="H78" s="44">
        <v>1348899.5193166407</v>
      </c>
      <c r="I78" s="44">
        <v>236859.01122577291</v>
      </c>
      <c r="J78" s="44">
        <v>3262132.0387149486</v>
      </c>
      <c r="K78" s="44">
        <v>3811572.8892050497</v>
      </c>
      <c r="L78" s="44">
        <v>442355.11901505431</v>
      </c>
      <c r="M78" s="44">
        <v>1085345.8538202248</v>
      </c>
      <c r="N78" s="44">
        <v>385125.62205539929</v>
      </c>
      <c r="O78" s="44">
        <v>434114.63641698752</v>
      </c>
      <c r="P78" s="44">
        <v>2267412.1938586459</v>
      </c>
      <c r="Q78" s="44">
        <v>933723.37996536889</v>
      </c>
      <c r="R78" s="44">
        <v>1423199.3839658019</v>
      </c>
      <c r="S78" s="44">
        <v>712196.30225422245</v>
      </c>
      <c r="T78" s="44">
        <v>-53677.405404979989</v>
      </c>
      <c r="U78" s="45">
        <v>23545238.49907665</v>
      </c>
    </row>
    <row r="79" spans="1:21" x14ac:dyDescent="0.25">
      <c r="A79" s="95"/>
      <c r="B79" s="100">
        <v>2017</v>
      </c>
      <c r="C79" s="19" t="s">
        <v>28</v>
      </c>
      <c r="D79" s="12">
        <v>902358.38624945318</v>
      </c>
      <c r="E79" s="12">
        <v>90469.006793976805</v>
      </c>
      <c r="F79" s="12">
        <v>881665.53090272832</v>
      </c>
      <c r="G79" s="12">
        <v>31155.302603477827</v>
      </c>
      <c r="H79" s="12">
        <v>339542.42024895054</v>
      </c>
      <c r="I79" s="12">
        <v>58340.111758261737</v>
      </c>
      <c r="J79" s="12">
        <v>652195.36497837782</v>
      </c>
      <c r="K79" s="12">
        <v>870526.25806664699</v>
      </c>
      <c r="L79" s="12">
        <v>66377.696541289784</v>
      </c>
      <c r="M79" s="12">
        <v>271756.07857852877</v>
      </c>
      <c r="N79" s="12">
        <v>95604.041963708529</v>
      </c>
      <c r="O79" s="12">
        <v>104317.5558121592</v>
      </c>
      <c r="P79" s="12">
        <v>486671.48136084888</v>
      </c>
      <c r="Q79" s="12">
        <v>227535.31638803164</v>
      </c>
      <c r="R79" s="12">
        <v>346774.61805040523</v>
      </c>
      <c r="S79" s="12">
        <v>166601.68385292942</v>
      </c>
      <c r="T79" s="12">
        <v>-4134.1870689890611</v>
      </c>
      <c r="U79" s="39">
        <v>5587756.6670807861</v>
      </c>
    </row>
    <row r="80" spans="1:21" x14ac:dyDescent="0.25">
      <c r="A80" s="95"/>
      <c r="B80" s="100"/>
      <c r="C80" s="19" t="s">
        <v>29</v>
      </c>
      <c r="D80" s="12">
        <v>1069954.3044350157</v>
      </c>
      <c r="E80" s="12">
        <v>75233.674801265675</v>
      </c>
      <c r="F80" s="12">
        <v>830962.47159935615</v>
      </c>
      <c r="G80" s="12">
        <v>30399.178354609627</v>
      </c>
      <c r="H80" s="12">
        <v>264619.01966392738</v>
      </c>
      <c r="I80" s="12">
        <v>52294.072900875712</v>
      </c>
      <c r="J80" s="12">
        <v>573370.68105650751</v>
      </c>
      <c r="K80" s="12">
        <v>931788.40468060912</v>
      </c>
      <c r="L80" s="12">
        <v>156873.26727218466</v>
      </c>
      <c r="M80" s="12">
        <v>252400.25641568739</v>
      </c>
      <c r="N80" s="12">
        <v>94517.649920538097</v>
      </c>
      <c r="O80" s="12">
        <v>90621.008040335175</v>
      </c>
      <c r="P80" s="12">
        <v>506775.49998299376</v>
      </c>
      <c r="Q80" s="12">
        <v>231512.63404304464</v>
      </c>
      <c r="R80" s="12">
        <v>339485.02108416014</v>
      </c>
      <c r="S80" s="12">
        <v>189031.78333005428</v>
      </c>
      <c r="T80" s="12">
        <v>-17728.576603693171</v>
      </c>
      <c r="U80" s="39">
        <v>5672110.3509774702</v>
      </c>
    </row>
    <row r="81" spans="1:21" x14ac:dyDescent="0.25">
      <c r="A81" s="95"/>
      <c r="B81" s="100"/>
      <c r="C81" s="19" t="s">
        <v>30</v>
      </c>
      <c r="D81" s="12">
        <v>684069.61753643758</v>
      </c>
      <c r="E81" s="12">
        <v>113006.72616519561</v>
      </c>
      <c r="F81" s="12">
        <v>915939.98198282474</v>
      </c>
      <c r="G81" s="12">
        <v>28160.068696879734</v>
      </c>
      <c r="H81" s="12">
        <v>336398.40502719401</v>
      </c>
      <c r="I81" s="12">
        <v>57165.753540286976</v>
      </c>
      <c r="J81" s="12">
        <v>1024346.1363754085</v>
      </c>
      <c r="K81" s="12">
        <v>981941.3195761831</v>
      </c>
      <c r="L81" s="12">
        <v>100744.05421177174</v>
      </c>
      <c r="M81" s="12">
        <v>346564.60938145721</v>
      </c>
      <c r="N81" s="12">
        <v>97696.145657024157</v>
      </c>
      <c r="O81" s="12">
        <v>112177.34380652306</v>
      </c>
      <c r="P81" s="12">
        <v>546884.1484300592</v>
      </c>
      <c r="Q81" s="12">
        <v>232378.13801194157</v>
      </c>
      <c r="R81" s="12">
        <v>358208.32698564755</v>
      </c>
      <c r="S81" s="12">
        <v>182554.85448279558</v>
      </c>
      <c r="T81" s="12">
        <v>-21543.235355588153</v>
      </c>
      <c r="U81" s="39">
        <v>6096692.3945120415</v>
      </c>
    </row>
    <row r="82" spans="1:21" x14ac:dyDescent="0.25">
      <c r="A82" s="95"/>
      <c r="B82" s="101"/>
      <c r="C82" s="52" t="s">
        <v>31</v>
      </c>
      <c r="D82" s="40">
        <v>398007.44170264772</v>
      </c>
      <c r="E82" s="40">
        <v>130391.69595163439</v>
      </c>
      <c r="F82" s="40">
        <v>1036935.7026200937</v>
      </c>
      <c r="G82" s="40">
        <v>37270.864271918814</v>
      </c>
      <c r="H82" s="40">
        <v>408339.67437656864</v>
      </c>
      <c r="I82" s="40">
        <v>69059.073026348473</v>
      </c>
      <c r="J82" s="40">
        <v>1012219.8563046549</v>
      </c>
      <c r="K82" s="40">
        <v>1027316.9068816109</v>
      </c>
      <c r="L82" s="40">
        <v>118360.10098980812</v>
      </c>
      <c r="M82" s="40">
        <v>214624.90944455157</v>
      </c>
      <c r="N82" s="40">
        <v>97307.784514128522</v>
      </c>
      <c r="O82" s="40">
        <v>126998.72875797008</v>
      </c>
      <c r="P82" s="40">
        <v>727081.06408474408</v>
      </c>
      <c r="Q82" s="40">
        <v>242297.29152235104</v>
      </c>
      <c r="R82" s="40">
        <v>378731.41784558893</v>
      </c>
      <c r="S82" s="40">
        <v>174007.9805884432</v>
      </c>
      <c r="T82" s="40">
        <v>-10271.40637670961</v>
      </c>
      <c r="U82" s="41">
        <v>6188679.0865063537</v>
      </c>
    </row>
    <row r="83" spans="1:21" x14ac:dyDescent="0.25">
      <c r="A83" s="95"/>
      <c r="B83" s="50"/>
      <c r="C83" s="27" t="s">
        <v>51</v>
      </c>
      <c r="D83" s="44">
        <v>3433118.0635013627</v>
      </c>
      <c r="E83" s="44">
        <v>418531.84057234123</v>
      </c>
      <c r="F83" s="44">
        <v>6575536.7480544597</v>
      </c>
      <c r="G83" s="44">
        <v>224385.56591306831</v>
      </c>
      <c r="H83" s="44">
        <v>1559165.7837587697</v>
      </c>
      <c r="I83" s="44">
        <v>344913.70963161439</v>
      </c>
      <c r="J83" s="44">
        <v>3236941.6353582232</v>
      </c>
      <c r="K83" s="44">
        <v>4550808.1312514143</v>
      </c>
      <c r="L83" s="44">
        <v>528071.31651591673</v>
      </c>
      <c r="M83" s="44">
        <v>1156862.2219750993</v>
      </c>
      <c r="N83" s="44">
        <v>388332.86689297011</v>
      </c>
      <c r="O83" s="44">
        <v>678430.32274336251</v>
      </c>
      <c r="P83" s="44">
        <v>2354735.1858669287</v>
      </c>
      <c r="Q83" s="44">
        <v>1089167.8121490157</v>
      </c>
      <c r="R83" s="44">
        <v>1763320.7719484586</v>
      </c>
      <c r="S83" s="44">
        <v>939632.2912147101</v>
      </c>
      <c r="T83" s="44">
        <v>-48173.142954089999</v>
      </c>
      <c r="U83" s="45">
        <v>29193781.124393627</v>
      </c>
    </row>
    <row r="84" spans="1:21" x14ac:dyDescent="0.25">
      <c r="A84" s="95"/>
      <c r="B84" s="100">
        <v>2018</v>
      </c>
      <c r="C84" s="19" t="s">
        <v>28</v>
      </c>
      <c r="D84" s="12">
        <v>992264.74757930625</v>
      </c>
      <c r="E84" s="12">
        <v>101109.03656621749</v>
      </c>
      <c r="F84" s="12">
        <v>1301407.5831209659</v>
      </c>
      <c r="G84" s="12">
        <v>36661.88765171032</v>
      </c>
      <c r="H84" s="12">
        <v>380218.38848682801</v>
      </c>
      <c r="I84" s="12">
        <v>82819.466354368662</v>
      </c>
      <c r="J84" s="12">
        <v>481028.12193532399</v>
      </c>
      <c r="K84" s="12">
        <v>1088276.7681535324</v>
      </c>
      <c r="L84" s="12">
        <v>87767.031085001145</v>
      </c>
      <c r="M84" s="12">
        <v>292640.41865324648</v>
      </c>
      <c r="N84" s="12">
        <v>93383.698677783716</v>
      </c>
      <c r="O84" s="12">
        <v>135549.28042995092</v>
      </c>
      <c r="P84" s="12">
        <v>542928.0990079639</v>
      </c>
      <c r="Q84" s="12">
        <v>260272.09530974174</v>
      </c>
      <c r="R84" s="12">
        <v>460577.003003449</v>
      </c>
      <c r="S84" s="12">
        <v>223939.95898870824</v>
      </c>
      <c r="T84" s="12">
        <v>-1.0064038543836475</v>
      </c>
      <c r="U84" s="39">
        <v>6560842.5786002455</v>
      </c>
    </row>
    <row r="85" spans="1:21" x14ac:dyDescent="0.25">
      <c r="A85" s="95"/>
      <c r="B85" s="100"/>
      <c r="C85" s="19" t="s">
        <v>29</v>
      </c>
      <c r="D85" s="12">
        <v>1300059.0361747853</v>
      </c>
      <c r="E85" s="12">
        <v>99443.296039570327</v>
      </c>
      <c r="F85" s="12">
        <v>1607251.8300936017</v>
      </c>
      <c r="G85" s="12">
        <v>48161.853943623406</v>
      </c>
      <c r="H85" s="12">
        <v>331384.60614649032</v>
      </c>
      <c r="I85" s="12">
        <v>85227.968400762969</v>
      </c>
      <c r="J85" s="12">
        <v>547023.34595722856</v>
      </c>
      <c r="K85" s="12">
        <v>1073815.3879615832</v>
      </c>
      <c r="L85" s="12">
        <v>195948.53563632601</v>
      </c>
      <c r="M85" s="12">
        <v>303479.47382900206</v>
      </c>
      <c r="N85" s="12">
        <v>99163.576055816127</v>
      </c>
      <c r="O85" s="12">
        <v>154993.15444835628</v>
      </c>
      <c r="P85" s="12">
        <v>547516.06251693529</v>
      </c>
      <c r="Q85" s="12">
        <v>267957.11202341266</v>
      </c>
      <c r="R85" s="12">
        <v>395333.56125364348</v>
      </c>
      <c r="S85" s="12">
        <v>225494.35095785817</v>
      </c>
      <c r="T85" s="12">
        <v>-8688.4481823393562</v>
      </c>
      <c r="U85" s="39">
        <v>7273564.7032566564</v>
      </c>
    </row>
    <row r="86" spans="1:21" x14ac:dyDescent="0.25">
      <c r="A86" s="95"/>
      <c r="B86" s="100"/>
      <c r="C86" s="19" t="s">
        <v>30</v>
      </c>
      <c r="D86" s="12">
        <v>709384.15387179016</v>
      </c>
      <c r="E86" s="12">
        <v>95175.690996185745</v>
      </c>
      <c r="F86" s="12">
        <v>1833028.4066404267</v>
      </c>
      <c r="G86" s="12">
        <v>52990.305924497494</v>
      </c>
      <c r="H86" s="12">
        <v>359197.90255394275</v>
      </c>
      <c r="I86" s="12">
        <v>80284.715773107411</v>
      </c>
      <c r="J86" s="12">
        <v>984648.57782605465</v>
      </c>
      <c r="K86" s="12">
        <v>1133950.2718347735</v>
      </c>
      <c r="L86" s="12">
        <v>115184.03498154545</v>
      </c>
      <c r="M86" s="12">
        <v>340863.47411107435</v>
      </c>
      <c r="N86" s="12">
        <v>107622.5429785194</v>
      </c>
      <c r="O86" s="12">
        <v>169928.84003005168</v>
      </c>
      <c r="P86" s="12">
        <v>597027.03688573372</v>
      </c>
      <c r="Q86" s="12">
        <v>278403.09638659179</v>
      </c>
      <c r="R86" s="12">
        <v>448497.65374790685</v>
      </c>
      <c r="S86" s="12">
        <v>231170.83992600668</v>
      </c>
      <c r="T86" s="12">
        <v>-4500.6858892863065</v>
      </c>
      <c r="U86" s="39">
        <v>7532856.8585789232</v>
      </c>
    </row>
    <row r="87" spans="1:21" x14ac:dyDescent="0.25">
      <c r="A87" s="95"/>
      <c r="B87" s="101"/>
      <c r="C87" s="52" t="s">
        <v>31</v>
      </c>
      <c r="D87" s="40">
        <v>431410.12587548117</v>
      </c>
      <c r="E87" s="40">
        <v>122803.81697036765</v>
      </c>
      <c r="F87" s="40">
        <v>1833848.9281994656</v>
      </c>
      <c r="G87" s="40">
        <v>86571.518393237071</v>
      </c>
      <c r="H87" s="40">
        <v>488364.88657150848</v>
      </c>
      <c r="I87" s="40">
        <v>96581.559103375374</v>
      </c>
      <c r="J87" s="40">
        <v>1224241.5896396162</v>
      </c>
      <c r="K87" s="40">
        <v>1254765.703301525</v>
      </c>
      <c r="L87" s="40">
        <v>129171.71481304408</v>
      </c>
      <c r="M87" s="40">
        <v>219878.85538177623</v>
      </c>
      <c r="N87" s="40">
        <v>88163.049180850838</v>
      </c>
      <c r="O87" s="40">
        <v>217959.04783500367</v>
      </c>
      <c r="P87" s="40">
        <v>667263.98745629576</v>
      </c>
      <c r="Q87" s="40">
        <v>282535.50842926966</v>
      </c>
      <c r="R87" s="40">
        <v>458912.55394345918</v>
      </c>
      <c r="S87" s="40">
        <v>259027.14134213704</v>
      </c>
      <c r="T87" s="40">
        <v>-34983.002478609953</v>
      </c>
      <c r="U87" s="41">
        <v>7826516.9839578029</v>
      </c>
    </row>
    <row r="88" spans="1:21" x14ac:dyDescent="0.25">
      <c r="A88" s="95"/>
      <c r="B88" s="50"/>
      <c r="C88" s="27" t="s">
        <v>51</v>
      </c>
      <c r="D88" s="44">
        <v>3857592.6562655326</v>
      </c>
      <c r="E88" s="44">
        <v>422128.63903248881</v>
      </c>
      <c r="F88" s="44">
        <v>8158227.8928800412</v>
      </c>
      <c r="G88" s="44">
        <v>334550.92189212586</v>
      </c>
      <c r="H88" s="44">
        <v>1879668.6159055077</v>
      </c>
      <c r="I88" s="44">
        <v>457090.39610783529</v>
      </c>
      <c r="J88" s="44">
        <v>3818307.5997921829</v>
      </c>
      <c r="K88" s="44">
        <v>5447296.3518024245</v>
      </c>
      <c r="L88" s="44">
        <v>623080.94192316558</v>
      </c>
      <c r="M88" s="44">
        <v>1300653.7798579838</v>
      </c>
      <c r="N88" s="44">
        <v>381681.3546033341</v>
      </c>
      <c r="O88" s="44">
        <v>732922.46569033363</v>
      </c>
      <c r="P88" s="44">
        <v>3196761.3073293325</v>
      </c>
      <c r="Q88" s="44">
        <v>1281975.9169094944</v>
      </c>
      <c r="R88" s="44">
        <v>2064769.1289405122</v>
      </c>
      <c r="S88" s="44">
        <v>814130.29810387013</v>
      </c>
      <c r="T88" s="44">
        <v>-35803.436061610002</v>
      </c>
      <c r="U88" s="45">
        <v>34735034.830974557</v>
      </c>
    </row>
    <row r="89" spans="1:21" x14ac:dyDescent="0.25">
      <c r="A89" s="95"/>
      <c r="B89" s="100">
        <v>2019</v>
      </c>
      <c r="C89" s="19" t="s">
        <v>28</v>
      </c>
      <c r="D89" s="12">
        <v>1083214.0368691874</v>
      </c>
      <c r="E89" s="12">
        <v>116417.37340551421</v>
      </c>
      <c r="F89" s="12">
        <v>1743561.9765954348</v>
      </c>
      <c r="G89" s="12">
        <v>72662.170636234907</v>
      </c>
      <c r="H89" s="12">
        <v>408458.11306484288</v>
      </c>
      <c r="I89" s="12">
        <v>106444.47897733111</v>
      </c>
      <c r="J89" s="12">
        <v>828101.07620190934</v>
      </c>
      <c r="K89" s="12">
        <v>1297703.6591921397</v>
      </c>
      <c r="L89" s="12">
        <v>104823.6113548594</v>
      </c>
      <c r="M89" s="12">
        <v>307448.10268540325</v>
      </c>
      <c r="N89" s="12">
        <v>95045.481723211327</v>
      </c>
      <c r="O89" s="12">
        <v>124714.26893143638</v>
      </c>
      <c r="P89" s="12">
        <v>691958.46738533559</v>
      </c>
      <c r="Q89" s="12">
        <v>297368.6213444664</v>
      </c>
      <c r="R89" s="12">
        <v>489195.46943188936</v>
      </c>
      <c r="S89" s="12">
        <v>162941.07511298306</v>
      </c>
      <c r="T89" s="12">
        <v>-0.99942405561337444</v>
      </c>
      <c r="U89" s="39">
        <v>7930056.9834881248</v>
      </c>
    </row>
    <row r="90" spans="1:21" x14ac:dyDescent="0.25">
      <c r="A90" s="95"/>
      <c r="B90" s="100"/>
      <c r="C90" s="19" t="s">
        <v>29</v>
      </c>
      <c r="D90" s="12">
        <v>1460809.3804164524</v>
      </c>
      <c r="E90" s="12">
        <v>91340.537362955234</v>
      </c>
      <c r="F90" s="12">
        <v>2007673.2867844265</v>
      </c>
      <c r="G90" s="12">
        <v>76062.621210940415</v>
      </c>
      <c r="H90" s="12">
        <v>417169.50154923851</v>
      </c>
      <c r="I90" s="12">
        <v>102589.41220304574</v>
      </c>
      <c r="J90" s="12">
        <v>537228.31367808487</v>
      </c>
      <c r="K90" s="12">
        <v>1305009.2865151342</v>
      </c>
      <c r="L90" s="12">
        <v>224668.35437548714</v>
      </c>
      <c r="M90" s="12">
        <v>309323.99682523083</v>
      </c>
      <c r="N90" s="12">
        <v>96659.215953404622</v>
      </c>
      <c r="O90" s="12">
        <v>126563.7214612622</v>
      </c>
      <c r="P90" s="12">
        <v>629719.16544858424</v>
      </c>
      <c r="Q90" s="12">
        <v>315966.70516704803</v>
      </c>
      <c r="R90" s="12">
        <v>494693.21630872798</v>
      </c>
      <c r="S90" s="12">
        <v>165476.77359691972</v>
      </c>
      <c r="T90" s="12">
        <v>-16464.797400359195</v>
      </c>
      <c r="U90" s="39">
        <v>8344488.6914565833</v>
      </c>
    </row>
    <row r="91" spans="1:21" x14ac:dyDescent="0.25">
      <c r="A91" s="95"/>
      <c r="B91" s="100"/>
      <c r="C91" s="19" t="s">
        <v>30</v>
      </c>
      <c r="D91" s="12">
        <v>814145.93723080016</v>
      </c>
      <c r="E91" s="12">
        <v>86030.075443305497</v>
      </c>
      <c r="F91" s="12">
        <v>1910575.960417599</v>
      </c>
      <c r="G91" s="12">
        <v>82788.373193225532</v>
      </c>
      <c r="H91" s="12">
        <v>444275.48952375056</v>
      </c>
      <c r="I91" s="12">
        <v>110570.20610278953</v>
      </c>
      <c r="J91" s="12">
        <v>1159548.3706207767</v>
      </c>
      <c r="K91" s="12">
        <v>1378396.7122275599</v>
      </c>
      <c r="L91" s="12">
        <v>136375.85817905291</v>
      </c>
      <c r="M91" s="12">
        <v>357876.12301239447</v>
      </c>
      <c r="N91" s="12">
        <v>104623.70396991656</v>
      </c>
      <c r="O91" s="12">
        <v>123513.03444865083</v>
      </c>
      <c r="P91" s="12">
        <v>879645.80134970893</v>
      </c>
      <c r="Q91" s="12">
        <v>333614.36461632844</v>
      </c>
      <c r="R91" s="12">
        <v>525351.5429226089</v>
      </c>
      <c r="S91" s="12">
        <v>174736.52296776936</v>
      </c>
      <c r="T91" s="12">
        <v>-17062.148245442157</v>
      </c>
      <c r="U91" s="39">
        <v>8605005.9279807936</v>
      </c>
    </row>
    <row r="92" spans="1:21" x14ac:dyDescent="0.25">
      <c r="A92" s="95"/>
      <c r="B92" s="101"/>
      <c r="C92" s="52" t="s">
        <v>31</v>
      </c>
      <c r="D92" s="40">
        <v>499423.30174909229</v>
      </c>
      <c r="E92" s="40">
        <v>128340.65282071388</v>
      </c>
      <c r="F92" s="40">
        <v>2496416.6690825801</v>
      </c>
      <c r="G92" s="40">
        <v>103037.75685172502</v>
      </c>
      <c r="H92" s="40">
        <v>609765.51176767587</v>
      </c>
      <c r="I92" s="40">
        <v>137486.29882466892</v>
      </c>
      <c r="J92" s="40">
        <v>1293429.8392914119</v>
      </c>
      <c r="K92" s="40">
        <v>1466186.693867591</v>
      </c>
      <c r="L92" s="40">
        <v>157213.11801376616</v>
      </c>
      <c r="M92" s="40">
        <v>326005.55733495532</v>
      </c>
      <c r="N92" s="40">
        <v>85352.952956801586</v>
      </c>
      <c r="O92" s="40">
        <v>358131.44084898423</v>
      </c>
      <c r="P92" s="40">
        <v>995437.87314570358</v>
      </c>
      <c r="Q92" s="40">
        <v>335026.22578165174</v>
      </c>
      <c r="R92" s="40">
        <v>555528.90027728607</v>
      </c>
      <c r="S92" s="40">
        <v>310975.92642619798</v>
      </c>
      <c r="T92" s="40">
        <v>-2275.4909917530363</v>
      </c>
      <c r="U92" s="41">
        <v>9855483.2280490529</v>
      </c>
    </row>
    <row r="93" spans="1:21" x14ac:dyDescent="0.25">
      <c r="A93" s="95"/>
      <c r="B93" s="50"/>
      <c r="C93" s="27" t="s">
        <v>51</v>
      </c>
      <c r="D93" s="44">
        <v>5261937.729484247</v>
      </c>
      <c r="E93" s="44">
        <v>516588.39936966472</v>
      </c>
      <c r="F93" s="44">
        <v>7589421.6800267939</v>
      </c>
      <c r="G93" s="44">
        <v>617871.63056451292</v>
      </c>
      <c r="H93" s="44">
        <v>2331889.9990587709</v>
      </c>
      <c r="I93" s="44">
        <v>586941.85082116909</v>
      </c>
      <c r="J93" s="44">
        <v>3076824.7160092695</v>
      </c>
      <c r="K93" s="44">
        <v>6901648.9946972057</v>
      </c>
      <c r="L93" s="44">
        <v>769538.20398309652</v>
      </c>
      <c r="M93" s="44">
        <v>885325.64033187716</v>
      </c>
      <c r="N93" s="44">
        <v>344125.99300425116</v>
      </c>
      <c r="O93" s="44">
        <v>862436.16425802768</v>
      </c>
      <c r="P93" s="44">
        <v>3727321.5113634956</v>
      </c>
      <c r="Q93" s="44">
        <v>1360710.2681670208</v>
      </c>
      <c r="R93" s="44">
        <v>2507978.2454789681</v>
      </c>
      <c r="S93" s="44">
        <v>1463757.8480866002</v>
      </c>
      <c r="T93" s="44">
        <v>-560671.89931941405</v>
      </c>
      <c r="U93" s="45">
        <v>38243646.975385554</v>
      </c>
    </row>
    <row r="94" spans="1:21" x14ac:dyDescent="0.25">
      <c r="A94" s="95"/>
      <c r="B94" s="100">
        <v>2020</v>
      </c>
      <c r="C94" s="19" t="s">
        <v>28</v>
      </c>
      <c r="D94" s="12">
        <v>1414563.9473993692</v>
      </c>
      <c r="E94" s="12">
        <v>146960.32490561705</v>
      </c>
      <c r="F94" s="12">
        <v>2121868.4754200047</v>
      </c>
      <c r="G94" s="12">
        <v>152073.2510614541</v>
      </c>
      <c r="H94" s="12">
        <v>530196.61055187776</v>
      </c>
      <c r="I94" s="12">
        <v>145985.08915386981</v>
      </c>
      <c r="J94" s="12">
        <v>744626.69665142882</v>
      </c>
      <c r="K94" s="12">
        <v>1583367.656542355</v>
      </c>
      <c r="L94" s="12">
        <v>125256.75141883956</v>
      </c>
      <c r="M94" s="12">
        <v>318348.63363155012</v>
      </c>
      <c r="N94" s="12">
        <v>84463.046777721174</v>
      </c>
      <c r="O94" s="12">
        <v>185665.76235223262</v>
      </c>
      <c r="P94" s="12">
        <v>838967.62365759129</v>
      </c>
      <c r="Q94" s="12">
        <v>358400.95046365686</v>
      </c>
      <c r="R94" s="12">
        <v>680950.01864157943</v>
      </c>
      <c r="S94" s="12">
        <v>330130.9766451171</v>
      </c>
      <c r="T94" s="12">
        <v>-178179.53411200413</v>
      </c>
      <c r="U94" s="39">
        <v>9583646.2811622582</v>
      </c>
    </row>
    <row r="95" spans="1:21" x14ac:dyDescent="0.25">
      <c r="A95" s="95"/>
      <c r="B95" s="100"/>
      <c r="C95" s="19" t="s">
        <v>29</v>
      </c>
      <c r="D95" s="12">
        <v>1887320.7363920065</v>
      </c>
      <c r="E95" s="12">
        <v>96614.946772043448</v>
      </c>
      <c r="F95" s="12">
        <v>1247945.0727901971</v>
      </c>
      <c r="G95" s="12">
        <v>122715.62208671711</v>
      </c>
      <c r="H95" s="12">
        <v>458683.05723054498</v>
      </c>
      <c r="I95" s="12">
        <v>142972.49315773664</v>
      </c>
      <c r="J95" s="12">
        <v>419936.35280708078</v>
      </c>
      <c r="K95" s="12">
        <v>1382539.4995753479</v>
      </c>
      <c r="L95" s="12">
        <v>279495.64086773002</v>
      </c>
      <c r="M95" s="12">
        <v>70821.733258943786</v>
      </c>
      <c r="N95" s="12">
        <v>86289.785389495999</v>
      </c>
      <c r="O95" s="12">
        <v>215219.38316914134</v>
      </c>
      <c r="P95" s="12">
        <v>840521.86483291595</v>
      </c>
      <c r="Q95" s="12">
        <v>290811.96680414432</v>
      </c>
      <c r="R95" s="12">
        <v>479683.68539688119</v>
      </c>
      <c r="S95" s="12">
        <v>335188.91556326527</v>
      </c>
      <c r="T95" s="12">
        <v>-75132.235887055023</v>
      </c>
      <c r="U95" s="39">
        <v>8281628.5202071378</v>
      </c>
    </row>
    <row r="96" spans="1:21" x14ac:dyDescent="0.25">
      <c r="A96" s="95"/>
      <c r="B96" s="100"/>
      <c r="C96" s="19" t="s">
        <v>30</v>
      </c>
      <c r="D96" s="12">
        <v>1148697.0423357578</v>
      </c>
      <c r="E96" s="12">
        <v>94859.822580815715</v>
      </c>
      <c r="F96" s="12">
        <v>2044051.0466034806</v>
      </c>
      <c r="G96" s="12">
        <v>164038.5378643467</v>
      </c>
      <c r="H96" s="12">
        <v>558562.43170861981</v>
      </c>
      <c r="I96" s="12">
        <v>135467.98279961152</v>
      </c>
      <c r="J96" s="12">
        <v>879115.73607361969</v>
      </c>
      <c r="K96" s="12">
        <v>1746217.3960293168</v>
      </c>
      <c r="L96" s="12">
        <v>170436.95820426845</v>
      </c>
      <c r="M96" s="12">
        <v>129251.4749994647</v>
      </c>
      <c r="N96" s="12">
        <v>90687.604439259434</v>
      </c>
      <c r="O96" s="12">
        <v>217277.60420812466</v>
      </c>
      <c r="P96" s="12">
        <v>1017503.3320090846</v>
      </c>
      <c r="Q96" s="12">
        <v>333135.23097267031</v>
      </c>
      <c r="R96" s="12">
        <v>666200.06835407822</v>
      </c>
      <c r="S96" s="12">
        <v>383473.04152285616</v>
      </c>
      <c r="T96" s="12">
        <v>-138015.8398971131</v>
      </c>
      <c r="U96" s="39">
        <v>9640959.470808262</v>
      </c>
    </row>
    <row r="97" spans="1:21" x14ac:dyDescent="0.25">
      <c r="A97" s="95"/>
      <c r="B97" s="101"/>
      <c r="C97" s="52" t="s">
        <v>31</v>
      </c>
      <c r="D97" s="40">
        <v>811356.00335711346</v>
      </c>
      <c r="E97" s="40">
        <v>178153.3051111885</v>
      </c>
      <c r="F97" s="40">
        <v>2175557.0852131112</v>
      </c>
      <c r="G97" s="40">
        <v>179044.21955199505</v>
      </c>
      <c r="H97" s="40">
        <v>784447.8995677284</v>
      </c>
      <c r="I97" s="40">
        <v>162516.28570995119</v>
      </c>
      <c r="J97" s="40">
        <v>1033145.9304771405</v>
      </c>
      <c r="K97" s="40">
        <v>2189524.4425501865</v>
      </c>
      <c r="L97" s="40">
        <v>194348.85349225844</v>
      </c>
      <c r="M97" s="40">
        <v>366903.79844191851</v>
      </c>
      <c r="N97" s="40">
        <v>82685.556397774519</v>
      </c>
      <c r="O97" s="40">
        <v>244273.41452852901</v>
      </c>
      <c r="P97" s="40">
        <v>1030328.6908639035</v>
      </c>
      <c r="Q97" s="40">
        <v>378362.11992654932</v>
      </c>
      <c r="R97" s="40">
        <v>681144.47308642929</v>
      </c>
      <c r="S97" s="40">
        <v>414964.91435536166</v>
      </c>
      <c r="T97" s="40">
        <v>-169344.28942324177</v>
      </c>
      <c r="U97" s="41">
        <v>10737412.703207895</v>
      </c>
    </row>
    <row r="98" spans="1:21" x14ac:dyDescent="0.25">
      <c r="A98" s="95"/>
      <c r="B98" s="50"/>
      <c r="C98" s="27" t="s">
        <v>51</v>
      </c>
      <c r="D98" s="44">
        <v>7820665.4445394091</v>
      </c>
      <c r="E98" s="44">
        <v>1003193.3569132697</v>
      </c>
      <c r="F98" s="44">
        <v>12493797.045050323</v>
      </c>
      <c r="G98" s="44">
        <v>668599.71993117454</v>
      </c>
      <c r="H98" s="44">
        <v>3246989.393579456</v>
      </c>
      <c r="I98" s="44">
        <v>751082.08705989528</v>
      </c>
      <c r="J98" s="44">
        <v>3281946.3651465802</v>
      </c>
      <c r="K98" s="44">
        <v>9868188.5456037279</v>
      </c>
      <c r="L98" s="44">
        <v>727501.86514569924</v>
      </c>
      <c r="M98" s="44">
        <v>1334423.0103964619</v>
      </c>
      <c r="N98" s="44">
        <v>348777.53737082338</v>
      </c>
      <c r="O98" s="44">
        <v>871229.20376485237</v>
      </c>
      <c r="P98" s="44">
        <v>4469701.5255987504</v>
      </c>
      <c r="Q98" s="44">
        <v>1564887.0387706265</v>
      </c>
      <c r="R98" s="44">
        <v>3397648.9976837477</v>
      </c>
      <c r="S98" s="44">
        <v>1826380.43585019</v>
      </c>
      <c r="T98" s="44">
        <v>-1251263.1963042</v>
      </c>
      <c r="U98" s="45">
        <v>52423748.376100779</v>
      </c>
    </row>
    <row r="99" spans="1:21" x14ac:dyDescent="0.25">
      <c r="A99" s="95"/>
      <c r="B99" s="100">
        <v>2021</v>
      </c>
      <c r="C99" s="19" t="s">
        <v>28</v>
      </c>
      <c r="D99" s="12">
        <v>1765898.8179584679</v>
      </c>
      <c r="E99" s="12">
        <v>255586.84473842711</v>
      </c>
      <c r="F99" s="12">
        <v>2778783.6683826325</v>
      </c>
      <c r="G99" s="12">
        <v>215196.74844972245</v>
      </c>
      <c r="H99" s="12">
        <v>671862.00689571479</v>
      </c>
      <c r="I99" s="12">
        <v>182675.56836801421</v>
      </c>
      <c r="J99" s="12">
        <v>661338.38901930954</v>
      </c>
      <c r="K99" s="12">
        <v>1906111.2336227959</v>
      </c>
      <c r="L99" s="12">
        <v>156550.94893042668</v>
      </c>
      <c r="M99" s="12">
        <v>351215.90935763338</v>
      </c>
      <c r="N99" s="12">
        <v>82003.119261073065</v>
      </c>
      <c r="O99" s="12">
        <v>230128.54517547073</v>
      </c>
      <c r="P99" s="12">
        <v>993601.91132816463</v>
      </c>
      <c r="Q99" s="12">
        <v>396819.12389578868</v>
      </c>
      <c r="R99" s="12">
        <v>806038.64828886022</v>
      </c>
      <c r="S99" s="12">
        <v>411693.49289528985</v>
      </c>
      <c r="T99" s="12">
        <v>-235268.27806965695</v>
      </c>
      <c r="U99" s="39">
        <v>11630236.698498134</v>
      </c>
    </row>
    <row r="100" spans="1:21" x14ac:dyDescent="0.25">
      <c r="A100" s="95"/>
      <c r="B100" s="100"/>
      <c r="C100" s="19" t="s">
        <v>29</v>
      </c>
      <c r="D100" s="12">
        <v>2938231.6585248867</v>
      </c>
      <c r="E100" s="12">
        <v>214357.76831445383</v>
      </c>
      <c r="F100" s="12">
        <v>3108936.2700000745</v>
      </c>
      <c r="G100" s="12">
        <v>115643.82208652017</v>
      </c>
      <c r="H100" s="12">
        <v>630079.68899309437</v>
      </c>
      <c r="I100" s="12">
        <v>183656.26903535501</v>
      </c>
      <c r="J100" s="12">
        <v>321945.98595722613</v>
      </c>
      <c r="K100" s="12">
        <v>1893311.8251697898</v>
      </c>
      <c r="L100" s="12">
        <v>307669.619516226</v>
      </c>
      <c r="M100" s="12">
        <v>133268.97110979728</v>
      </c>
      <c r="N100" s="12">
        <v>92450.991238955918</v>
      </c>
      <c r="O100" s="12">
        <v>217372.65993403035</v>
      </c>
      <c r="P100" s="12">
        <v>1043649.3402580614</v>
      </c>
      <c r="Q100" s="12">
        <v>329903.27019540715</v>
      </c>
      <c r="R100" s="12">
        <v>825135.19895527686</v>
      </c>
      <c r="S100" s="12">
        <v>471170.45687237021</v>
      </c>
      <c r="T100" s="12">
        <v>-309139.20114494173</v>
      </c>
      <c r="U100" s="39">
        <v>12517644.595016584</v>
      </c>
    </row>
    <row r="101" spans="1:21" x14ac:dyDescent="0.25">
      <c r="A101" s="95"/>
      <c r="B101" s="100"/>
      <c r="C101" s="19" t="s">
        <v>30</v>
      </c>
      <c r="D101" s="12">
        <v>1758326.8903283328</v>
      </c>
      <c r="E101" s="12">
        <v>222069.53678767488</v>
      </c>
      <c r="F101" s="12">
        <v>3295680.9228925356</v>
      </c>
      <c r="G101" s="12">
        <v>133770.44862540872</v>
      </c>
      <c r="H101" s="12">
        <v>843747.76038613135</v>
      </c>
      <c r="I101" s="12">
        <v>175135.1804586818</v>
      </c>
      <c r="J101" s="12">
        <v>899700.28935167985</v>
      </c>
      <c r="K101" s="12">
        <v>2691242.4580591298</v>
      </c>
      <c r="L101" s="12">
        <v>102027.35883033738</v>
      </c>
      <c r="M101" s="12">
        <v>255397.3657947157</v>
      </c>
      <c r="N101" s="12">
        <v>96650.797726966252</v>
      </c>
      <c r="O101" s="12">
        <v>193679.2969499093</v>
      </c>
      <c r="P101" s="12">
        <v>1097759.0905606716</v>
      </c>
      <c r="Q101" s="12">
        <v>385058.46362809412</v>
      </c>
      <c r="R101" s="12">
        <v>827770.53778996435</v>
      </c>
      <c r="S101" s="12">
        <v>464865.17981548893</v>
      </c>
      <c r="T101" s="12">
        <v>-335997.41482432419</v>
      </c>
      <c r="U101" s="39">
        <v>13106884.163161397</v>
      </c>
    </row>
    <row r="102" spans="1:21" x14ac:dyDescent="0.25">
      <c r="A102" s="95"/>
      <c r="B102" s="101"/>
      <c r="C102" s="52" t="s">
        <v>31</v>
      </c>
      <c r="D102" s="40">
        <v>1358208.077727722</v>
      </c>
      <c r="E102" s="40">
        <v>311179.20707271388</v>
      </c>
      <c r="F102" s="40">
        <v>3310396.1837750813</v>
      </c>
      <c r="G102" s="40">
        <v>203988.70076952319</v>
      </c>
      <c r="H102" s="40">
        <v>1101299.9373045156</v>
      </c>
      <c r="I102" s="40">
        <v>209615.06919784431</v>
      </c>
      <c r="J102" s="40">
        <v>1398961.7008183645</v>
      </c>
      <c r="K102" s="40">
        <v>3377523.0287520126</v>
      </c>
      <c r="L102" s="40">
        <v>161253.93786870921</v>
      </c>
      <c r="M102" s="40">
        <v>594540.76413431542</v>
      </c>
      <c r="N102" s="40">
        <v>77672.629143828104</v>
      </c>
      <c r="O102" s="40">
        <v>230048.70170544198</v>
      </c>
      <c r="P102" s="40">
        <v>1334691.1834518525</v>
      </c>
      <c r="Q102" s="40">
        <v>453106.18105133646</v>
      </c>
      <c r="R102" s="40">
        <v>938704.6126496467</v>
      </c>
      <c r="S102" s="40">
        <v>478651.30626704096</v>
      </c>
      <c r="T102" s="40">
        <v>-370858.30226527707</v>
      </c>
      <c r="U102" s="41">
        <v>15168982.91942467</v>
      </c>
    </row>
    <row r="103" spans="1:21" x14ac:dyDescent="0.25">
      <c r="A103" s="95"/>
      <c r="B103" s="50"/>
      <c r="C103" s="27" t="s">
        <v>51</v>
      </c>
      <c r="D103" s="44">
        <v>11074755.065610139</v>
      </c>
      <c r="E103" s="44">
        <v>1379459.8106470155</v>
      </c>
      <c r="F103" s="44">
        <v>13225461.790088076</v>
      </c>
      <c r="G103" s="44">
        <v>768841.37464601744</v>
      </c>
      <c r="H103" s="44">
        <v>4305093.0603190139</v>
      </c>
      <c r="I103" s="44">
        <v>970149.6249054186</v>
      </c>
      <c r="J103" s="44">
        <v>3771780.2387780882</v>
      </c>
      <c r="K103" s="44">
        <v>12231715.914833006</v>
      </c>
      <c r="L103" s="44">
        <v>927933.96346683241</v>
      </c>
      <c r="M103" s="44">
        <v>1917284.3993050891</v>
      </c>
      <c r="N103" s="44">
        <v>332228.84156495298</v>
      </c>
      <c r="O103" s="44">
        <v>991007.58695412194</v>
      </c>
      <c r="P103" s="44">
        <v>5929104.2640797133</v>
      </c>
      <c r="Q103" s="44">
        <v>1973635.6867942456</v>
      </c>
      <c r="R103" s="44">
        <v>4208433.8007754618</v>
      </c>
      <c r="S103" s="44">
        <v>2080833.7340851002</v>
      </c>
      <c r="T103" s="44">
        <v>-1990241.69541605</v>
      </c>
      <c r="U103" s="45">
        <v>64097477.461436227</v>
      </c>
    </row>
    <row r="104" spans="1:21" x14ac:dyDescent="0.25">
      <c r="A104" s="95"/>
      <c r="B104" s="100">
        <v>2022</v>
      </c>
      <c r="C104" s="19" t="s">
        <v>28</v>
      </c>
      <c r="D104" s="12">
        <v>2372228.0485692462</v>
      </c>
      <c r="E104" s="12">
        <v>360811.63743557589</v>
      </c>
      <c r="F104" s="12">
        <v>3724618.4349571015</v>
      </c>
      <c r="G104" s="12">
        <v>243643.46226806028</v>
      </c>
      <c r="H104" s="12">
        <v>989549.65791101637</v>
      </c>
      <c r="I104" s="12">
        <v>229354.41127596374</v>
      </c>
      <c r="J104" s="12">
        <v>740547.21155139711</v>
      </c>
      <c r="K104" s="12">
        <v>2647018.4482960105</v>
      </c>
      <c r="L104" s="12">
        <v>204259.89857805867</v>
      </c>
      <c r="M104" s="12">
        <v>521909.4289424296</v>
      </c>
      <c r="N104" s="12">
        <v>78869.351143753447</v>
      </c>
      <c r="O104" s="12">
        <v>222353.93871767839</v>
      </c>
      <c r="P104" s="12">
        <v>1200190.5145713114</v>
      </c>
      <c r="Q104" s="12">
        <v>496441.63297145738</v>
      </c>
      <c r="R104" s="12">
        <v>899319.59477071278</v>
      </c>
      <c r="S104" s="12">
        <v>435122.7316546237</v>
      </c>
      <c r="T104" s="12">
        <v>-423421.52357184107</v>
      </c>
      <c r="U104" s="39">
        <v>14942816.880042557</v>
      </c>
    </row>
    <row r="105" spans="1:21" x14ac:dyDescent="0.25">
      <c r="A105" s="95"/>
      <c r="B105" s="100"/>
      <c r="C105" s="19" t="s">
        <v>29</v>
      </c>
      <c r="D105" s="12">
        <v>5111734.6829332961</v>
      </c>
      <c r="E105" s="12">
        <v>307946.27144604607</v>
      </c>
      <c r="F105" s="12">
        <v>3447127.3928064937</v>
      </c>
      <c r="G105" s="12">
        <v>202365.59980481479</v>
      </c>
      <c r="H105" s="12">
        <v>875837.8381600969</v>
      </c>
      <c r="I105" s="12">
        <v>232162.7486494818</v>
      </c>
      <c r="J105" s="12">
        <v>400281.10580773669</v>
      </c>
      <c r="K105" s="12">
        <v>2948476.0196357779</v>
      </c>
      <c r="L105" s="12">
        <v>385260.07070736407</v>
      </c>
      <c r="M105" s="12">
        <v>198192.35709159824</v>
      </c>
      <c r="N105" s="12">
        <v>87625.162997441919</v>
      </c>
      <c r="O105" s="12">
        <v>234724.56575730912</v>
      </c>
      <c r="P105" s="12">
        <v>1292544.9869220187</v>
      </c>
      <c r="Q105" s="12">
        <v>427713.99556847697</v>
      </c>
      <c r="R105" s="12">
        <v>1029383.3951693341</v>
      </c>
      <c r="S105" s="12">
        <v>471008.90142466663</v>
      </c>
      <c r="T105" s="12">
        <v>-572570.01556942228</v>
      </c>
      <c r="U105" s="39">
        <v>17079815.079312529</v>
      </c>
    </row>
    <row r="106" spans="1:21" x14ac:dyDescent="0.25">
      <c r="A106" s="95"/>
      <c r="B106" s="100"/>
      <c r="C106" s="19" t="s">
        <v>30</v>
      </c>
      <c r="D106" s="12">
        <v>1993062.5933689282</v>
      </c>
      <c r="E106" s="12">
        <v>275531.52838409453</v>
      </c>
      <c r="F106" s="12">
        <v>3206525.6872932203</v>
      </c>
      <c r="G106" s="12">
        <v>126610.81586988569</v>
      </c>
      <c r="H106" s="12">
        <v>1078160.7462476462</v>
      </c>
      <c r="I106" s="12">
        <v>226910.83544234815</v>
      </c>
      <c r="J106" s="12">
        <v>936397.98893292644</v>
      </c>
      <c r="K106" s="12">
        <v>2963334.9698902876</v>
      </c>
      <c r="L106" s="12">
        <v>132870.25970591675</v>
      </c>
      <c r="M106" s="12">
        <v>350629.73388167308</v>
      </c>
      <c r="N106" s="12">
        <v>92778.663858458822</v>
      </c>
      <c r="O106" s="12">
        <v>267926.1683247668</v>
      </c>
      <c r="P106" s="12">
        <v>1685492.0518577921</v>
      </c>
      <c r="Q106" s="12">
        <v>492621.36604038277</v>
      </c>
      <c r="R106" s="12">
        <v>1070233.3003407572</v>
      </c>
      <c r="S106" s="12">
        <v>503433.65151587763</v>
      </c>
      <c r="T106" s="12">
        <v>-526358.85369476769</v>
      </c>
      <c r="U106" s="39">
        <v>14876161.507260192</v>
      </c>
    </row>
    <row r="107" spans="1:21" x14ac:dyDescent="0.25">
      <c r="A107" s="95"/>
      <c r="B107" s="101"/>
      <c r="C107" s="52" t="s">
        <v>31</v>
      </c>
      <c r="D107" s="40">
        <v>1597729.7407386678</v>
      </c>
      <c r="E107" s="40">
        <v>435170.37338129885</v>
      </c>
      <c r="F107" s="40">
        <v>2847190.2750312602</v>
      </c>
      <c r="G107" s="40">
        <v>196221.49670325662</v>
      </c>
      <c r="H107" s="40">
        <v>1361544.8180002545</v>
      </c>
      <c r="I107" s="40">
        <v>281721.62953762483</v>
      </c>
      <c r="J107" s="40">
        <v>1694553.9324860279</v>
      </c>
      <c r="K107" s="40">
        <v>3672886.477010929</v>
      </c>
      <c r="L107" s="40">
        <v>205543.73447549294</v>
      </c>
      <c r="M107" s="40">
        <v>846552.87938938825</v>
      </c>
      <c r="N107" s="40">
        <v>72955.663565298746</v>
      </c>
      <c r="O107" s="40">
        <v>266002.91415436764</v>
      </c>
      <c r="P107" s="40">
        <v>1750876.7107285911</v>
      </c>
      <c r="Q107" s="40">
        <v>556858.69221392868</v>
      </c>
      <c r="R107" s="40">
        <v>1209497.510494658</v>
      </c>
      <c r="S107" s="40">
        <v>671268.44948993227</v>
      </c>
      <c r="T107" s="40">
        <v>-467891.30258001899</v>
      </c>
      <c r="U107" s="41">
        <v>17198683.994820956</v>
      </c>
    </row>
    <row r="108" spans="1:21" x14ac:dyDescent="0.25">
      <c r="A108" s="95"/>
      <c r="B108" s="50"/>
      <c r="C108" s="27" t="s">
        <v>51</v>
      </c>
      <c r="D108" s="44">
        <v>14473463.387709899</v>
      </c>
      <c r="E108" s="44">
        <v>1731245.0678712376</v>
      </c>
      <c r="F108" s="44">
        <v>15745969.727080967</v>
      </c>
      <c r="G108" s="44">
        <v>987473.0870104637</v>
      </c>
      <c r="H108" s="44">
        <v>5735506.5440920517</v>
      </c>
      <c r="I108" s="44">
        <v>1267092.6597423605</v>
      </c>
      <c r="J108" s="44">
        <v>3932377.1573545672</v>
      </c>
      <c r="K108" s="44">
        <v>14270042.19685043</v>
      </c>
      <c r="L108" s="44">
        <v>1034583.8529446117</v>
      </c>
      <c r="M108" s="44">
        <v>1977178.5871140808</v>
      </c>
      <c r="N108" s="44">
        <v>367393.78696593898</v>
      </c>
      <c r="O108" s="44">
        <v>1071446.8839891441</v>
      </c>
      <c r="P108" s="44">
        <v>7907200.1235931069</v>
      </c>
      <c r="Q108" s="44">
        <v>2166051.4875198193</v>
      </c>
      <c r="R108" s="44">
        <v>4960717.6995636187</v>
      </c>
      <c r="S108" s="44">
        <v>2193461.2645629905</v>
      </c>
      <c r="T108" s="44">
        <v>-2321335.87132063</v>
      </c>
      <c r="U108" s="45">
        <v>77499867.642644644</v>
      </c>
    </row>
    <row r="109" spans="1:21" x14ac:dyDescent="0.25">
      <c r="A109" s="95"/>
      <c r="B109" s="100">
        <v>2023</v>
      </c>
      <c r="C109" s="19" t="s">
        <v>28</v>
      </c>
      <c r="D109" s="12">
        <v>2973858.8756400393</v>
      </c>
      <c r="E109" s="12">
        <v>464310.89779308514</v>
      </c>
      <c r="F109" s="12">
        <v>2677417.152857319</v>
      </c>
      <c r="G109" s="12">
        <v>162671.36095643346</v>
      </c>
      <c r="H109" s="12">
        <v>1277708.5091900006</v>
      </c>
      <c r="I109" s="12">
        <v>305904.90203471249</v>
      </c>
      <c r="J109" s="12">
        <v>741093.07509287517</v>
      </c>
      <c r="K109" s="12">
        <v>3008719.7516209763</v>
      </c>
      <c r="L109" s="12">
        <v>225508.40124694037</v>
      </c>
      <c r="M109" s="12">
        <v>638096.5182924855</v>
      </c>
      <c r="N109" s="12">
        <v>89167.280928434731</v>
      </c>
      <c r="O109" s="12">
        <v>221458.58685063224</v>
      </c>
      <c r="P109" s="12">
        <v>1666133.8725116199</v>
      </c>
      <c r="Q109" s="12">
        <v>567974.35966534272</v>
      </c>
      <c r="R109" s="12">
        <v>1121088.6143807869</v>
      </c>
      <c r="S109" s="12">
        <v>454594.25022705953</v>
      </c>
      <c r="T109" s="12">
        <v>-497848.01700580341</v>
      </c>
      <c r="U109" s="39">
        <v>16097858.392282942</v>
      </c>
    </row>
    <row r="110" spans="1:21" x14ac:dyDescent="0.25">
      <c r="A110" s="95"/>
      <c r="B110" s="100"/>
      <c r="C110" s="19" t="s">
        <v>29</v>
      </c>
      <c r="D110" s="12">
        <v>6651410.9861967787</v>
      </c>
      <c r="E110" s="12">
        <v>387577.82555121364</v>
      </c>
      <c r="F110" s="12">
        <v>3149390.1891115257</v>
      </c>
      <c r="G110" s="12">
        <v>166002.68436073136</v>
      </c>
      <c r="H110" s="12">
        <v>1220903.5038875036</v>
      </c>
      <c r="I110" s="12">
        <v>302298.72670023411</v>
      </c>
      <c r="J110" s="12">
        <v>630696.02950429008</v>
      </c>
      <c r="K110" s="12">
        <v>3321408.3021618207</v>
      </c>
      <c r="L110" s="12">
        <v>380943.95014201337</v>
      </c>
      <c r="M110" s="12">
        <v>196370.67600099888</v>
      </c>
      <c r="N110" s="12">
        <v>93852.337173622873</v>
      </c>
      <c r="O110" s="12">
        <v>247840.06894937006</v>
      </c>
      <c r="P110" s="12">
        <v>1834194.7756661405</v>
      </c>
      <c r="Q110" s="12">
        <v>462461.08463244629</v>
      </c>
      <c r="R110" s="12">
        <v>1335529.4487417417</v>
      </c>
      <c r="S110" s="12">
        <v>511740.35392412206</v>
      </c>
      <c r="T110" s="12">
        <v>-250964.51453147014</v>
      </c>
      <c r="U110" s="39">
        <v>20641656.42817308</v>
      </c>
    </row>
    <row r="111" spans="1:21" x14ac:dyDescent="0.25">
      <c r="A111" s="95"/>
      <c r="B111" s="100"/>
      <c r="C111" s="19" t="s">
        <v>30</v>
      </c>
      <c r="D111" s="12">
        <v>2599555.4515234753</v>
      </c>
      <c r="E111" s="12">
        <v>370964.21382652113</v>
      </c>
      <c r="F111" s="12">
        <v>5117525.7043596432</v>
      </c>
      <c r="G111" s="12">
        <v>390216.00565161667</v>
      </c>
      <c r="H111" s="12">
        <v>1432697.7736542069</v>
      </c>
      <c r="I111" s="12">
        <v>295623.96789672831</v>
      </c>
      <c r="J111" s="12">
        <v>1254397.5347650871</v>
      </c>
      <c r="K111" s="12">
        <v>3451152.8991812957</v>
      </c>
      <c r="L111" s="12">
        <v>158765.13764182932</v>
      </c>
      <c r="M111" s="12">
        <v>354208.52738961199</v>
      </c>
      <c r="N111" s="12">
        <v>98410.577013648493</v>
      </c>
      <c r="O111" s="12">
        <v>334224.71568812174</v>
      </c>
      <c r="P111" s="12">
        <v>2103672.9068278517</v>
      </c>
      <c r="Q111" s="12">
        <v>527027.30122663197</v>
      </c>
      <c r="R111" s="12">
        <v>1223827.1493705395</v>
      </c>
      <c r="S111" s="12">
        <v>601595.24062532035</v>
      </c>
      <c r="T111" s="12">
        <v>-625492.20475214499</v>
      </c>
      <c r="U111" s="39">
        <v>19688372.901889987</v>
      </c>
    </row>
    <row r="112" spans="1:21" x14ac:dyDescent="0.25">
      <c r="A112" s="95"/>
      <c r="B112" s="101"/>
      <c r="C112" s="52" t="s">
        <v>31</v>
      </c>
      <c r="D112" s="40">
        <v>2248638.0743496069</v>
      </c>
      <c r="E112" s="40">
        <v>508392.13070041791</v>
      </c>
      <c r="F112" s="40">
        <v>4801636.6807524785</v>
      </c>
      <c r="G112" s="40">
        <v>268583.03604168206</v>
      </c>
      <c r="H112" s="40">
        <v>1804196.7573603415</v>
      </c>
      <c r="I112" s="40">
        <v>363265.06311068567</v>
      </c>
      <c r="J112" s="40">
        <v>1306190.5179923149</v>
      </c>
      <c r="K112" s="40">
        <v>4488761.2438863376</v>
      </c>
      <c r="L112" s="40">
        <v>269366.36391382862</v>
      </c>
      <c r="M112" s="40">
        <v>788502.86543098453</v>
      </c>
      <c r="N112" s="40">
        <v>85963.59185023293</v>
      </c>
      <c r="O112" s="40">
        <v>267923.5125010201</v>
      </c>
      <c r="P112" s="40">
        <v>2303198.568587495</v>
      </c>
      <c r="Q112" s="40">
        <v>608588.7419953983</v>
      </c>
      <c r="R112" s="40">
        <v>1280272.4870705509</v>
      </c>
      <c r="S112" s="40">
        <v>625531.41978648852</v>
      </c>
      <c r="T112" s="40">
        <v>-947031.13503121142</v>
      </c>
      <c r="U112" s="41">
        <v>21071979.920298643</v>
      </c>
    </row>
    <row r="113" spans="1:21" x14ac:dyDescent="0.25">
      <c r="A113" s="95"/>
      <c r="B113" s="50"/>
      <c r="C113" s="27" t="s">
        <v>51</v>
      </c>
      <c r="D113" s="44">
        <v>20200484.331267413</v>
      </c>
      <c r="E113" s="44">
        <v>2216683.2154544815</v>
      </c>
      <c r="F113" s="44">
        <v>19858399.499339547</v>
      </c>
      <c r="G113" s="44">
        <v>2391709.6394293038</v>
      </c>
      <c r="H113" s="44">
        <v>6839938.254187353</v>
      </c>
      <c r="I113" s="44">
        <v>1614441.0928439607</v>
      </c>
      <c r="J113" s="44">
        <v>4538866.098474456</v>
      </c>
      <c r="K113" s="44">
        <v>19318436.220044013</v>
      </c>
      <c r="L113" s="44">
        <v>1455035.2783449569</v>
      </c>
      <c r="M113" s="44">
        <v>2601636.126261991</v>
      </c>
      <c r="N113" s="44">
        <v>455417.25409494457</v>
      </c>
      <c r="O113" s="44">
        <v>1575777.6027852495</v>
      </c>
      <c r="P113" s="44">
        <v>11433217.382324645</v>
      </c>
      <c r="Q113" s="44">
        <v>2761787.472799038</v>
      </c>
      <c r="R113" s="44">
        <v>6795498.2327831984</v>
      </c>
      <c r="S113" s="44">
        <v>2620111.792964471</v>
      </c>
      <c r="T113" s="44">
        <v>-2666351.6848179102</v>
      </c>
      <c r="U113" s="45">
        <v>104011087.80858111</v>
      </c>
    </row>
    <row r="114" spans="1:21" x14ac:dyDescent="0.25">
      <c r="A114" s="95"/>
      <c r="B114" s="100">
        <v>2024</v>
      </c>
      <c r="C114" s="19" t="s">
        <v>28</v>
      </c>
      <c r="D114" s="12">
        <v>4121229.363695438</v>
      </c>
      <c r="E114" s="12">
        <v>516637.84846200765</v>
      </c>
      <c r="F114" s="12">
        <v>4826445.1734681698</v>
      </c>
      <c r="G114" s="12">
        <v>313990.8402274762</v>
      </c>
      <c r="H114" s="12">
        <v>1550015.0741991384</v>
      </c>
      <c r="I114" s="12">
        <v>404974.58398591843</v>
      </c>
      <c r="J114" s="12">
        <v>831477.01631477743</v>
      </c>
      <c r="K114" s="12">
        <v>4001040.9147194698</v>
      </c>
      <c r="L114" s="12">
        <v>296540.42781200638</v>
      </c>
      <c r="M114" s="12">
        <v>886157.16369857651</v>
      </c>
      <c r="N114" s="12">
        <v>87563.539594412068</v>
      </c>
      <c r="O114" s="12">
        <v>382219.15933363757</v>
      </c>
      <c r="P114" s="12">
        <v>2428476.9283971833</v>
      </c>
      <c r="Q114" s="12">
        <v>670333.11626886728</v>
      </c>
      <c r="R114" s="12">
        <v>1330494.4408838479</v>
      </c>
      <c r="S114" s="12">
        <v>578874.10894440277</v>
      </c>
      <c r="T114" s="12">
        <v>-721769.18109118019</v>
      </c>
      <c r="U114" s="39">
        <v>22504700.518914144</v>
      </c>
    </row>
    <row r="115" spans="1:21" x14ac:dyDescent="0.25">
      <c r="A115" s="95"/>
      <c r="B115" s="100"/>
      <c r="C115" s="19" t="s">
        <v>29</v>
      </c>
      <c r="D115" s="12">
        <v>9341549.2003423702</v>
      </c>
      <c r="E115" s="12">
        <v>487598.61043073545</v>
      </c>
      <c r="F115" s="12">
        <v>5077626.4642123599</v>
      </c>
      <c r="G115" s="12">
        <v>454842.44345521566</v>
      </c>
      <c r="H115" s="12">
        <v>1467329.7528409755</v>
      </c>
      <c r="I115" s="12">
        <v>408970.53771628672</v>
      </c>
      <c r="J115" s="12">
        <v>761363.35776100913</v>
      </c>
      <c r="K115" s="12">
        <v>4717187.1352728223</v>
      </c>
      <c r="L115" s="12">
        <v>550843.43326705112</v>
      </c>
      <c r="M115" s="12">
        <v>270241.49543267349</v>
      </c>
      <c r="N115" s="12">
        <v>117709.92349302124</v>
      </c>
      <c r="O115" s="12">
        <v>385887.5249007963</v>
      </c>
      <c r="P115" s="12">
        <v>2715116.877815343</v>
      </c>
      <c r="Q115" s="12">
        <v>598258.21497778641</v>
      </c>
      <c r="R115" s="12">
        <v>1902691.1433761378</v>
      </c>
      <c r="S115" s="12">
        <v>629512.80840120709</v>
      </c>
      <c r="T115" s="12">
        <v>-591897.5790906162</v>
      </c>
      <c r="U115" s="39">
        <v>29294831.344605181</v>
      </c>
    </row>
    <row r="116" spans="1:21" x14ac:dyDescent="0.25">
      <c r="A116" s="95"/>
      <c r="B116" s="100"/>
      <c r="C116" s="19" t="s">
        <v>30</v>
      </c>
      <c r="D116" s="12">
        <v>3631197.4624845753</v>
      </c>
      <c r="E116" s="12">
        <v>529468.9395768377</v>
      </c>
      <c r="F116" s="12">
        <v>5244284.6417268068</v>
      </c>
      <c r="G116" s="12">
        <v>576426.1538036298</v>
      </c>
      <c r="H116" s="12">
        <v>1710416.37961519</v>
      </c>
      <c r="I116" s="12">
        <v>364900.93795745011</v>
      </c>
      <c r="J116" s="12">
        <v>1451978.0134538272</v>
      </c>
      <c r="K116" s="12">
        <v>4750373.4977008998</v>
      </c>
      <c r="L116" s="12">
        <v>215835.37479574195</v>
      </c>
      <c r="M116" s="12">
        <v>470615.8856303161</v>
      </c>
      <c r="N116" s="12">
        <v>124126.13530786695</v>
      </c>
      <c r="O116" s="12">
        <v>381137.34276190068</v>
      </c>
      <c r="P116" s="12">
        <v>3082799.1426025517</v>
      </c>
      <c r="Q116" s="12">
        <v>686237.70157899579</v>
      </c>
      <c r="R116" s="12">
        <v>1685003.2925674422</v>
      </c>
      <c r="S116" s="12">
        <v>713650.81880114798</v>
      </c>
      <c r="T116" s="12">
        <v>-619686.78239081881</v>
      </c>
      <c r="U116" s="39">
        <v>24998764.937974367</v>
      </c>
    </row>
    <row r="117" spans="1:21" x14ac:dyDescent="0.25">
      <c r="A117" s="95"/>
      <c r="B117" s="101"/>
      <c r="C117" s="52" t="s">
        <v>31</v>
      </c>
      <c r="D117" s="40">
        <v>3106508.3047450287</v>
      </c>
      <c r="E117" s="40">
        <v>682977.81698490097</v>
      </c>
      <c r="F117" s="40">
        <v>4710043.2199322097</v>
      </c>
      <c r="G117" s="40">
        <v>1046450.2019429822</v>
      </c>
      <c r="H117" s="40">
        <v>2112177.0475320485</v>
      </c>
      <c r="I117" s="40">
        <v>435595.03318430553</v>
      </c>
      <c r="J117" s="40">
        <v>1494047.7109448421</v>
      </c>
      <c r="K117" s="40">
        <v>5849834.6723508211</v>
      </c>
      <c r="L117" s="40">
        <v>391816.04247015761</v>
      </c>
      <c r="M117" s="40">
        <v>974621.58150042512</v>
      </c>
      <c r="N117" s="40">
        <v>126017.65569964428</v>
      </c>
      <c r="O117" s="40">
        <v>426533.57578891498</v>
      </c>
      <c r="P117" s="40">
        <v>3206824.4335095678</v>
      </c>
      <c r="Q117" s="40">
        <v>806958.43997338868</v>
      </c>
      <c r="R117" s="40">
        <v>1877309.35595577</v>
      </c>
      <c r="S117" s="40">
        <v>698074.05681771308</v>
      </c>
      <c r="T117" s="40">
        <v>-732998.14224529499</v>
      </c>
      <c r="U117" s="41">
        <v>27212791.007087428</v>
      </c>
    </row>
    <row r="118" spans="1:21" x14ac:dyDescent="0.25">
      <c r="A118" s="95"/>
      <c r="B118" s="50"/>
      <c r="C118" s="27" t="s">
        <v>51</v>
      </c>
      <c r="D118" s="44">
        <v>29589205.621135626</v>
      </c>
      <c r="E118" s="44">
        <v>3036069.4271301413</v>
      </c>
      <c r="F118" s="44">
        <v>17896511.281918678</v>
      </c>
      <c r="G118" s="44">
        <v>1957670.037369546</v>
      </c>
      <c r="H118" s="44">
        <v>8779812.8328189421</v>
      </c>
      <c r="I118" s="44">
        <v>1731753.3217105509</v>
      </c>
      <c r="J118" s="44">
        <v>4815983.3714668881</v>
      </c>
      <c r="K118" s="44">
        <v>24730133.034859791</v>
      </c>
      <c r="L118" s="44">
        <v>1894298.3444041465</v>
      </c>
      <c r="M118" s="44">
        <v>3631384.4758811356</v>
      </c>
      <c r="N118" s="44">
        <v>705826.08759432286</v>
      </c>
      <c r="O118" s="44">
        <v>2171033.9118933827</v>
      </c>
      <c r="P118" s="44">
        <v>14809073.053359905</v>
      </c>
      <c r="Q118" s="44">
        <v>2815378.0842113998</v>
      </c>
      <c r="R118" s="44">
        <v>8897661.7499961741</v>
      </c>
      <c r="S118" s="44">
        <v>2998084.8374792105</v>
      </c>
      <c r="T118" s="44">
        <v>-2157857.6300483798</v>
      </c>
      <c r="U118" s="45">
        <v>128302021.84318146</v>
      </c>
    </row>
    <row r="119" spans="1:21" x14ac:dyDescent="0.25">
      <c r="A119" s="95"/>
      <c r="B119" s="100">
        <v>2025</v>
      </c>
      <c r="C119" s="19" t="s">
        <v>28</v>
      </c>
      <c r="D119" s="12">
        <v>6299480.7098513003</v>
      </c>
      <c r="E119" s="12">
        <v>709723.55709711078</v>
      </c>
      <c r="F119" s="12">
        <v>4815738.545518484</v>
      </c>
      <c r="G119" s="12">
        <v>339220.45090045111</v>
      </c>
      <c r="H119" s="12">
        <v>1887048.3169069886</v>
      </c>
      <c r="I119" s="12">
        <v>447466.45603001351</v>
      </c>
      <c r="J119" s="12">
        <v>974287.25398425618</v>
      </c>
      <c r="K119" s="12">
        <v>5399426.8573921416</v>
      </c>
      <c r="L119" s="12">
        <v>370609.5912706005</v>
      </c>
      <c r="M119" s="12">
        <v>1050261.7843649811</v>
      </c>
      <c r="N119" s="12">
        <v>134808.59672871718</v>
      </c>
      <c r="O119" s="12">
        <v>508723.52753057232</v>
      </c>
      <c r="P119" s="12">
        <v>3466640.8110793228</v>
      </c>
      <c r="Q119" s="12">
        <v>820822.94361778768</v>
      </c>
      <c r="R119" s="12">
        <v>1785563.5508357177</v>
      </c>
      <c r="S119" s="12">
        <v>741956.34534883394</v>
      </c>
      <c r="T119" s="12">
        <v>-646648.25452412863</v>
      </c>
      <c r="U119" s="39">
        <v>29105131.043933153</v>
      </c>
    </row>
    <row r="120" spans="1:21" x14ac:dyDescent="0.25">
      <c r="A120" s="95"/>
      <c r="B120" s="100"/>
      <c r="C120" s="19" t="s">
        <v>29</v>
      </c>
      <c r="D120" s="12">
        <v>14172066.020512076</v>
      </c>
      <c r="E120" s="12">
        <v>670016.74808896729</v>
      </c>
      <c r="F120" s="12">
        <v>4325858.4784314269</v>
      </c>
      <c r="G120" s="12">
        <v>456623.15283562738</v>
      </c>
      <c r="H120" s="12">
        <v>1855034.7038764714</v>
      </c>
      <c r="I120" s="12">
        <v>440303.11305891874</v>
      </c>
      <c r="J120" s="12">
        <v>738007.4159437574</v>
      </c>
      <c r="K120" s="12">
        <v>6041391.1419150122</v>
      </c>
      <c r="L120" s="12">
        <v>736728.10323430307</v>
      </c>
      <c r="M120" s="12">
        <v>319757.82623168576</v>
      </c>
      <c r="N120" s="12">
        <v>197482.32621682298</v>
      </c>
      <c r="O120" s="12">
        <v>538146.54486983002</v>
      </c>
      <c r="P120" s="12">
        <v>3572189.16794687</v>
      </c>
      <c r="Q120" s="12">
        <v>659243.79658436636</v>
      </c>
      <c r="R120" s="12">
        <v>2499507.1910243449</v>
      </c>
      <c r="S120" s="12">
        <v>632985.27955181547</v>
      </c>
      <c r="T120" s="12">
        <v>-466329.70504508674</v>
      </c>
      <c r="U120" s="39">
        <v>37389011.305277213</v>
      </c>
    </row>
    <row r="121" spans="1:21" x14ac:dyDescent="0.25">
      <c r="A121" s="95"/>
      <c r="B121" s="100"/>
      <c r="C121" s="19" t="s">
        <v>30</v>
      </c>
      <c r="D121" s="12">
        <v>5184774.3153871242</v>
      </c>
      <c r="E121" s="12">
        <v>672788.86791938439</v>
      </c>
      <c r="F121" s="12">
        <v>4615043.9950043047</v>
      </c>
      <c r="G121" s="12">
        <v>560371.6809814747</v>
      </c>
      <c r="H121" s="12">
        <v>2210995.950941056</v>
      </c>
      <c r="I121" s="12">
        <v>380558.45559620339</v>
      </c>
      <c r="J121" s="12">
        <v>1516736.8196126928</v>
      </c>
      <c r="K121" s="12">
        <v>6001245.0191766182</v>
      </c>
      <c r="L121" s="12">
        <v>255814.6649888489</v>
      </c>
      <c r="M121" s="12">
        <v>708534.49711871846</v>
      </c>
      <c r="N121" s="12">
        <v>196716.61986807646</v>
      </c>
      <c r="O121" s="12">
        <v>536347.21125871723</v>
      </c>
      <c r="P121" s="12">
        <v>3906317.540875366</v>
      </c>
      <c r="Q121" s="12">
        <v>731576.50036954274</v>
      </c>
      <c r="R121" s="12">
        <v>2234031.3499190384</v>
      </c>
      <c r="S121" s="12">
        <v>711127.92142116779</v>
      </c>
      <c r="T121" s="12">
        <v>-574199.68535816064</v>
      </c>
      <c r="U121" s="39">
        <v>29848781.725080166</v>
      </c>
    </row>
    <row r="122" spans="1:21" x14ac:dyDescent="0.25">
      <c r="A122" s="95"/>
      <c r="B122" s="101"/>
      <c r="C122" s="52" t="s">
        <v>31</v>
      </c>
      <c r="D122" s="40">
        <v>3932884.5753851281</v>
      </c>
      <c r="E122" s="40">
        <v>983540.25402467896</v>
      </c>
      <c r="F122" s="40">
        <v>4139870.2629644633</v>
      </c>
      <c r="G122" s="40">
        <v>601454.7526519926</v>
      </c>
      <c r="H122" s="40">
        <v>2826733.8610944264</v>
      </c>
      <c r="I122" s="40">
        <v>463425.29702541529</v>
      </c>
      <c r="J122" s="40">
        <v>1586951.8819261817</v>
      </c>
      <c r="K122" s="40">
        <v>7288070.0163760204</v>
      </c>
      <c r="L122" s="40">
        <v>531145.98491039407</v>
      </c>
      <c r="M122" s="40">
        <v>1552830.3681657503</v>
      </c>
      <c r="N122" s="40">
        <v>176818.54478070629</v>
      </c>
      <c r="O122" s="40">
        <v>587816.62823426328</v>
      </c>
      <c r="P122" s="40">
        <v>3863925.533458347</v>
      </c>
      <c r="Q122" s="40">
        <v>603734.843639703</v>
      </c>
      <c r="R122" s="40">
        <v>2378559.6582170734</v>
      </c>
      <c r="S122" s="40">
        <v>912015.29115739325</v>
      </c>
      <c r="T122" s="40">
        <v>-470679.98512100388</v>
      </c>
      <c r="U122" s="41">
        <v>31959097.768890928</v>
      </c>
    </row>
    <row r="123" spans="1:21" x14ac:dyDescent="0.25">
      <c r="A123" s="95"/>
      <c r="B123" s="50"/>
      <c r="C123" s="27" t="s">
        <v>51</v>
      </c>
      <c r="D123" s="44">
        <v>6980958.6616028203</v>
      </c>
      <c r="E123" s="44">
        <v>995089.5477361728</v>
      </c>
      <c r="F123" s="44">
        <v>5366999.1825002721</v>
      </c>
      <c r="G123" s="44">
        <v>520764.51062069944</v>
      </c>
      <c r="H123" s="44">
        <v>2100651.2169087888</v>
      </c>
      <c r="I123" s="44">
        <v>505504.60780418635</v>
      </c>
      <c r="J123" s="44">
        <v>1114780.1411536206</v>
      </c>
      <c r="K123" s="44">
        <v>6380329.9488281598</v>
      </c>
      <c r="L123" s="44">
        <v>398634.42159936193</v>
      </c>
      <c r="M123" s="44">
        <v>1645493.2628393318</v>
      </c>
      <c r="N123" s="44">
        <v>184824.0129489759</v>
      </c>
      <c r="O123" s="44">
        <v>593615.14750180964</v>
      </c>
      <c r="P123" s="44">
        <v>3954873.0077738673</v>
      </c>
      <c r="Q123" s="44">
        <v>839501.67348580901</v>
      </c>
      <c r="R123" s="44">
        <v>2133060.723844687</v>
      </c>
      <c r="S123" s="44">
        <v>721398.66688568331</v>
      </c>
      <c r="T123" s="44">
        <v>-419348.06139361113</v>
      </c>
      <c r="U123" s="45">
        <v>34017130.672640637</v>
      </c>
    </row>
    <row r="124" spans="1:21" x14ac:dyDescent="0.25">
      <c r="A124" s="95"/>
      <c r="B124" s="100">
        <v>2026</v>
      </c>
      <c r="C124" s="19" t="s">
        <v>28</v>
      </c>
      <c r="D124" s="12">
        <v>6980958.6616028203</v>
      </c>
      <c r="E124" s="12">
        <v>995089.5477361728</v>
      </c>
      <c r="F124" s="12">
        <v>5366999.1825002721</v>
      </c>
      <c r="G124" s="12">
        <v>520764.51062069944</v>
      </c>
      <c r="H124" s="12">
        <v>2100651.2169087888</v>
      </c>
      <c r="I124" s="12">
        <v>505504.60780418635</v>
      </c>
      <c r="J124" s="12">
        <v>1114780.1411536206</v>
      </c>
      <c r="K124" s="12">
        <v>6380329.9488281598</v>
      </c>
      <c r="L124" s="12">
        <v>398634.42159936193</v>
      </c>
      <c r="M124" s="12">
        <v>1645493.2628393318</v>
      </c>
      <c r="N124" s="12">
        <v>184824.0129489759</v>
      </c>
      <c r="O124" s="12">
        <v>593615.14750180964</v>
      </c>
      <c r="P124" s="12">
        <v>3954873.0077738673</v>
      </c>
      <c r="Q124" s="12">
        <v>839501.67348580901</v>
      </c>
      <c r="R124" s="12">
        <v>2133060.723844687</v>
      </c>
      <c r="S124" s="12">
        <v>721398.66688568331</v>
      </c>
      <c r="T124" s="12">
        <v>-419348.06139361113</v>
      </c>
      <c r="U124" s="39">
        <v>34017130.672640637</v>
      </c>
    </row>
    <row r="125" spans="1:21" x14ac:dyDescent="0.25">
      <c r="A125" s="95"/>
      <c r="B125" s="100"/>
      <c r="C125" s="19" t="s">
        <v>29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39"/>
    </row>
    <row r="126" spans="1:21" x14ac:dyDescent="0.25">
      <c r="A126" s="95"/>
      <c r="B126" s="100"/>
      <c r="C126" s="19" t="s">
        <v>30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39"/>
    </row>
    <row r="127" spans="1:21" x14ac:dyDescent="0.25">
      <c r="A127" s="95"/>
      <c r="B127" s="101"/>
      <c r="C127" s="52" t="s">
        <v>31</v>
      </c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1"/>
    </row>
  </sheetData>
  <mergeCells count="28">
    <mergeCell ref="B124:B127"/>
    <mergeCell ref="A1:A127"/>
    <mergeCell ref="C1:U1"/>
    <mergeCell ref="B2:C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B54:B57"/>
    <mergeCell ref="B59:B62"/>
    <mergeCell ref="B64:B67"/>
    <mergeCell ref="B69:B72"/>
    <mergeCell ref="B74:B77"/>
    <mergeCell ref="B79:B82"/>
    <mergeCell ref="B84:B87"/>
    <mergeCell ref="B89:B92"/>
    <mergeCell ref="B119:B122"/>
    <mergeCell ref="B94:B97"/>
    <mergeCell ref="B99:B102"/>
    <mergeCell ref="B104:B107"/>
    <mergeCell ref="B109:B112"/>
    <mergeCell ref="B114:B11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27"/>
  <sheetViews>
    <sheetView showGridLines="0" zoomScale="110" zoomScaleNormal="110" workbookViewId="0">
      <pane xSplit="3" ySplit="2" topLeftCell="D106" activePane="bottomRight" state="frozen"/>
      <selection pane="topRight" activeCell="C1" sqref="C1"/>
      <selection pane="bottomLeft" activeCell="A3" sqref="A3"/>
      <selection pane="bottomRight" sqref="A1:A126"/>
    </sheetView>
  </sheetViews>
  <sheetFormatPr defaultRowHeight="15.75" x14ac:dyDescent="0.25"/>
  <cols>
    <col min="2" max="2" width="7.375" style="18" customWidth="1"/>
    <col min="3" max="3" width="6.875" style="18" customWidth="1"/>
    <col min="4" max="4" width="12.5" customWidth="1"/>
  </cols>
  <sheetData>
    <row r="1" spans="1:23" x14ac:dyDescent="0.25">
      <c r="A1" s="95"/>
      <c r="C1" s="102" t="s">
        <v>39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23</v>
      </c>
      <c r="F2" s="3" t="s">
        <v>2</v>
      </c>
      <c r="G2" s="3" t="s">
        <v>3</v>
      </c>
      <c r="H2" s="3" t="s">
        <v>4</v>
      </c>
      <c r="I2" s="3" t="s">
        <v>24</v>
      </c>
      <c r="J2" s="3" t="s">
        <v>6</v>
      </c>
      <c r="K2" s="3" t="s">
        <v>25</v>
      </c>
      <c r="L2" s="3" t="s">
        <v>26</v>
      </c>
      <c r="M2" s="3" t="s">
        <v>9</v>
      </c>
      <c r="N2" s="3" t="s">
        <v>27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49"/>
      <c r="C3" s="4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"/>
      <c r="W3" s="1"/>
    </row>
    <row r="4" spans="1:23" x14ac:dyDescent="0.25">
      <c r="A4" s="95"/>
      <c r="B4" s="104">
        <v>2002</v>
      </c>
      <c r="C4" s="19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3" x14ac:dyDescent="0.25">
      <c r="A5" s="95"/>
      <c r="B5" s="104"/>
      <c r="C5" s="19" t="s">
        <v>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3" x14ac:dyDescent="0.25">
      <c r="A6" s="95"/>
      <c r="B6" s="104"/>
      <c r="C6" s="19" t="s">
        <v>30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3" x14ac:dyDescent="0.25">
      <c r="A7" s="95"/>
      <c r="B7" s="104"/>
      <c r="C7" s="19" t="s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3" x14ac:dyDescent="0.25">
      <c r="A8" s="95"/>
      <c r="B8" s="58"/>
      <c r="C8" s="59" t="s">
        <v>51</v>
      </c>
      <c r="D8" s="33">
        <v>116.23129276966776</v>
      </c>
      <c r="E8" s="33">
        <v>99.020038656534354</v>
      </c>
      <c r="F8" s="33">
        <v>83.441136946241869</v>
      </c>
      <c r="G8" s="33">
        <v>106.95306437690397</v>
      </c>
      <c r="H8" s="33">
        <v>109.96478816060548</v>
      </c>
      <c r="I8" s="33">
        <v>195.78999299854456</v>
      </c>
      <c r="J8" s="33">
        <v>98.331807561827475</v>
      </c>
      <c r="K8" s="33">
        <v>124.47392081725778</v>
      </c>
      <c r="L8" s="33">
        <v>112.88434811664209</v>
      </c>
      <c r="M8" s="33">
        <v>105.36873310438332</v>
      </c>
      <c r="N8" s="33">
        <v>111.35100732904499</v>
      </c>
      <c r="O8" s="33">
        <v>97.267584765399505</v>
      </c>
      <c r="P8" s="33">
        <v>139.81307753077252</v>
      </c>
      <c r="Q8" s="33">
        <v>70.201356237316844</v>
      </c>
      <c r="R8" s="33">
        <v>123.2213609584845</v>
      </c>
      <c r="S8" s="33">
        <v>135.59019248805319</v>
      </c>
      <c r="T8" s="33">
        <v>187.80043485925842</v>
      </c>
      <c r="U8" s="33">
        <v>101.39382429258447</v>
      </c>
    </row>
    <row r="9" spans="1:23" x14ac:dyDescent="0.25">
      <c r="A9" s="95"/>
      <c r="B9" s="99">
        <v>2003</v>
      </c>
      <c r="C9" s="61" t="s">
        <v>28</v>
      </c>
      <c r="D9" s="21">
        <v>128.56005849494164</v>
      </c>
      <c r="E9" s="21">
        <v>111.50259124981213</v>
      </c>
      <c r="F9" s="21">
        <v>155.34602413258054</v>
      </c>
      <c r="G9" s="21">
        <v>65.540206083506291</v>
      </c>
      <c r="H9" s="21">
        <v>113.26998530561073</v>
      </c>
      <c r="I9" s="21">
        <v>216.02390349021891</v>
      </c>
      <c r="J9" s="21">
        <v>108.79600680983762</v>
      </c>
      <c r="K9" s="21">
        <v>141.26660727097322</v>
      </c>
      <c r="L9" s="21">
        <v>119.94561383355654</v>
      </c>
      <c r="M9" s="21">
        <v>22.30302631225625</v>
      </c>
      <c r="N9" s="21">
        <v>203.51493258782409</v>
      </c>
      <c r="O9" s="21">
        <v>105.60374428310402</v>
      </c>
      <c r="P9" s="21">
        <v>162.90839952825331</v>
      </c>
      <c r="Q9" s="21">
        <v>32.914546419998089</v>
      </c>
      <c r="R9" s="21">
        <v>134.07157201791301</v>
      </c>
      <c r="S9" s="21">
        <v>148.24817349783933</v>
      </c>
      <c r="T9" s="21">
        <v>216.93197226499217</v>
      </c>
      <c r="U9" s="21">
        <v>127.38812243152054</v>
      </c>
    </row>
    <row r="10" spans="1:23" x14ac:dyDescent="0.25">
      <c r="A10" s="95"/>
      <c r="B10" s="100"/>
      <c r="C10" s="19" t="s">
        <v>29</v>
      </c>
      <c r="D10" s="2">
        <v>127.76708445704918</v>
      </c>
      <c r="E10" s="2">
        <v>126.34530239773113</v>
      </c>
      <c r="F10" s="2">
        <v>89.047634797634345</v>
      </c>
      <c r="G10" s="2">
        <v>105.31163795868954</v>
      </c>
      <c r="H10" s="2">
        <v>128.26905026487628</v>
      </c>
      <c r="I10" s="2">
        <v>205.25165592519835</v>
      </c>
      <c r="J10" s="2">
        <v>112.31062686532832</v>
      </c>
      <c r="K10" s="2">
        <v>161.80711071960008</v>
      </c>
      <c r="L10" s="2">
        <v>129.08434320926915</v>
      </c>
      <c r="M10" s="2">
        <v>124.35491563433456</v>
      </c>
      <c r="N10" s="2">
        <v>177.86823559529188</v>
      </c>
      <c r="O10" s="2">
        <v>98.679457974472371</v>
      </c>
      <c r="P10" s="2">
        <v>180.23961558138609</v>
      </c>
      <c r="Q10" s="2">
        <v>50.810916231170609</v>
      </c>
      <c r="R10" s="2">
        <v>152.63666793629787</v>
      </c>
      <c r="S10" s="2">
        <v>167.28490094571708</v>
      </c>
      <c r="T10" s="2">
        <v>240.78530155112463</v>
      </c>
      <c r="U10" s="23">
        <v>114.37331826038783</v>
      </c>
    </row>
    <row r="11" spans="1:23" x14ac:dyDescent="0.25">
      <c r="A11" s="95"/>
      <c r="B11" s="100"/>
      <c r="C11" s="19" t="s">
        <v>30</v>
      </c>
      <c r="D11" s="2">
        <v>100.55636315441805</v>
      </c>
      <c r="E11" s="2">
        <v>98.601192409331816</v>
      </c>
      <c r="F11" s="2">
        <v>77.947754534487729</v>
      </c>
      <c r="G11" s="2">
        <v>172.2193593981217</v>
      </c>
      <c r="H11" s="2">
        <v>117.65513608588728</v>
      </c>
      <c r="I11" s="2">
        <v>234.64957374744017</v>
      </c>
      <c r="J11" s="2">
        <v>98.62344715770854</v>
      </c>
      <c r="K11" s="2">
        <v>135.19265641859337</v>
      </c>
      <c r="L11" s="2">
        <v>123.59345501055992</v>
      </c>
      <c r="M11" s="2">
        <v>141.76078004341574</v>
      </c>
      <c r="N11" s="2">
        <v>91.783945478307857</v>
      </c>
      <c r="O11" s="2">
        <v>104.0705200516291</v>
      </c>
      <c r="P11" s="2">
        <v>156.55577358567012</v>
      </c>
      <c r="Q11" s="2">
        <v>84.027544369123092</v>
      </c>
      <c r="R11" s="2">
        <v>135.56684376089282</v>
      </c>
      <c r="S11" s="2">
        <v>146.82796444835583</v>
      </c>
      <c r="T11" s="2">
        <v>204.50708448376412</v>
      </c>
      <c r="U11" s="23">
        <v>104.70265608425692</v>
      </c>
    </row>
    <row r="12" spans="1:23" x14ac:dyDescent="0.25">
      <c r="A12" s="95"/>
      <c r="B12" s="101"/>
      <c r="C12" s="52" t="s">
        <v>31</v>
      </c>
      <c r="D12" s="20">
        <v>97.608246409891791</v>
      </c>
      <c r="E12" s="20">
        <v>81.067780868252186</v>
      </c>
      <c r="F12" s="20">
        <v>45.78989511784647</v>
      </c>
      <c r="G12" s="20">
        <v>76.336594013281911</v>
      </c>
      <c r="H12" s="20">
        <v>93.340810206909026</v>
      </c>
      <c r="I12" s="20">
        <v>148.53640859891178</v>
      </c>
      <c r="J12" s="20">
        <v>81.664031323901298</v>
      </c>
      <c r="K12" s="20">
        <v>94.019607025918816</v>
      </c>
      <c r="L12" s="20">
        <v>95.064561313497592</v>
      </c>
      <c r="M12" s="20">
        <v>119.54780375429084</v>
      </c>
      <c r="N12" s="20">
        <v>61.213909343360399</v>
      </c>
      <c r="O12" s="20">
        <v>87.507028307703791</v>
      </c>
      <c r="P12" s="20">
        <v>110.33185783486465</v>
      </c>
      <c r="Q12" s="20">
        <v>91.074908489180132</v>
      </c>
      <c r="R12" s="20">
        <v>94.847338113496676</v>
      </c>
      <c r="S12" s="20">
        <v>108.11214294979132</v>
      </c>
      <c r="T12" s="20">
        <v>146.02341255765577</v>
      </c>
      <c r="U12" s="24">
        <v>76.73567023694676</v>
      </c>
    </row>
    <row r="13" spans="1:23" x14ac:dyDescent="0.25">
      <c r="A13" s="95"/>
      <c r="B13" s="58"/>
      <c r="C13" s="59" t="s">
        <v>51</v>
      </c>
      <c r="D13" s="33">
        <v>56.167056365956171</v>
      </c>
      <c r="E13" s="33">
        <v>32.409447023148232</v>
      </c>
      <c r="F13" s="33">
        <v>51.714308714437749</v>
      </c>
      <c r="G13" s="33">
        <v>40.134336848298574</v>
      </c>
      <c r="H13" s="33">
        <v>78.986559163664424</v>
      </c>
      <c r="I13" s="33">
        <v>30.510561557882539</v>
      </c>
      <c r="J13" s="33">
        <v>51.627919298657389</v>
      </c>
      <c r="K13" s="33">
        <v>50.244552760785382</v>
      </c>
      <c r="L13" s="33">
        <v>19.009613097701532</v>
      </c>
      <c r="M13" s="33">
        <v>36.426855419235551</v>
      </c>
      <c r="N13" s="33">
        <v>14.880931187369754</v>
      </c>
      <c r="O13" s="33">
        <v>48.441649034108167</v>
      </c>
      <c r="P13" s="33">
        <v>34.217260843965846</v>
      </c>
      <c r="Q13" s="33">
        <v>87.672613871658655</v>
      </c>
      <c r="R13" s="33">
        <v>35.883687835369585</v>
      </c>
      <c r="S13" s="33">
        <v>40.395442740422027</v>
      </c>
      <c r="T13" s="33">
        <v>68.496171516079642</v>
      </c>
      <c r="U13" s="33">
        <v>48.614402879293038</v>
      </c>
    </row>
    <row r="14" spans="1:23" x14ac:dyDescent="0.25">
      <c r="A14" s="95"/>
      <c r="B14" s="99">
        <v>2004</v>
      </c>
      <c r="C14" s="61" t="s">
        <v>28</v>
      </c>
      <c r="D14" s="21">
        <v>73.710591512863886</v>
      </c>
      <c r="E14" s="21">
        <v>58.119306436785649</v>
      </c>
      <c r="F14" s="21">
        <v>33.267898903179685</v>
      </c>
      <c r="G14" s="21">
        <v>64.538849930369679</v>
      </c>
      <c r="H14" s="21">
        <v>102.49809879592073</v>
      </c>
      <c r="I14" s="21">
        <v>65.136458694630761</v>
      </c>
      <c r="J14" s="21">
        <v>62.848086062451983</v>
      </c>
      <c r="K14" s="21">
        <v>100.35893672542161</v>
      </c>
      <c r="L14" s="21">
        <v>46.943030646433385</v>
      </c>
      <c r="M14" s="21">
        <v>88.179424630258382</v>
      </c>
      <c r="N14" s="21">
        <v>9.7769618607137119</v>
      </c>
      <c r="O14" s="21">
        <v>65.423267722050099</v>
      </c>
      <c r="P14" s="21">
        <v>80.841484597033656</v>
      </c>
      <c r="Q14" s="21">
        <v>178.54863269389818</v>
      </c>
      <c r="R14" s="21">
        <v>95.47705808848275</v>
      </c>
      <c r="S14" s="21">
        <v>75.146679845869016</v>
      </c>
      <c r="T14" s="21">
        <v>971.14580355722046</v>
      </c>
      <c r="U14" s="22">
        <v>40.605399823646138</v>
      </c>
    </row>
    <row r="15" spans="1:23" x14ac:dyDescent="0.25">
      <c r="A15" s="95"/>
      <c r="B15" s="100"/>
      <c r="C15" s="19" t="s">
        <v>29</v>
      </c>
      <c r="D15" s="2">
        <v>53.251091567376335</v>
      </c>
      <c r="E15" s="2">
        <v>33.394382857803123</v>
      </c>
      <c r="F15" s="2">
        <v>43.974989590515918</v>
      </c>
      <c r="G15" s="2">
        <v>37.426011827104219</v>
      </c>
      <c r="H15" s="2">
        <v>90.493585499842652</v>
      </c>
      <c r="I15" s="2">
        <v>40.957977271636651</v>
      </c>
      <c r="J15" s="2">
        <v>50.670364930891111</v>
      </c>
      <c r="K15" s="2">
        <v>59.199036657076789</v>
      </c>
      <c r="L15" s="2">
        <v>21.408387561050461</v>
      </c>
      <c r="M15" s="2">
        <v>27.665492854394302</v>
      </c>
      <c r="N15" s="2">
        <v>-6.1116227600100785</v>
      </c>
      <c r="O15" s="2">
        <v>51.47802999215935</v>
      </c>
      <c r="P15" s="2">
        <v>36.319157512521627</v>
      </c>
      <c r="Q15" s="2">
        <v>157.70607547435702</v>
      </c>
      <c r="R15" s="2">
        <v>48.535624303290064</v>
      </c>
      <c r="S15" s="2">
        <v>57.740472764783135</v>
      </c>
      <c r="T15" s="2">
        <v>-89.074883568660283</v>
      </c>
      <c r="U15" s="23">
        <v>55.053403185397315</v>
      </c>
    </row>
    <row r="16" spans="1:23" x14ac:dyDescent="0.25">
      <c r="A16" s="95"/>
      <c r="B16" s="100"/>
      <c r="C16" s="19" t="s">
        <v>30</v>
      </c>
      <c r="D16" s="2">
        <v>49.122443423875012</v>
      </c>
      <c r="E16" s="2">
        <v>25.778800262859946</v>
      </c>
      <c r="F16" s="2">
        <v>49.614248168912297</v>
      </c>
      <c r="G16" s="2">
        <v>13.841047918151901</v>
      </c>
      <c r="H16" s="2">
        <v>75.306889182877057</v>
      </c>
      <c r="I16" s="2">
        <v>25.804046802561388</v>
      </c>
      <c r="J16" s="2">
        <v>45.416038148084624</v>
      </c>
      <c r="K16" s="2">
        <v>37.233292117323259</v>
      </c>
      <c r="L16" s="2">
        <v>11.962874448475148</v>
      </c>
      <c r="M16" s="2">
        <v>26.597870595500268</v>
      </c>
      <c r="N16" s="2">
        <v>3.6850236626152224</v>
      </c>
      <c r="O16" s="2">
        <v>43.273770871711321</v>
      </c>
      <c r="P16" s="2">
        <v>31.310125064044655</v>
      </c>
      <c r="Q16" s="2">
        <v>69.114748285999411</v>
      </c>
      <c r="R16" s="2">
        <v>20.514831544188922</v>
      </c>
      <c r="S16" s="2">
        <v>13.209494464808657</v>
      </c>
      <c r="T16" s="2">
        <v>-91.236770736458112</v>
      </c>
      <c r="U16" s="23">
        <v>45.476627419805681</v>
      </c>
    </row>
    <row r="17" spans="1:21" x14ac:dyDescent="0.25">
      <c r="A17" s="95"/>
      <c r="B17" s="101"/>
      <c r="C17" s="52" t="s">
        <v>31</v>
      </c>
      <c r="D17" s="20">
        <v>46.296971883940614</v>
      </c>
      <c r="E17" s="20">
        <v>21.082198929056943</v>
      </c>
      <c r="F17" s="20">
        <v>78.358286859253042</v>
      </c>
      <c r="G17" s="20">
        <v>63.685939954243452</v>
      </c>
      <c r="H17" s="20">
        <v>62.735640926398702</v>
      </c>
      <c r="I17" s="20">
        <v>5.0899662470873324</v>
      </c>
      <c r="J17" s="20">
        <v>50.222522295885483</v>
      </c>
      <c r="K17" s="20">
        <v>34.640135125418908</v>
      </c>
      <c r="L17" s="20">
        <v>17.079691143255488</v>
      </c>
      <c r="M17" s="20">
        <v>31.751709726450173</v>
      </c>
      <c r="N17" s="20">
        <v>45.702231922122024</v>
      </c>
      <c r="O17" s="20">
        <v>41.934107128525511</v>
      </c>
      <c r="P17" s="20">
        <v>17.835364476878127</v>
      </c>
      <c r="Q17" s="20">
        <v>34.212896003850801</v>
      </c>
      <c r="R17" s="20">
        <v>11.752605525480519</v>
      </c>
      <c r="S17" s="20">
        <v>34.603340305251464</v>
      </c>
      <c r="T17" s="20">
        <v>-92.726632156937924</v>
      </c>
      <c r="U17" s="24">
        <v>51.717505226623103</v>
      </c>
    </row>
    <row r="18" spans="1:21" x14ac:dyDescent="0.25">
      <c r="A18" s="95"/>
      <c r="B18" s="58"/>
      <c r="C18" s="59" t="s">
        <v>51</v>
      </c>
      <c r="D18" s="33">
        <v>32.32840280016876</v>
      </c>
      <c r="E18" s="33">
        <v>30.871767889906238</v>
      </c>
      <c r="F18" s="33">
        <v>90.048289690002548</v>
      </c>
      <c r="G18" s="33">
        <v>52.1008711098616</v>
      </c>
      <c r="H18" s="33">
        <v>33.18953877946268</v>
      </c>
      <c r="I18" s="33">
        <v>2.5036105171636081</v>
      </c>
      <c r="J18" s="33">
        <v>66.486640455047933</v>
      </c>
      <c r="K18" s="33">
        <v>46.256676529528363</v>
      </c>
      <c r="L18" s="33">
        <v>77.288900626595847</v>
      </c>
      <c r="M18" s="33">
        <v>38.044506392892657</v>
      </c>
      <c r="N18" s="33">
        <v>168.50110032626293</v>
      </c>
      <c r="O18" s="33">
        <v>35.467177441273606</v>
      </c>
      <c r="P18" s="33">
        <v>45.428162416838148</v>
      </c>
      <c r="Q18" s="33">
        <v>14.167959266084253</v>
      </c>
      <c r="R18" s="33">
        <v>46.172684169660016</v>
      </c>
      <c r="S18" s="33">
        <v>29.118282473669979</v>
      </c>
      <c r="T18" s="33">
        <v>24.142945432071855</v>
      </c>
      <c r="U18" s="33">
        <v>59.972453989853761</v>
      </c>
    </row>
    <row r="19" spans="1:21" x14ac:dyDescent="0.25">
      <c r="A19" s="95"/>
      <c r="B19" s="99">
        <v>2005</v>
      </c>
      <c r="C19" s="61" t="s">
        <v>28</v>
      </c>
      <c r="D19" s="21">
        <v>31.772288371396002</v>
      </c>
      <c r="E19" s="21">
        <v>19.214748649539203</v>
      </c>
      <c r="F19" s="21">
        <v>103.54377922442458</v>
      </c>
      <c r="G19" s="21">
        <v>73.539459996279334</v>
      </c>
      <c r="H19" s="21">
        <v>45.180727571283029</v>
      </c>
      <c r="I19" s="21">
        <v>-4.5297400039543305</v>
      </c>
      <c r="J19" s="21">
        <v>57.821083651159597</v>
      </c>
      <c r="K19" s="21">
        <v>58.981390399853524</v>
      </c>
      <c r="L19" s="21">
        <v>32.061513005595941</v>
      </c>
      <c r="M19" s="21">
        <v>60.463049173983478</v>
      </c>
      <c r="N19" s="21">
        <v>158.86470419496266</v>
      </c>
      <c r="O19" s="21">
        <v>43.315221765682736</v>
      </c>
      <c r="P19" s="21">
        <v>43.748743284091717</v>
      </c>
      <c r="Q19" s="21">
        <v>28.071862166456725</v>
      </c>
      <c r="R19" s="21">
        <v>25.528223505269665</v>
      </c>
      <c r="S19" s="21">
        <v>39.408695403087165</v>
      </c>
      <c r="T19" s="21">
        <v>-96.958576268419904</v>
      </c>
      <c r="U19" s="22">
        <v>94.995686974564705</v>
      </c>
    </row>
    <row r="20" spans="1:21" x14ac:dyDescent="0.25">
      <c r="A20" s="95"/>
      <c r="B20" s="100"/>
      <c r="C20" s="19" t="s">
        <v>29</v>
      </c>
      <c r="D20" s="2">
        <v>30.144020517438946</v>
      </c>
      <c r="E20" s="2">
        <v>25.697317788157818</v>
      </c>
      <c r="F20" s="2">
        <v>98.955610954201148</v>
      </c>
      <c r="G20" s="2">
        <v>111.79668536417239</v>
      </c>
      <c r="H20" s="2">
        <v>35.753154286029201</v>
      </c>
      <c r="I20" s="2">
        <v>-7.4462779433895605</v>
      </c>
      <c r="J20" s="2">
        <v>63.409707821149851</v>
      </c>
      <c r="K20" s="2">
        <v>53.273568553007806</v>
      </c>
      <c r="L20" s="2">
        <v>56.144482044923507</v>
      </c>
      <c r="M20" s="2">
        <v>31.369587088712592</v>
      </c>
      <c r="N20" s="2">
        <v>216.82126277327194</v>
      </c>
      <c r="O20" s="2">
        <v>45.364260556581428</v>
      </c>
      <c r="P20" s="2">
        <v>50.207860439543708</v>
      </c>
      <c r="Q20" s="2">
        <v>13.053367336792633</v>
      </c>
      <c r="R20" s="2">
        <v>29.953247828286038</v>
      </c>
      <c r="S20" s="2">
        <v>19.786256364358664</v>
      </c>
      <c r="T20" s="2">
        <v>127.64078796120222</v>
      </c>
      <c r="U20" s="23">
        <v>59.655468323966744</v>
      </c>
    </row>
    <row r="21" spans="1:21" x14ac:dyDescent="0.25">
      <c r="A21" s="95"/>
      <c r="B21" s="100"/>
      <c r="C21" s="19" t="s">
        <v>30</v>
      </c>
      <c r="D21" s="2">
        <v>35.191224381916726</v>
      </c>
      <c r="E21" s="2">
        <v>32.692942802608655</v>
      </c>
      <c r="F21" s="2">
        <v>106.56510838652719</v>
      </c>
      <c r="G21" s="2">
        <v>56.972215401323638</v>
      </c>
      <c r="H21" s="2">
        <v>29.532701428458807</v>
      </c>
      <c r="I21" s="2">
        <v>-9.4564504209274389</v>
      </c>
      <c r="J21" s="2">
        <v>69.220293930323436</v>
      </c>
      <c r="K21" s="2">
        <v>45.452460624697181</v>
      </c>
      <c r="L21" s="2">
        <v>78.861584108244273</v>
      </c>
      <c r="M21" s="2">
        <v>29.19218037364476</v>
      </c>
      <c r="N21" s="2">
        <v>195.8661767766273</v>
      </c>
      <c r="O21" s="2">
        <v>35.408242850018183</v>
      </c>
      <c r="P21" s="2">
        <v>35.217986416117498</v>
      </c>
      <c r="Q21" s="2">
        <v>8.5168952991187155</v>
      </c>
      <c r="R21" s="2">
        <v>46.777776449612446</v>
      </c>
      <c r="S21" s="2">
        <v>34.613578287662392</v>
      </c>
      <c r="T21" s="2">
        <v>121.67970130657847</v>
      </c>
      <c r="U21" s="23">
        <v>64.447080973824598</v>
      </c>
    </row>
    <row r="22" spans="1:21" x14ac:dyDescent="0.25">
      <c r="A22" s="95"/>
      <c r="B22" s="101"/>
      <c r="C22" s="52" t="s">
        <v>31</v>
      </c>
      <c r="D22" s="20">
        <v>34.709857754077035</v>
      </c>
      <c r="E22" s="20">
        <v>41.566915182407172</v>
      </c>
      <c r="F22" s="20">
        <v>59.030523404111733</v>
      </c>
      <c r="G22" s="20">
        <v>-3.8092200559082556</v>
      </c>
      <c r="H22" s="20">
        <v>26.847850679619214</v>
      </c>
      <c r="I22" s="20">
        <v>36.003963893575786</v>
      </c>
      <c r="J22" s="20">
        <v>73.339577187529756</v>
      </c>
      <c r="K22" s="20">
        <v>33.821209853030496</v>
      </c>
      <c r="L22" s="20">
        <v>102.51605839335923</v>
      </c>
      <c r="M22" s="20">
        <v>38.523884965282861</v>
      </c>
      <c r="N22" s="20">
        <v>130.18157727299587</v>
      </c>
      <c r="O22" s="20">
        <v>24.801306929651673</v>
      </c>
      <c r="P22" s="20">
        <v>50.713675990831263</v>
      </c>
      <c r="Q22" s="20">
        <v>9.7836618701401932</v>
      </c>
      <c r="R22" s="20">
        <v>77.559613247344913</v>
      </c>
      <c r="S22" s="20">
        <v>26.144990305051934</v>
      </c>
      <c r="T22" s="20">
        <v>7219.2549001958187</v>
      </c>
      <c r="U22" s="24">
        <v>34.659096478810369</v>
      </c>
    </row>
    <row r="23" spans="1:21" x14ac:dyDescent="0.25">
      <c r="A23" s="95"/>
      <c r="B23" s="58"/>
      <c r="C23" s="59" t="s">
        <v>51</v>
      </c>
      <c r="D23" s="33">
        <v>26.845604388514516</v>
      </c>
      <c r="E23" s="33">
        <v>51.577492259369706</v>
      </c>
      <c r="F23" s="33">
        <v>22.053171114457442</v>
      </c>
      <c r="G23" s="33">
        <v>-7.4005286931518413</v>
      </c>
      <c r="H23" s="33">
        <v>22.802306273179539</v>
      </c>
      <c r="I23" s="33">
        <v>166.65577257150153</v>
      </c>
      <c r="J23" s="33">
        <v>55.955443700876884</v>
      </c>
      <c r="K23" s="33">
        <v>11.168145688460626</v>
      </c>
      <c r="L23" s="33">
        <v>129.09741904090913</v>
      </c>
      <c r="M23" s="33">
        <v>35.627238999151189</v>
      </c>
      <c r="N23" s="33">
        <v>37.558681627907561</v>
      </c>
      <c r="O23" s="33">
        <v>24.461913245721931</v>
      </c>
      <c r="P23" s="33">
        <v>31.115604680686744</v>
      </c>
      <c r="Q23" s="33">
        <v>26.07730805178079</v>
      </c>
      <c r="R23" s="33">
        <v>85.982538307021827</v>
      </c>
      <c r="S23" s="33">
        <v>28.713202614379099</v>
      </c>
      <c r="T23" s="33">
        <v>11.237358947327309</v>
      </c>
      <c r="U23" s="33">
        <v>30.647368342421942</v>
      </c>
    </row>
    <row r="24" spans="1:21" x14ac:dyDescent="0.25">
      <c r="A24" s="95"/>
      <c r="B24" s="99">
        <v>2006</v>
      </c>
      <c r="C24" s="61" t="s">
        <v>28</v>
      </c>
      <c r="D24" s="21">
        <v>33.169814988114723</v>
      </c>
      <c r="E24" s="21">
        <v>56.600172946177963</v>
      </c>
      <c r="F24" s="21">
        <v>35.602313614907587</v>
      </c>
      <c r="G24" s="21">
        <v>11.274678855437074</v>
      </c>
      <c r="H24" s="21">
        <v>29.308027671110068</v>
      </c>
      <c r="I24" s="21">
        <v>92.606154830321628</v>
      </c>
      <c r="J24" s="21">
        <v>71.888684509743001</v>
      </c>
      <c r="K24" s="21">
        <v>23.986536790525093</v>
      </c>
      <c r="L24" s="21">
        <v>124.54836815276917</v>
      </c>
      <c r="M24" s="21">
        <v>34.131490470996653</v>
      </c>
      <c r="N24" s="21">
        <v>63.613189085532895</v>
      </c>
      <c r="O24" s="21">
        <v>9.9811259933738796</v>
      </c>
      <c r="P24" s="21">
        <v>28.815189115032211</v>
      </c>
      <c r="Q24" s="21">
        <v>15.420221630825552</v>
      </c>
      <c r="R24" s="21">
        <v>136.12539632832332</v>
      </c>
      <c r="S24" s="21">
        <v>11.041191913211605</v>
      </c>
      <c r="T24" s="21">
        <v>778.12029799616164</v>
      </c>
      <c r="U24" s="22">
        <v>37.289014237533138</v>
      </c>
    </row>
    <row r="25" spans="1:21" x14ac:dyDescent="0.25">
      <c r="A25" s="95"/>
      <c r="B25" s="100"/>
      <c r="C25" s="19" t="s">
        <v>29</v>
      </c>
      <c r="D25" s="2">
        <v>28.318820060699323</v>
      </c>
      <c r="E25" s="2">
        <v>57.952206223877937</v>
      </c>
      <c r="F25" s="2">
        <v>39.731449315838915</v>
      </c>
      <c r="G25" s="2">
        <v>-26.933496794526349</v>
      </c>
      <c r="H25" s="2">
        <v>25.252309967348637</v>
      </c>
      <c r="I25" s="2">
        <v>131.22764478262692</v>
      </c>
      <c r="J25" s="2">
        <v>64.74242400809851</v>
      </c>
      <c r="K25" s="2">
        <v>11.087152366477483</v>
      </c>
      <c r="L25" s="2">
        <v>136.13571939475878</v>
      </c>
      <c r="M25" s="2">
        <v>37.132942243491385</v>
      </c>
      <c r="N25" s="2">
        <v>39.506812670779425</v>
      </c>
      <c r="O25" s="2">
        <v>5.7098695114159597</v>
      </c>
      <c r="P25" s="2">
        <v>47.338163947449232</v>
      </c>
      <c r="Q25" s="2">
        <v>20.609866592737205</v>
      </c>
      <c r="R25" s="2">
        <v>132.46361925813653</v>
      </c>
      <c r="S25" s="2">
        <v>17.97332954778021</v>
      </c>
      <c r="T25" s="2">
        <v>732.12598028231378</v>
      </c>
      <c r="U25" s="23">
        <v>37.447464174233716</v>
      </c>
    </row>
    <row r="26" spans="1:21" x14ac:dyDescent="0.25">
      <c r="A26" s="95"/>
      <c r="B26" s="100"/>
      <c r="C26" s="19" t="s">
        <v>30</v>
      </c>
      <c r="D26" s="2">
        <v>21.206986518747371</v>
      </c>
      <c r="E26" s="2">
        <v>53.104525434308016</v>
      </c>
      <c r="F26" s="2">
        <v>7.407392592075837</v>
      </c>
      <c r="G26" s="2">
        <v>-16.826244378046326</v>
      </c>
      <c r="H26" s="2">
        <v>20.872179620015842</v>
      </c>
      <c r="I26" s="2">
        <v>184.96260003803496</v>
      </c>
      <c r="J26" s="2">
        <v>54.211842810776574</v>
      </c>
      <c r="K26" s="2">
        <v>6.0060094445743886</v>
      </c>
      <c r="L26" s="2">
        <v>138.16153897593506</v>
      </c>
      <c r="M26" s="2">
        <v>36.637302472945493</v>
      </c>
      <c r="N26" s="2">
        <v>31.393666427724042</v>
      </c>
      <c r="O26" s="2">
        <v>14.109315176743166</v>
      </c>
      <c r="P26" s="2">
        <v>20.161727466631518</v>
      </c>
      <c r="Q26" s="2">
        <v>21.264838044589098</v>
      </c>
      <c r="R26" s="2">
        <v>87.906992412210002</v>
      </c>
      <c r="S26" s="2">
        <v>42.590242246783561</v>
      </c>
      <c r="T26" s="2">
        <v>829.47030969072171</v>
      </c>
      <c r="U26" s="23">
        <v>18.982559616318113</v>
      </c>
    </row>
    <row r="27" spans="1:21" x14ac:dyDescent="0.25">
      <c r="A27" s="95"/>
      <c r="B27" s="101"/>
      <c r="C27" s="52" t="s">
        <v>31</v>
      </c>
      <c r="D27" s="20">
        <v>20.172180072934282</v>
      </c>
      <c r="E27" s="20">
        <v>44.157326781042343</v>
      </c>
      <c r="F27" s="20">
        <v>10.956873443664009</v>
      </c>
      <c r="G27" s="20">
        <v>16.209434553308327</v>
      </c>
      <c r="H27" s="20">
        <v>17.848890661841054</v>
      </c>
      <c r="I27" s="20">
        <v>229.43618299419995</v>
      </c>
      <c r="J27" s="20">
        <v>39.17623503475204</v>
      </c>
      <c r="K27" s="20">
        <v>6.5761325108062181</v>
      </c>
      <c r="L27" s="20">
        <v>119.99485474273257</v>
      </c>
      <c r="M27" s="20">
        <v>34.595691006970725</v>
      </c>
      <c r="N27" s="20">
        <v>26.34362075479703</v>
      </c>
      <c r="O27" s="20">
        <v>56.7658933210013</v>
      </c>
      <c r="P27" s="20">
        <v>30.221406154545406</v>
      </c>
      <c r="Q27" s="20">
        <v>45.761164173665549</v>
      </c>
      <c r="R27" s="20">
        <v>24.13644993515976</v>
      </c>
      <c r="S27" s="20">
        <v>38.223888091735773</v>
      </c>
      <c r="T27" s="20">
        <v>-50.252762191354094</v>
      </c>
      <c r="U27" s="24">
        <v>30.927329571776824</v>
      </c>
    </row>
    <row r="28" spans="1:21" x14ac:dyDescent="0.25">
      <c r="A28" s="95"/>
      <c r="B28" s="58"/>
      <c r="C28" s="59" t="s">
        <v>51</v>
      </c>
      <c r="D28" s="33">
        <v>21.729473732303958</v>
      </c>
      <c r="E28" s="33">
        <v>17.184070531119914</v>
      </c>
      <c r="F28" s="33">
        <v>27.927962473122363</v>
      </c>
      <c r="G28" s="33">
        <v>-0.26168888497160481</v>
      </c>
      <c r="H28" s="33">
        <v>11.737133644625658</v>
      </c>
      <c r="I28" s="33">
        <v>59.228989674682055</v>
      </c>
      <c r="J28" s="33">
        <v>29.453248396058683</v>
      </c>
      <c r="K28" s="33">
        <v>20.013658624188579</v>
      </c>
      <c r="L28" s="33">
        <v>50.657426749416231</v>
      </c>
      <c r="M28" s="33">
        <v>32.319882383923982</v>
      </c>
      <c r="N28" s="33">
        <v>20.020522314235606</v>
      </c>
      <c r="O28" s="33">
        <v>45.206757920936838</v>
      </c>
      <c r="P28" s="33">
        <v>23.327173960436511</v>
      </c>
      <c r="Q28" s="33">
        <v>22.822419063022465</v>
      </c>
      <c r="R28" s="33">
        <v>-47.929383559152264</v>
      </c>
      <c r="S28" s="33">
        <v>36.055637704944672</v>
      </c>
      <c r="T28" s="33">
        <v>77.349152304398189</v>
      </c>
      <c r="U28" s="33">
        <v>18.850029045630663</v>
      </c>
    </row>
    <row r="29" spans="1:21" x14ac:dyDescent="0.25">
      <c r="A29" s="95"/>
      <c r="B29" s="99">
        <v>2007</v>
      </c>
      <c r="C29" s="61" t="s">
        <v>28</v>
      </c>
      <c r="D29" s="21">
        <v>21.51473079270103</v>
      </c>
      <c r="E29" s="21">
        <v>27.973622469499176</v>
      </c>
      <c r="F29" s="21">
        <v>13.681308623235665</v>
      </c>
      <c r="G29" s="21">
        <v>-9.6043562124065573</v>
      </c>
      <c r="H29" s="21">
        <v>9.5123838831938201</v>
      </c>
      <c r="I29" s="21">
        <v>39.130673170294273</v>
      </c>
      <c r="J29" s="21">
        <v>20.623442480328038</v>
      </c>
      <c r="K29" s="21">
        <v>13.8064394464906</v>
      </c>
      <c r="L29" s="21">
        <v>84.303969444023181</v>
      </c>
      <c r="M29" s="21">
        <v>27.315003350145489</v>
      </c>
      <c r="N29" s="21">
        <v>20.157993003625506</v>
      </c>
      <c r="O29" s="21">
        <v>48.007728234289488</v>
      </c>
      <c r="P29" s="21">
        <v>29.068272861149211</v>
      </c>
      <c r="Q29" s="21">
        <v>34.529687838204467</v>
      </c>
      <c r="R29" s="21">
        <v>-33.642872203837342</v>
      </c>
      <c r="S29" s="21">
        <v>59.900162169886272</v>
      </c>
      <c r="T29" s="21">
        <v>87.691846952999896</v>
      </c>
      <c r="U29" s="22">
        <v>13.100069923750809</v>
      </c>
    </row>
    <row r="30" spans="1:21" x14ac:dyDescent="0.25">
      <c r="A30" s="95"/>
      <c r="B30" s="100"/>
      <c r="C30" s="19" t="s">
        <v>29</v>
      </c>
      <c r="D30" s="2">
        <v>20.375860355003368</v>
      </c>
      <c r="E30" s="2">
        <v>17.507972475318539</v>
      </c>
      <c r="F30" s="2">
        <v>6.719333566678003</v>
      </c>
      <c r="G30" s="2">
        <v>-15.229252556367769</v>
      </c>
      <c r="H30" s="2">
        <v>6.8993541738207256</v>
      </c>
      <c r="I30" s="2">
        <v>132.61945168814071</v>
      </c>
      <c r="J30" s="2">
        <v>7.1131612007595351</v>
      </c>
      <c r="K30" s="2">
        <v>18.855143580887827</v>
      </c>
      <c r="L30" s="2">
        <v>62.723286431721903</v>
      </c>
      <c r="M30" s="2">
        <v>29.909557378722269</v>
      </c>
      <c r="N30" s="2">
        <v>16.517705033960283</v>
      </c>
      <c r="O30" s="2">
        <v>57.741443387938233</v>
      </c>
      <c r="P30" s="2">
        <v>16.076098814042922</v>
      </c>
      <c r="Q30" s="2">
        <v>30.335794735715922</v>
      </c>
      <c r="R30" s="2">
        <v>-53.584593909834574</v>
      </c>
      <c r="S30" s="2">
        <v>47.188836789756039</v>
      </c>
      <c r="T30" s="2">
        <v>8.8169016791000701</v>
      </c>
      <c r="U30" s="23">
        <v>9.32644306722446</v>
      </c>
    </row>
    <row r="31" spans="1:21" x14ac:dyDescent="0.25">
      <c r="A31" s="95"/>
      <c r="B31" s="100"/>
      <c r="C31" s="19" t="s">
        <v>30</v>
      </c>
      <c r="D31" s="2">
        <v>23.67209871083891</v>
      </c>
      <c r="E31" s="2">
        <v>13.183814152864585</v>
      </c>
      <c r="F31" s="2">
        <v>26.183013258275366</v>
      </c>
      <c r="G31" s="2">
        <v>-9.8428101108700758</v>
      </c>
      <c r="H31" s="2">
        <v>11.261357304126534</v>
      </c>
      <c r="I31" s="2">
        <v>65.12685186521631</v>
      </c>
      <c r="J31" s="2">
        <v>35.167098236901609</v>
      </c>
      <c r="K31" s="2">
        <v>22.689350011312285</v>
      </c>
      <c r="L31" s="2">
        <v>47.763751362291458</v>
      </c>
      <c r="M31" s="2">
        <v>31.447365582642789</v>
      </c>
      <c r="N31" s="2">
        <v>17.445544784105607</v>
      </c>
      <c r="O31" s="2">
        <v>56.68010678577923</v>
      </c>
      <c r="P31" s="2">
        <v>43.195374530292867</v>
      </c>
      <c r="Q31" s="2">
        <v>28.034249000039637</v>
      </c>
      <c r="R31" s="2">
        <v>-56.716271612342709</v>
      </c>
      <c r="S31" s="2">
        <v>43.737562244431871</v>
      </c>
      <c r="T31" s="2">
        <v>-88.303907705327532</v>
      </c>
      <c r="U31" s="23">
        <v>23.65776091921532</v>
      </c>
    </row>
    <row r="32" spans="1:21" x14ac:dyDescent="0.25">
      <c r="A32" s="95"/>
      <c r="B32" s="101"/>
      <c r="C32" s="52" t="s">
        <v>31</v>
      </c>
      <c r="D32" s="20">
        <v>22.819283263016146</v>
      </c>
      <c r="E32" s="20">
        <v>12.045317610524847</v>
      </c>
      <c r="F32" s="20">
        <v>70.055997904661979</v>
      </c>
      <c r="G32" s="20">
        <v>32.870999877764405</v>
      </c>
      <c r="H32" s="20">
        <v>17.986549145668306</v>
      </c>
      <c r="I32" s="20">
        <v>23.018825066158072</v>
      </c>
      <c r="J32" s="20">
        <v>51.547679928694976</v>
      </c>
      <c r="K32" s="20">
        <v>23.894099921868744</v>
      </c>
      <c r="L32" s="20">
        <v>40.101678125477974</v>
      </c>
      <c r="M32" s="20">
        <v>38.55270953545471</v>
      </c>
      <c r="N32" s="20">
        <v>24.949784030881617</v>
      </c>
      <c r="O32" s="20">
        <v>30.631991483321968</v>
      </c>
      <c r="P32" s="20">
        <v>13.540397097415948</v>
      </c>
      <c r="Q32" s="20">
        <v>4.175798980558227</v>
      </c>
      <c r="R32" s="20">
        <v>-47.053635369401135</v>
      </c>
      <c r="S32" s="20">
        <v>11.318148092345126</v>
      </c>
      <c r="T32" s="20">
        <v>188.9523677902323</v>
      </c>
      <c r="U32" s="24">
        <v>29.128404744571867</v>
      </c>
    </row>
    <row r="33" spans="1:21" x14ac:dyDescent="0.25">
      <c r="A33" s="95"/>
      <c r="B33" s="58"/>
      <c r="C33" s="59" t="s">
        <v>51</v>
      </c>
      <c r="D33" s="33">
        <v>19.344132543526626</v>
      </c>
      <c r="E33" s="33">
        <v>27.480720791715555</v>
      </c>
      <c r="F33" s="33">
        <v>32.619679802615366</v>
      </c>
      <c r="G33" s="33">
        <v>-6.585513964339512</v>
      </c>
      <c r="H33" s="33">
        <v>35.755193428815261</v>
      </c>
      <c r="I33" s="33">
        <v>-14.072426792564642</v>
      </c>
      <c r="J33" s="33">
        <v>17.940684551641411</v>
      </c>
      <c r="K33" s="33">
        <v>23.493004848870669</v>
      </c>
      <c r="L33" s="33">
        <v>36.216100697812493</v>
      </c>
      <c r="M33" s="33">
        <v>54.996929680481514</v>
      </c>
      <c r="N33" s="33">
        <v>47.09071467623275</v>
      </c>
      <c r="O33" s="33">
        <v>36.388659963021439</v>
      </c>
      <c r="P33" s="33">
        <v>40.191992258808398</v>
      </c>
      <c r="Q33" s="33">
        <v>12.377394301324316</v>
      </c>
      <c r="R33" s="33">
        <v>26.592515378954261</v>
      </c>
      <c r="S33" s="33">
        <v>59.958198972889051</v>
      </c>
      <c r="T33" s="33">
        <v>-31.738743196437397</v>
      </c>
      <c r="U33" s="33">
        <v>32.309579598056274</v>
      </c>
    </row>
    <row r="34" spans="1:21" x14ac:dyDescent="0.25">
      <c r="A34" s="95"/>
      <c r="B34" s="99">
        <v>2008</v>
      </c>
      <c r="C34" s="61" t="s">
        <v>28</v>
      </c>
      <c r="D34" s="21">
        <v>21.099016841980017</v>
      </c>
      <c r="E34" s="21">
        <v>19.29692239147407</v>
      </c>
      <c r="F34" s="21">
        <v>61.054338570637526</v>
      </c>
      <c r="G34" s="21">
        <v>34.753099653228048</v>
      </c>
      <c r="H34" s="21">
        <v>29.17322430130335</v>
      </c>
      <c r="I34" s="21">
        <v>110.80400138143253</v>
      </c>
      <c r="J34" s="21">
        <v>40.729091892601218</v>
      </c>
      <c r="K34" s="21">
        <v>23.560222271451892</v>
      </c>
      <c r="L34" s="21">
        <v>40.050357837641315</v>
      </c>
      <c r="M34" s="21">
        <v>57.428105384993927</v>
      </c>
      <c r="N34" s="21">
        <v>39.703748724744173</v>
      </c>
      <c r="O34" s="21">
        <v>43.863787370632593</v>
      </c>
      <c r="P34" s="21">
        <v>9.3978534330541663</v>
      </c>
      <c r="Q34" s="21">
        <v>9.4317596351381354</v>
      </c>
      <c r="R34" s="21">
        <v>-12.298404220164215</v>
      </c>
      <c r="S34" s="21">
        <v>29.519833212682755</v>
      </c>
      <c r="T34" s="21">
        <v>-18.864357708765993</v>
      </c>
      <c r="U34" s="22">
        <v>41.709942167263108</v>
      </c>
    </row>
    <row r="35" spans="1:21" x14ac:dyDescent="0.25">
      <c r="A35" s="95"/>
      <c r="B35" s="100"/>
      <c r="C35" s="19" t="s">
        <v>29</v>
      </c>
      <c r="D35" s="2">
        <v>22.411753085054272</v>
      </c>
      <c r="E35" s="2">
        <v>27.471941437302846</v>
      </c>
      <c r="F35" s="2">
        <v>96.82929943321821</v>
      </c>
      <c r="G35" s="2">
        <v>36.840188248701224</v>
      </c>
      <c r="H35" s="2">
        <v>37.998474616748155</v>
      </c>
      <c r="I35" s="2">
        <v>-39.119528947444607</v>
      </c>
      <c r="J35" s="2">
        <v>36.306344587180917</v>
      </c>
      <c r="K35" s="2">
        <v>23.584353837067724</v>
      </c>
      <c r="L35" s="2">
        <v>39.53193707068445</v>
      </c>
      <c r="M35" s="2">
        <v>61.661379163370356</v>
      </c>
      <c r="N35" s="2">
        <v>49.659787123629798</v>
      </c>
      <c r="O35" s="2">
        <v>46.65935112867632</v>
      </c>
      <c r="P35" s="2">
        <v>27.391646903590839</v>
      </c>
      <c r="Q35" s="2">
        <v>11.033041467582592</v>
      </c>
      <c r="R35" s="2">
        <v>27.147895052160237</v>
      </c>
      <c r="S35" s="2">
        <v>78.150761188118054</v>
      </c>
      <c r="T35" s="2">
        <v>136.89915798550211</v>
      </c>
      <c r="U35" s="23">
        <v>54.690954994169317</v>
      </c>
    </row>
    <row r="36" spans="1:21" x14ac:dyDescent="0.25">
      <c r="A36" s="95"/>
      <c r="B36" s="100"/>
      <c r="C36" s="19" t="s">
        <v>30</v>
      </c>
      <c r="D36" s="2">
        <v>15.228583675981341</v>
      </c>
      <c r="E36" s="2">
        <v>30.112630520547981</v>
      </c>
      <c r="F36" s="2">
        <v>45.132080436452327</v>
      </c>
      <c r="G36" s="2">
        <v>2.5151999315362588</v>
      </c>
      <c r="H36" s="2">
        <v>40.225114348309148</v>
      </c>
      <c r="I36" s="2">
        <v>-23.645092376672523</v>
      </c>
      <c r="J36" s="2">
        <v>6.8002058405175916</v>
      </c>
      <c r="K36" s="2">
        <v>23.776717579381469</v>
      </c>
      <c r="L36" s="2">
        <v>37.16042603285598</v>
      </c>
      <c r="M36" s="2">
        <v>59.67240615629575</v>
      </c>
      <c r="N36" s="2">
        <v>52.148614962094229</v>
      </c>
      <c r="O36" s="2">
        <v>32.187848049778381</v>
      </c>
      <c r="P36" s="2">
        <v>47.023494226451788</v>
      </c>
      <c r="Q36" s="2">
        <v>13.292240569830341</v>
      </c>
      <c r="R36" s="2">
        <v>53.365731955261481</v>
      </c>
      <c r="S36" s="2">
        <v>72.578171767147495</v>
      </c>
      <c r="T36" s="2">
        <v>1406.2844115717769</v>
      </c>
      <c r="U36" s="23">
        <v>33.650002795540985</v>
      </c>
    </row>
    <row r="37" spans="1:21" x14ac:dyDescent="0.25">
      <c r="A37" s="95"/>
      <c r="B37" s="101"/>
      <c r="C37" s="52" t="s">
        <v>31</v>
      </c>
      <c r="D37" s="20">
        <v>14.128490280822348</v>
      </c>
      <c r="E37" s="20">
        <v>32.242125594051402</v>
      </c>
      <c r="F37" s="20">
        <v>-45.384556751613189</v>
      </c>
      <c r="G37" s="20">
        <v>-65.920979892853353</v>
      </c>
      <c r="H37" s="20">
        <v>35.147986287425482</v>
      </c>
      <c r="I37" s="20">
        <v>-35.573787845165043</v>
      </c>
      <c r="J37" s="20">
        <v>0.17686723557260109</v>
      </c>
      <c r="K37" s="20">
        <v>23.100609492234426</v>
      </c>
      <c r="L37" s="20">
        <v>32.45228669800079</v>
      </c>
      <c r="M37" s="20">
        <v>44.373481595317458</v>
      </c>
      <c r="N37" s="20">
        <v>46.339474924750647</v>
      </c>
      <c r="O37" s="20">
        <v>29.616327479016718</v>
      </c>
      <c r="P37" s="20">
        <v>62.049557117331432</v>
      </c>
      <c r="Q37" s="20">
        <v>15.553633016004525</v>
      </c>
      <c r="R37" s="20">
        <v>56.033838875044239</v>
      </c>
      <c r="S37" s="20">
        <v>57.476727390724136</v>
      </c>
      <c r="T37" s="20">
        <v>-94.242953441464977</v>
      </c>
      <c r="U37" s="24">
        <v>4.0409025879628331</v>
      </c>
    </row>
    <row r="38" spans="1:21" x14ac:dyDescent="0.25">
      <c r="A38" s="95"/>
      <c r="B38" s="58"/>
      <c r="C38" s="59" t="s">
        <v>51</v>
      </c>
      <c r="D38" s="33">
        <v>16.047757523859559</v>
      </c>
      <c r="E38" s="33">
        <v>14.827410887049552</v>
      </c>
      <c r="F38" s="33">
        <v>-52.446777156237111</v>
      </c>
      <c r="G38" s="33">
        <v>-44.501679107860383</v>
      </c>
      <c r="H38" s="33">
        <v>23.161926391754889</v>
      </c>
      <c r="I38" s="33">
        <v>6.4059654377973061</v>
      </c>
      <c r="J38" s="33">
        <v>28.782210505775708</v>
      </c>
      <c r="K38" s="33">
        <v>20.341822279802614</v>
      </c>
      <c r="L38" s="33">
        <v>21.964295342750773</v>
      </c>
      <c r="M38" s="33">
        <v>12.445151018243905</v>
      </c>
      <c r="N38" s="33">
        <v>21.156089733410084</v>
      </c>
      <c r="O38" s="33">
        <v>17.798864051916979</v>
      </c>
      <c r="P38" s="33">
        <v>21.940755981869927</v>
      </c>
      <c r="Q38" s="33">
        <v>20.623460313497063</v>
      </c>
      <c r="R38" s="33">
        <v>16.305517487091194</v>
      </c>
      <c r="S38" s="33">
        <v>-2.8421709430404007E-14</v>
      </c>
      <c r="T38" s="33">
        <v>0</v>
      </c>
      <c r="U38" s="33">
        <v>-12.560485565778862</v>
      </c>
    </row>
    <row r="39" spans="1:21" x14ac:dyDescent="0.25">
      <c r="A39" s="95"/>
      <c r="B39" s="99">
        <v>2009</v>
      </c>
      <c r="C39" s="61" t="s">
        <v>28</v>
      </c>
      <c r="D39" s="21">
        <v>14.278636137817699</v>
      </c>
      <c r="E39" s="21">
        <v>17.963755751803717</v>
      </c>
      <c r="F39" s="21">
        <v>-67.684458321588323</v>
      </c>
      <c r="G39" s="21">
        <v>-66.737163810095012</v>
      </c>
      <c r="H39" s="21">
        <v>27.233420777717598</v>
      </c>
      <c r="I39" s="21">
        <v>-35.372245725730039</v>
      </c>
      <c r="J39" s="21">
        <v>19.899924552482091</v>
      </c>
      <c r="K39" s="21">
        <v>20.205828854219263</v>
      </c>
      <c r="L39" s="21">
        <v>31.003685635151271</v>
      </c>
      <c r="M39" s="21">
        <v>23.172006557897618</v>
      </c>
      <c r="N39" s="21">
        <v>34.590162114648734</v>
      </c>
      <c r="O39" s="21">
        <v>21.122494656865996</v>
      </c>
      <c r="P39" s="21">
        <v>56.432013511672864</v>
      </c>
      <c r="Q39" s="21">
        <v>3.8591758820672055</v>
      </c>
      <c r="R39" s="21">
        <v>30.756888135925266</v>
      </c>
      <c r="S39" s="21">
        <v>56.380258981785715</v>
      </c>
      <c r="T39" s="21">
        <v>-69.722948084097709</v>
      </c>
      <c r="U39" s="22">
        <v>-19.936147687107422</v>
      </c>
    </row>
    <row r="40" spans="1:21" x14ac:dyDescent="0.25">
      <c r="A40" s="95"/>
      <c r="B40" s="100"/>
      <c r="C40" s="19" t="s">
        <v>29</v>
      </c>
      <c r="D40" s="2">
        <v>12.990899603123779</v>
      </c>
      <c r="E40" s="2">
        <v>17.118932569266022</v>
      </c>
      <c r="F40" s="2">
        <v>-66.756145798648873</v>
      </c>
      <c r="G40" s="2">
        <v>-50.454230578867723</v>
      </c>
      <c r="H40" s="2">
        <v>24.700049330593828</v>
      </c>
      <c r="I40" s="2">
        <v>30.780360900135946</v>
      </c>
      <c r="J40" s="2">
        <v>36.098103840387182</v>
      </c>
      <c r="K40" s="2">
        <v>20.118719437231064</v>
      </c>
      <c r="L40" s="2">
        <v>24.953025611196296</v>
      </c>
      <c r="M40" s="2">
        <v>13.635932559690758</v>
      </c>
      <c r="N40" s="2">
        <v>25.949613667273994</v>
      </c>
      <c r="O40" s="2">
        <v>13.965154123595156</v>
      </c>
      <c r="P40" s="2">
        <v>37.280625971332398</v>
      </c>
      <c r="Q40" s="2">
        <v>25.126778133621571</v>
      </c>
      <c r="R40" s="2">
        <v>16.576469005957179</v>
      </c>
      <c r="S40" s="2">
        <v>-11.82764370753705</v>
      </c>
      <c r="T40" s="2">
        <v>-65.640781182214084</v>
      </c>
      <c r="U40" s="23">
        <v>-22.292269581221575</v>
      </c>
    </row>
    <row r="41" spans="1:21" x14ac:dyDescent="0.25">
      <c r="A41" s="95"/>
      <c r="B41" s="100"/>
      <c r="C41" s="19" t="s">
        <v>30</v>
      </c>
      <c r="D41" s="2">
        <v>18.001190169237091</v>
      </c>
      <c r="E41" s="2">
        <v>13.566434772828771</v>
      </c>
      <c r="F41" s="2">
        <v>-56.505074909431244</v>
      </c>
      <c r="G41" s="2">
        <v>-48.959659162543588</v>
      </c>
      <c r="H41" s="2">
        <v>22.172718602901</v>
      </c>
      <c r="I41" s="2">
        <v>12.197443577239355</v>
      </c>
      <c r="J41" s="2">
        <v>30.596010279884865</v>
      </c>
      <c r="K41" s="2">
        <v>20.07859577061177</v>
      </c>
      <c r="L41" s="2">
        <v>18.527673797460764</v>
      </c>
      <c r="M41" s="2">
        <v>7.3566772488486976</v>
      </c>
      <c r="N41" s="2">
        <v>18.537690139918283</v>
      </c>
      <c r="O41" s="2">
        <v>36.108024856605027</v>
      </c>
      <c r="P41" s="2">
        <v>7.6415018871183804</v>
      </c>
      <c r="Q41" s="2">
        <v>28.121144581499379</v>
      </c>
      <c r="R41" s="2">
        <v>10.447156899869327</v>
      </c>
      <c r="S41" s="2">
        <v>-10.213286019363821</v>
      </c>
      <c r="T41" s="2">
        <v>-56.362203614438286</v>
      </c>
      <c r="U41" s="23">
        <v>-16.536943417916433</v>
      </c>
    </row>
    <row r="42" spans="1:21" x14ac:dyDescent="0.25">
      <c r="A42" s="95"/>
      <c r="B42" s="101"/>
      <c r="C42" s="52" t="s">
        <v>31</v>
      </c>
      <c r="D42" s="20">
        <v>25.33891267618813</v>
      </c>
      <c r="E42" s="20">
        <v>12.000342336380072</v>
      </c>
      <c r="F42" s="20">
        <v>27.059189892431547</v>
      </c>
      <c r="G42" s="20">
        <v>37.512503851980654</v>
      </c>
      <c r="H42" s="20">
        <v>19.973188020253744</v>
      </c>
      <c r="I42" s="20">
        <v>38.026352553546957</v>
      </c>
      <c r="J42" s="20">
        <v>29.726236824955038</v>
      </c>
      <c r="K42" s="20">
        <v>20.883936750842835</v>
      </c>
      <c r="L42" s="20">
        <v>20.559387499435203</v>
      </c>
      <c r="M42" s="20">
        <v>8.8899753639365002</v>
      </c>
      <c r="N42" s="20">
        <v>10.536427292758475</v>
      </c>
      <c r="O42" s="20">
        <v>3.8719696111787698</v>
      </c>
      <c r="P42" s="20">
        <v>9.4606158766406452</v>
      </c>
      <c r="Q42" s="20">
        <v>24.025754699789687</v>
      </c>
      <c r="R42" s="20">
        <v>9.9505664172422144</v>
      </c>
      <c r="S42" s="20">
        <v>-14.770453276841067</v>
      </c>
      <c r="T42" s="20">
        <v>1054.168904616994</v>
      </c>
      <c r="U42" s="24">
        <v>13.012233403990024</v>
      </c>
    </row>
    <row r="43" spans="1:21" x14ac:dyDescent="0.25">
      <c r="A43" s="95"/>
      <c r="B43" s="58"/>
      <c r="C43" s="59" t="s">
        <v>51</v>
      </c>
      <c r="D43" s="33">
        <v>33.181572449219118</v>
      </c>
      <c r="E43" s="33">
        <v>19.162070720657425</v>
      </c>
      <c r="F43" s="33">
        <v>87.729457406376383</v>
      </c>
      <c r="G43" s="33">
        <v>67.909448746979137</v>
      </c>
      <c r="H43" s="33">
        <v>22.187795653781038</v>
      </c>
      <c r="I43" s="33">
        <v>9.8844845430466677</v>
      </c>
      <c r="J43" s="33">
        <v>22.704887851660914</v>
      </c>
      <c r="K43" s="33">
        <v>26.279278565866676</v>
      </c>
      <c r="L43" s="33">
        <v>34.290058990178352</v>
      </c>
      <c r="M43" s="33">
        <v>17.906904527068775</v>
      </c>
      <c r="N43" s="33">
        <v>7.7110366605931375</v>
      </c>
      <c r="O43" s="33">
        <v>15.8530830216487</v>
      </c>
      <c r="P43" s="33">
        <v>6.3888165154972967</v>
      </c>
      <c r="Q43" s="33">
        <v>15.88952192675157</v>
      </c>
      <c r="R43" s="33">
        <v>25.194672521306359</v>
      </c>
      <c r="S43" s="33">
        <v>10.074410544041655</v>
      </c>
      <c r="T43" s="33">
        <v>53.089390820261514</v>
      </c>
      <c r="U43" s="33">
        <v>35.482201948908028</v>
      </c>
    </row>
    <row r="44" spans="1:21" x14ac:dyDescent="0.25">
      <c r="A44" s="95"/>
      <c r="B44" s="99">
        <v>2010</v>
      </c>
      <c r="C44" s="61" t="s">
        <v>28</v>
      </c>
      <c r="D44" s="21">
        <v>34.07402449234425</v>
      </c>
      <c r="E44" s="21">
        <v>12.764017877982653</v>
      </c>
      <c r="F44" s="21">
        <v>134.22151139272813</v>
      </c>
      <c r="G44" s="21">
        <v>73.182357060304867</v>
      </c>
      <c r="H44" s="21">
        <v>19.886558224471969</v>
      </c>
      <c r="I44" s="21">
        <v>46.394197589521895</v>
      </c>
      <c r="J44" s="21">
        <v>25.721325959894671</v>
      </c>
      <c r="K44" s="21">
        <v>22.205916733851012</v>
      </c>
      <c r="L44" s="21">
        <v>24.862783348253132</v>
      </c>
      <c r="M44" s="21">
        <v>14.673604522349649</v>
      </c>
      <c r="N44" s="21">
        <v>1.1352577957425325</v>
      </c>
      <c r="O44" s="21">
        <v>24.363160362412344</v>
      </c>
      <c r="P44" s="21">
        <v>6.7970479067715814</v>
      </c>
      <c r="Q44" s="21">
        <v>33.711489260912771</v>
      </c>
      <c r="R44" s="21">
        <v>16.127329710231095</v>
      </c>
      <c r="S44" s="21">
        <v>-26.809412421149275</v>
      </c>
      <c r="T44" s="21">
        <v>-76.623398274916099</v>
      </c>
      <c r="U44" s="22">
        <v>41.96667695077474</v>
      </c>
    </row>
    <row r="45" spans="1:21" x14ac:dyDescent="0.25">
      <c r="A45" s="95"/>
      <c r="B45" s="100"/>
      <c r="C45" s="19" t="s">
        <v>29</v>
      </c>
      <c r="D45" s="2">
        <v>35.755931314492074</v>
      </c>
      <c r="E45" s="2">
        <v>15.164458568297377</v>
      </c>
      <c r="F45" s="2">
        <v>105.53018360096428</v>
      </c>
      <c r="G45" s="2">
        <v>54.06201297471344</v>
      </c>
      <c r="H45" s="2">
        <v>21.673976751515255</v>
      </c>
      <c r="I45" s="2">
        <v>-0.82629391562217336</v>
      </c>
      <c r="J45" s="2">
        <v>22.731292983467341</v>
      </c>
      <c r="K45" s="2">
        <v>23.937029762975243</v>
      </c>
      <c r="L45" s="2">
        <v>29.963006547648149</v>
      </c>
      <c r="M45" s="2">
        <v>13.885082346805632</v>
      </c>
      <c r="N45" s="2">
        <v>-2.373905166503917</v>
      </c>
      <c r="O45" s="2">
        <v>23.320184754527503</v>
      </c>
      <c r="P45" s="2">
        <v>11.195009226718966</v>
      </c>
      <c r="Q45" s="2">
        <v>14.685295440928428</v>
      </c>
      <c r="R45" s="2">
        <v>23.47014547842403</v>
      </c>
      <c r="S45" s="2">
        <v>10.375732819384623</v>
      </c>
      <c r="T45" s="2">
        <v>-58.293212926799583</v>
      </c>
      <c r="U45" s="23">
        <v>40.404595405995678</v>
      </c>
    </row>
    <row r="46" spans="1:21" x14ac:dyDescent="0.25">
      <c r="A46" s="95"/>
      <c r="B46" s="100"/>
      <c r="C46" s="19" t="s">
        <v>30</v>
      </c>
      <c r="D46" s="2">
        <v>32.211255706470411</v>
      </c>
      <c r="E46" s="2">
        <v>20.793680612128028</v>
      </c>
      <c r="F46" s="2">
        <v>85.435483222169495</v>
      </c>
      <c r="G46" s="2">
        <v>75.64728605542993</v>
      </c>
      <c r="H46" s="2">
        <v>22.263956811478906</v>
      </c>
      <c r="I46" s="2">
        <v>-0.24515668421713599</v>
      </c>
      <c r="J46" s="2">
        <v>24.960011311122472</v>
      </c>
      <c r="K46" s="2">
        <v>26.905791887276536</v>
      </c>
      <c r="L46" s="2">
        <v>35.44492270762575</v>
      </c>
      <c r="M46" s="2">
        <v>18.816659832874819</v>
      </c>
      <c r="N46" s="2">
        <v>3.9458779023776316</v>
      </c>
      <c r="O46" s="2">
        <v>-9.5541487439320605</v>
      </c>
      <c r="P46" s="2">
        <v>16.459469233197922</v>
      </c>
      <c r="Q46" s="2">
        <v>10.652931513624026</v>
      </c>
      <c r="R46" s="2">
        <v>28.757693246992062</v>
      </c>
      <c r="S46" s="2">
        <v>23.159046396135821</v>
      </c>
      <c r="T46" s="2">
        <v>-73.266078255599155</v>
      </c>
      <c r="U46" s="23">
        <v>38.056351586302156</v>
      </c>
    </row>
    <row r="47" spans="1:21" x14ac:dyDescent="0.25">
      <c r="A47" s="95"/>
      <c r="B47" s="101"/>
      <c r="C47" s="52" t="s">
        <v>31</v>
      </c>
      <c r="D47" s="20">
        <v>26.366821634747751</v>
      </c>
      <c r="E47" s="20">
        <v>25.401448707274426</v>
      </c>
      <c r="F47" s="20">
        <v>51.724807611499898</v>
      </c>
      <c r="G47" s="20">
        <v>69.858695058105525</v>
      </c>
      <c r="H47" s="20">
        <v>24.234249384453065</v>
      </c>
      <c r="I47" s="20">
        <v>3.979069743750884</v>
      </c>
      <c r="J47" s="20">
        <v>17.569766881150642</v>
      </c>
      <c r="K47" s="20">
        <v>30.901301375168657</v>
      </c>
      <c r="L47" s="20">
        <v>38.944554738331675</v>
      </c>
      <c r="M47" s="20">
        <v>23.060483216923799</v>
      </c>
      <c r="N47" s="20">
        <v>25.370990869479826</v>
      </c>
      <c r="O47" s="20">
        <v>30.454288269745888</v>
      </c>
      <c r="P47" s="20">
        <v>-3.2082796892265293</v>
      </c>
      <c r="Q47" s="20">
        <v>9.0004387265489214</v>
      </c>
      <c r="R47" s="20">
        <v>32.097359882750908</v>
      </c>
      <c r="S47" s="20">
        <v>38.472004831861653</v>
      </c>
      <c r="T47" s="20">
        <v>116.3488437807234</v>
      </c>
      <c r="U47" s="24">
        <v>23.691217522251875</v>
      </c>
    </row>
    <row r="48" spans="1:21" x14ac:dyDescent="0.25">
      <c r="A48" s="95"/>
      <c r="B48" s="58"/>
      <c r="C48" s="59" t="s">
        <v>51</v>
      </c>
      <c r="D48" s="33">
        <v>26.427129786438613</v>
      </c>
      <c r="E48" s="33">
        <v>35.519571223349942</v>
      </c>
      <c r="F48" s="33">
        <v>55.209341643597526</v>
      </c>
      <c r="G48" s="33">
        <v>25.599585778572049</v>
      </c>
      <c r="H48" s="33">
        <v>25.05137759247269</v>
      </c>
      <c r="I48" s="33">
        <v>3.4541132538462307</v>
      </c>
      <c r="J48" s="33">
        <v>21.543142129771311</v>
      </c>
      <c r="K48" s="33">
        <v>27.559528878323292</v>
      </c>
      <c r="L48" s="33">
        <v>31.237337950621821</v>
      </c>
      <c r="M48" s="33">
        <v>17.696260060870955</v>
      </c>
      <c r="N48" s="33">
        <v>87.059524276576951</v>
      </c>
      <c r="O48" s="33">
        <v>21.236781548988802</v>
      </c>
      <c r="P48" s="33">
        <v>26.120924283637464</v>
      </c>
      <c r="Q48" s="33">
        <v>7.7159857776650966</v>
      </c>
      <c r="R48" s="33">
        <v>23.247087749457961</v>
      </c>
      <c r="S48" s="33">
        <v>5.2725821930763743</v>
      </c>
      <c r="T48" s="33">
        <v>22.1097937460937</v>
      </c>
      <c r="U48" s="33">
        <v>34.304147041933419</v>
      </c>
    </row>
    <row r="49" spans="1:21" x14ac:dyDescent="0.25">
      <c r="A49" s="95"/>
      <c r="B49" s="99">
        <v>2011</v>
      </c>
      <c r="C49" s="61" t="s">
        <v>28</v>
      </c>
      <c r="D49" s="21">
        <v>26.287222468917747</v>
      </c>
      <c r="E49" s="21">
        <v>34.690629184071867</v>
      </c>
      <c r="F49" s="21">
        <v>53.800396355192532</v>
      </c>
      <c r="G49" s="21">
        <v>43.27565230699625</v>
      </c>
      <c r="H49" s="21">
        <v>27.164621619893907</v>
      </c>
      <c r="I49" s="21">
        <v>6.1723993476555847</v>
      </c>
      <c r="J49" s="21">
        <v>13.945888310113205</v>
      </c>
      <c r="K49" s="21">
        <v>31.104650388769784</v>
      </c>
      <c r="L49" s="21">
        <v>43.233316856108814</v>
      </c>
      <c r="M49" s="21">
        <v>18.91381866863378</v>
      </c>
      <c r="N49" s="21">
        <v>62.270251613538846</v>
      </c>
      <c r="O49" s="21">
        <v>33.165953042796929</v>
      </c>
      <c r="P49" s="21">
        <v>21.766831179383701</v>
      </c>
      <c r="Q49" s="21">
        <v>8.4007235849610851</v>
      </c>
      <c r="R49" s="21">
        <v>29.177920411023763</v>
      </c>
      <c r="S49" s="21">
        <v>25.963165476158778</v>
      </c>
      <c r="T49" s="21">
        <v>46.662992874259089</v>
      </c>
      <c r="U49" s="22">
        <v>33.805676828197164</v>
      </c>
    </row>
    <row r="50" spans="1:21" x14ac:dyDescent="0.25">
      <c r="A50" s="95"/>
      <c r="B50" s="100"/>
      <c r="C50" s="19" t="s">
        <v>29</v>
      </c>
      <c r="D50" s="2">
        <v>26.413046008103635</v>
      </c>
      <c r="E50" s="2">
        <v>40.076743317372745</v>
      </c>
      <c r="F50" s="2">
        <v>46.934795116363972</v>
      </c>
      <c r="G50" s="2">
        <v>46.679156785941615</v>
      </c>
      <c r="H50" s="2">
        <v>27.592518550970453</v>
      </c>
      <c r="I50" s="2">
        <v>13.317745950492935</v>
      </c>
      <c r="J50" s="2">
        <v>13.824372065757416</v>
      </c>
      <c r="K50" s="2">
        <v>30.567975667087893</v>
      </c>
      <c r="L50" s="2">
        <v>38.33041598850437</v>
      </c>
      <c r="M50" s="2">
        <v>18.348018864627051</v>
      </c>
      <c r="N50" s="2">
        <v>98.45117565859357</v>
      </c>
      <c r="O50" s="2">
        <v>2.6391124133820369</v>
      </c>
      <c r="P50" s="2">
        <v>12.22038603435351</v>
      </c>
      <c r="Q50" s="2">
        <v>4.2629841822287631</v>
      </c>
      <c r="R50" s="2">
        <v>25.395191995756576</v>
      </c>
      <c r="S50" s="2">
        <v>23.212857789491821</v>
      </c>
      <c r="T50" s="2">
        <v>-59.276105728856102</v>
      </c>
      <c r="U50" s="23">
        <v>30.906662538757502</v>
      </c>
    </row>
    <row r="51" spans="1:21" x14ac:dyDescent="0.25">
      <c r="A51" s="95"/>
      <c r="B51" s="100"/>
      <c r="C51" s="19" t="s">
        <v>30</v>
      </c>
      <c r="D51" s="2">
        <v>26.069482742695001</v>
      </c>
      <c r="E51" s="2">
        <v>37.342060608132215</v>
      </c>
      <c r="F51" s="2">
        <v>61.002581014669971</v>
      </c>
      <c r="G51" s="2">
        <v>23.618506136729593</v>
      </c>
      <c r="H51" s="2">
        <v>26.115331350248212</v>
      </c>
      <c r="I51" s="2">
        <v>2.9830681474052341</v>
      </c>
      <c r="J51" s="2">
        <v>21.160005764577505</v>
      </c>
      <c r="K51" s="2">
        <v>27.390661755462048</v>
      </c>
      <c r="L51" s="2">
        <v>32.1098739857336</v>
      </c>
      <c r="M51" s="2">
        <v>17.985732106861292</v>
      </c>
      <c r="N51" s="2">
        <v>106.18014839952093</v>
      </c>
      <c r="O51" s="2">
        <v>43.05245013051848</v>
      </c>
      <c r="P51" s="2">
        <v>27.140775928031346</v>
      </c>
      <c r="Q51" s="2">
        <v>5.7527306417758126</v>
      </c>
      <c r="R51" s="2">
        <v>21.801439150614172</v>
      </c>
      <c r="S51" s="2">
        <v>-5.9597901348325308</v>
      </c>
      <c r="T51" s="2">
        <v>28.610503445404362</v>
      </c>
      <c r="U51" s="23">
        <v>35.95005070031894</v>
      </c>
    </row>
    <row r="52" spans="1:21" x14ac:dyDescent="0.25">
      <c r="A52" s="95"/>
      <c r="B52" s="101"/>
      <c r="C52" s="52" t="s">
        <v>31</v>
      </c>
      <c r="D52" s="20">
        <v>27.295781255527089</v>
      </c>
      <c r="E52" s="20">
        <v>32.401104853968235</v>
      </c>
      <c r="F52" s="20">
        <v>58.601549929220056</v>
      </c>
      <c r="G52" s="20">
        <v>-0.22025058881402515</v>
      </c>
      <c r="H52" s="20">
        <v>20.616641472835965</v>
      </c>
      <c r="I52" s="20">
        <v>-7.4489461230178051</v>
      </c>
      <c r="J52" s="20">
        <v>36.905301735932767</v>
      </c>
      <c r="K52" s="20">
        <v>22.686466815890881</v>
      </c>
      <c r="L52" s="20">
        <v>22.975658894340995</v>
      </c>
      <c r="M52" s="20">
        <v>16.00145078651019</v>
      </c>
      <c r="N52" s="20">
        <v>81.585387006824504</v>
      </c>
      <c r="O52" s="20">
        <v>9.8127196624712809</v>
      </c>
      <c r="P52" s="20">
        <v>38.050263723940532</v>
      </c>
      <c r="Q52" s="20">
        <v>12.542716913313896</v>
      </c>
      <c r="R52" s="20">
        <v>17.73740102459962</v>
      </c>
      <c r="S52" s="20">
        <v>-9.7306713385546573</v>
      </c>
      <c r="T52" s="20">
        <v>24.951729784692716</v>
      </c>
      <c r="U52" s="24">
        <v>36.491470374976927</v>
      </c>
    </row>
    <row r="53" spans="1:21" x14ac:dyDescent="0.25">
      <c r="A53" s="95"/>
      <c r="B53" s="58"/>
      <c r="C53" s="59" t="s">
        <v>51</v>
      </c>
      <c r="D53" s="33">
        <v>16.677643640596912</v>
      </c>
      <c r="E53" s="33">
        <v>30.810335287297505</v>
      </c>
      <c r="F53" s="33">
        <v>11.664640847881842</v>
      </c>
      <c r="G53" s="33">
        <v>-2.3653316870769459</v>
      </c>
      <c r="H53" s="33">
        <v>21.333767232323765</v>
      </c>
      <c r="I53" s="33">
        <v>9.8304787357796215</v>
      </c>
      <c r="J53" s="33">
        <v>52.484492378039391</v>
      </c>
      <c r="K53" s="33">
        <v>20.290729467639409</v>
      </c>
      <c r="L53" s="33">
        <v>6.1729141873727116</v>
      </c>
      <c r="M53" s="33">
        <v>13.737038328289785</v>
      </c>
      <c r="N53" s="33">
        <v>9.8064344915593722</v>
      </c>
      <c r="O53" s="33">
        <v>13.672621328515234</v>
      </c>
      <c r="P53" s="33">
        <v>18.114919239152897</v>
      </c>
      <c r="Q53" s="33">
        <v>26.76845947222688</v>
      </c>
      <c r="R53" s="33">
        <v>16.320348911338442</v>
      </c>
      <c r="S53" s="33">
        <v>1.8253227751724665</v>
      </c>
      <c r="T53" s="33">
        <v>86.91927985078965</v>
      </c>
      <c r="U53" s="33">
        <v>16.220157500157256</v>
      </c>
    </row>
    <row r="54" spans="1:21" x14ac:dyDescent="0.25">
      <c r="A54" s="95"/>
      <c r="B54" s="99">
        <v>2012</v>
      </c>
      <c r="C54" s="61" t="s">
        <v>28</v>
      </c>
      <c r="D54" s="21">
        <v>7.0795676702777968</v>
      </c>
      <c r="E54" s="21">
        <v>17.062715647921152</v>
      </c>
      <c r="F54" s="21">
        <v>34.621365772854858</v>
      </c>
      <c r="G54" s="21">
        <v>11.08737414803285</v>
      </c>
      <c r="H54" s="21">
        <v>10.470202330340058</v>
      </c>
      <c r="I54" s="21">
        <v>7.960996121719262</v>
      </c>
      <c r="J54" s="21">
        <v>45.048712631621157</v>
      </c>
      <c r="K54" s="21">
        <v>25.071348323389415</v>
      </c>
      <c r="L54" s="21">
        <v>7.5036750559910104</v>
      </c>
      <c r="M54" s="21">
        <v>19.857513520522872</v>
      </c>
      <c r="N54" s="21">
        <v>40.923727289777617</v>
      </c>
      <c r="O54" s="21">
        <v>4.8559940061201416</v>
      </c>
      <c r="P54" s="21">
        <v>18.347425512521596</v>
      </c>
      <c r="Q54" s="21">
        <v>25.135521117394589</v>
      </c>
      <c r="R54" s="21">
        <v>20.651647678354706</v>
      </c>
      <c r="S54" s="21">
        <v>-0.79085237667800357</v>
      </c>
      <c r="T54" s="21">
        <v>109.9243153991786</v>
      </c>
      <c r="U54" s="22">
        <v>25.536751109879987</v>
      </c>
    </row>
    <row r="55" spans="1:21" x14ac:dyDescent="0.25">
      <c r="A55" s="95"/>
      <c r="B55" s="100"/>
      <c r="C55" s="19" t="s">
        <v>29</v>
      </c>
      <c r="D55" s="2">
        <v>11.775957402875719</v>
      </c>
      <c r="E55" s="2">
        <v>16.75195452252818</v>
      </c>
      <c r="F55" s="2">
        <v>12.765576421272385</v>
      </c>
      <c r="G55" s="2">
        <v>-7.9082222960300328</v>
      </c>
      <c r="H55" s="2">
        <v>11.267549787564974</v>
      </c>
      <c r="I55" s="2">
        <v>10.459490408337999</v>
      </c>
      <c r="J55" s="2">
        <v>59.555323349591816</v>
      </c>
      <c r="K55" s="2">
        <v>21.951431982320656</v>
      </c>
      <c r="L55" s="2">
        <v>3.6745343075249366</v>
      </c>
      <c r="M55" s="2">
        <v>19.040028510538761</v>
      </c>
      <c r="N55" s="2">
        <v>12.395498291909803</v>
      </c>
      <c r="O55" s="2">
        <v>30.884012918316017</v>
      </c>
      <c r="P55" s="2">
        <v>12.220452045078687</v>
      </c>
      <c r="Q55" s="2">
        <v>28.936312642221736</v>
      </c>
      <c r="R55" s="2">
        <v>17.906410005655388</v>
      </c>
      <c r="S55" s="2">
        <v>2.4152775543390845</v>
      </c>
      <c r="T55" s="2">
        <v>133.43338480277572</v>
      </c>
      <c r="U55" s="23">
        <v>17.34170228833112</v>
      </c>
    </row>
    <row r="56" spans="1:21" x14ac:dyDescent="0.25">
      <c r="A56" s="95"/>
      <c r="B56" s="100"/>
      <c r="C56" s="19" t="s">
        <v>30</v>
      </c>
      <c r="D56" s="2">
        <v>23.564597198979101</v>
      </c>
      <c r="E56" s="2">
        <v>28.236887514300122</v>
      </c>
      <c r="F56" s="2">
        <v>1.2225413967830008</v>
      </c>
      <c r="G56" s="2">
        <v>-14.871203536779163</v>
      </c>
      <c r="H56" s="2">
        <v>20.864473678316216</v>
      </c>
      <c r="I56" s="2">
        <v>10.666577365350591</v>
      </c>
      <c r="J56" s="2">
        <v>59.012462706404818</v>
      </c>
      <c r="K56" s="2">
        <v>18.926951343017691</v>
      </c>
      <c r="L56" s="2">
        <v>3.7744286732885257</v>
      </c>
      <c r="M56" s="2">
        <v>13.992403809514499</v>
      </c>
      <c r="N56" s="2">
        <v>-0.27640427887729402</v>
      </c>
      <c r="O56" s="2">
        <v>24.836465070831707</v>
      </c>
      <c r="P56" s="2">
        <v>22.921707893923298</v>
      </c>
      <c r="Q56" s="2">
        <v>28.56311740977344</v>
      </c>
      <c r="R56" s="2">
        <v>14.681671857447327</v>
      </c>
      <c r="S56" s="2">
        <v>-3.8627404934719465</v>
      </c>
      <c r="T56" s="2">
        <v>30.400099876038496</v>
      </c>
      <c r="U56" s="23">
        <v>14.681594166771731</v>
      </c>
    </row>
    <row r="57" spans="1:21" x14ac:dyDescent="0.25">
      <c r="A57" s="95"/>
      <c r="B57" s="101"/>
      <c r="C57" s="52" t="s">
        <v>31</v>
      </c>
      <c r="D57" s="20">
        <v>38.983479687187724</v>
      </c>
      <c r="E57" s="20">
        <v>50.121974783272634</v>
      </c>
      <c r="F57" s="20">
        <v>1.7777575016243219</v>
      </c>
      <c r="G57" s="20">
        <v>4.5400298020772851</v>
      </c>
      <c r="H57" s="20">
        <v>38.377400511446012</v>
      </c>
      <c r="I57" s="20">
        <v>10.406130996090951</v>
      </c>
      <c r="J57" s="20">
        <v>47.003167128504259</v>
      </c>
      <c r="K57" s="20">
        <v>16.372216751980545</v>
      </c>
      <c r="L57" s="20">
        <v>9.607360991146578</v>
      </c>
      <c r="M57" s="20">
        <v>4.5261517310302395</v>
      </c>
      <c r="N57" s="20">
        <v>-2.1534226031000969</v>
      </c>
      <c r="O57" s="20">
        <v>9.4411514935771379E-2</v>
      </c>
      <c r="P57" s="20">
        <v>18.020333173969021</v>
      </c>
      <c r="Q57" s="20">
        <v>24.479332713813591</v>
      </c>
      <c r="R57" s="20">
        <v>12.42025122176959</v>
      </c>
      <c r="S57" s="20">
        <v>9.082037268305541</v>
      </c>
      <c r="T57" s="20">
        <v>87.471145097212144</v>
      </c>
      <c r="U57" s="24">
        <v>8.4138582285006294</v>
      </c>
    </row>
    <row r="58" spans="1:21" x14ac:dyDescent="0.25">
      <c r="A58" s="95"/>
      <c r="B58" s="58"/>
      <c r="C58" s="59" t="s">
        <v>51</v>
      </c>
      <c r="D58" s="33">
        <v>15.168490275459476</v>
      </c>
      <c r="E58" s="33">
        <v>16.887891774395229</v>
      </c>
      <c r="F58" s="33">
        <v>-5.9679279773530283</v>
      </c>
      <c r="G58" s="33">
        <v>7.223367222891298</v>
      </c>
      <c r="H58" s="33">
        <v>18.643532053925711</v>
      </c>
      <c r="I58" s="33">
        <v>24.806611278165207</v>
      </c>
      <c r="J58" s="33">
        <v>20.735124757902938</v>
      </c>
      <c r="K58" s="33">
        <v>16.117470564658731</v>
      </c>
      <c r="L58" s="33">
        <v>30.943553629869825</v>
      </c>
      <c r="M58" s="33">
        <v>9.0701315661944903</v>
      </c>
      <c r="N58" s="33">
        <v>17.336883835096884</v>
      </c>
      <c r="O58" s="33">
        <v>4.142540080098172</v>
      </c>
      <c r="P58" s="33">
        <v>17.16504207981302</v>
      </c>
      <c r="Q58" s="33">
        <v>9.7105848510695409</v>
      </c>
      <c r="R58" s="33">
        <v>12.509773076056248</v>
      </c>
      <c r="S58" s="33">
        <v>18.307684519590921</v>
      </c>
      <c r="T58" s="33">
        <v>14.698743693574087</v>
      </c>
      <c r="U58" s="33">
        <v>8.2744635142534548</v>
      </c>
    </row>
    <row r="59" spans="1:21" x14ac:dyDescent="0.25">
      <c r="A59" s="95"/>
      <c r="B59" s="99">
        <v>2013</v>
      </c>
      <c r="C59" s="61" t="s">
        <v>28</v>
      </c>
      <c r="D59" s="21">
        <v>26.132965768119703</v>
      </c>
      <c r="E59" s="21">
        <v>26.05373661581325</v>
      </c>
      <c r="F59" s="21">
        <v>-10.90360064434806</v>
      </c>
      <c r="G59" s="21">
        <v>-5.7741886544294516</v>
      </c>
      <c r="H59" s="21">
        <v>19.59765702785181</v>
      </c>
      <c r="I59" s="21">
        <v>19.894626778278194</v>
      </c>
      <c r="J59" s="21">
        <v>32.452022996266152</v>
      </c>
      <c r="K59" s="21">
        <v>14.630670375187634</v>
      </c>
      <c r="L59" s="21">
        <v>23.953343613688546</v>
      </c>
      <c r="M59" s="21">
        <v>23.526108725005088</v>
      </c>
      <c r="N59" s="21">
        <v>8.6800341099207117</v>
      </c>
      <c r="O59" s="21">
        <v>-7.4851958100482676</v>
      </c>
      <c r="P59" s="21">
        <v>31.23940170797448</v>
      </c>
      <c r="Q59" s="21">
        <v>16.99844827531733</v>
      </c>
      <c r="R59" s="21">
        <v>10.638369271269838</v>
      </c>
      <c r="S59" s="21">
        <v>21.089309366938409</v>
      </c>
      <c r="T59" s="21">
        <v>16.340851531636247</v>
      </c>
      <c r="U59" s="22">
        <v>8.7800127901924725</v>
      </c>
    </row>
    <row r="60" spans="1:21" x14ac:dyDescent="0.25">
      <c r="A60" s="95"/>
      <c r="B60" s="100"/>
      <c r="C60" s="19" t="s">
        <v>29</v>
      </c>
      <c r="D60" s="2">
        <v>26.742335323212131</v>
      </c>
      <c r="E60" s="2">
        <v>33.548006797035214</v>
      </c>
      <c r="F60" s="2">
        <v>-5.3636790161309023</v>
      </c>
      <c r="G60" s="2">
        <v>4.7190461453294148</v>
      </c>
      <c r="H60" s="2">
        <v>29.176568527384774</v>
      </c>
      <c r="I60" s="2">
        <v>30.723568215744649</v>
      </c>
      <c r="J60" s="2">
        <v>20.706342004833274</v>
      </c>
      <c r="K60" s="2">
        <v>14.716871817737911</v>
      </c>
      <c r="L60" s="2">
        <v>34.775979944209723</v>
      </c>
      <c r="M60" s="2">
        <v>22.672812681525841</v>
      </c>
      <c r="N60" s="2">
        <v>17.594759477149012</v>
      </c>
      <c r="O60" s="2">
        <v>4.518762092525435</v>
      </c>
      <c r="P60" s="2">
        <v>29.169046852791638</v>
      </c>
      <c r="Q60" s="2">
        <v>11.269241467394522</v>
      </c>
      <c r="R60" s="2">
        <v>11.156203993211506</v>
      </c>
      <c r="S60" s="2">
        <v>6.6677305859440281</v>
      </c>
      <c r="T60" s="2">
        <v>270.42865447398839</v>
      </c>
      <c r="U60" s="23">
        <v>11.413513648295265</v>
      </c>
    </row>
    <row r="61" spans="1:21" x14ac:dyDescent="0.25">
      <c r="A61" s="95"/>
      <c r="B61" s="100"/>
      <c r="C61" s="19" t="s">
        <v>30</v>
      </c>
      <c r="D61" s="2">
        <v>7.1057040548066226</v>
      </c>
      <c r="E61" s="2">
        <v>23.877444356018344</v>
      </c>
      <c r="F61" s="2">
        <v>1.8249865430559566</v>
      </c>
      <c r="G61" s="2">
        <v>26.719523592186718</v>
      </c>
      <c r="H61" s="2">
        <v>22.766922426335583</v>
      </c>
      <c r="I61" s="2">
        <v>14.629759753132319</v>
      </c>
      <c r="J61" s="2">
        <v>16.078589889089145</v>
      </c>
      <c r="K61" s="2">
        <v>16.324918124084746</v>
      </c>
      <c r="L61" s="2">
        <v>36.224797522217955</v>
      </c>
      <c r="M61" s="2">
        <v>4.8996182335213376</v>
      </c>
      <c r="N61" s="2">
        <v>22.2174771807925</v>
      </c>
      <c r="O61" s="2">
        <v>1.8470243885985553</v>
      </c>
      <c r="P61" s="2">
        <v>9.2284052760210074</v>
      </c>
      <c r="Q61" s="2">
        <v>7.1565755005440508</v>
      </c>
      <c r="R61" s="2">
        <v>12.899511345943154</v>
      </c>
      <c r="S61" s="2">
        <v>17.12583378213786</v>
      </c>
      <c r="T61" s="2">
        <v>4785.4657711204945</v>
      </c>
      <c r="U61" s="23">
        <v>-1.5738846034576142</v>
      </c>
    </row>
    <row r="62" spans="1:21" x14ac:dyDescent="0.25">
      <c r="A62" s="95"/>
      <c r="B62" s="101"/>
      <c r="C62" s="52" t="s">
        <v>31</v>
      </c>
      <c r="D62" s="20">
        <v>-16.260575087225661</v>
      </c>
      <c r="E62" s="20">
        <v>0.67396993156137341</v>
      </c>
      <c r="F62" s="20">
        <v>-8.5734950356286532</v>
      </c>
      <c r="G62" s="20">
        <v>5.7944428379666562</v>
      </c>
      <c r="H62" s="20">
        <v>7.7187054933008028</v>
      </c>
      <c r="I62" s="20">
        <v>34.194875521901281</v>
      </c>
      <c r="J62" s="20">
        <v>15.816036594227569</v>
      </c>
      <c r="K62" s="20">
        <v>18.43114351050221</v>
      </c>
      <c r="L62" s="20">
        <v>26.140372008228923</v>
      </c>
      <c r="M62" s="20">
        <v>-11.806364186041947</v>
      </c>
      <c r="N62" s="20">
        <v>20.344947556214393</v>
      </c>
      <c r="O62" s="20">
        <v>16.709956299248915</v>
      </c>
      <c r="P62" s="20">
        <v>8.3304595528021395</v>
      </c>
      <c r="Q62" s="20">
        <v>4.2936898523050786</v>
      </c>
      <c r="R62" s="20">
        <v>15.29178467547203</v>
      </c>
      <c r="S62" s="20">
        <v>27.996185498041285</v>
      </c>
      <c r="T62" s="20">
        <v>-76.29804842459319</v>
      </c>
      <c r="U62" s="24">
        <v>14.982294070493779</v>
      </c>
    </row>
    <row r="63" spans="1:21" x14ac:dyDescent="0.25">
      <c r="A63" s="95"/>
      <c r="B63" s="58"/>
      <c r="C63" s="59" t="s">
        <v>51</v>
      </c>
      <c r="D63" s="33">
        <v>18.890224684031139</v>
      </c>
      <c r="E63" s="33">
        <v>40.459059897705345</v>
      </c>
      <c r="F63" s="33">
        <v>-15.02843354604471</v>
      </c>
      <c r="G63" s="33">
        <v>11.905883599999981</v>
      </c>
      <c r="H63" s="33">
        <v>7.7090787854436513</v>
      </c>
      <c r="I63" s="33">
        <v>3.1915744167462492</v>
      </c>
      <c r="J63" s="33">
        <v>14.822299999999956</v>
      </c>
      <c r="K63" s="33">
        <v>39.655957823893829</v>
      </c>
      <c r="L63" s="33">
        <v>-6.4847977570658202</v>
      </c>
      <c r="M63" s="33">
        <v>14.080607305655505</v>
      </c>
      <c r="N63" s="33">
        <v>9.8677999999999884</v>
      </c>
      <c r="O63" s="33">
        <v>-2.9017485557291565</v>
      </c>
      <c r="P63" s="33">
        <v>13.579920417061132</v>
      </c>
      <c r="Q63" s="33">
        <v>3.503716123913776</v>
      </c>
      <c r="R63" s="33">
        <v>22.924441396739098</v>
      </c>
      <c r="S63" s="33">
        <v>15.153341587295955</v>
      </c>
      <c r="T63" s="33">
        <v>-35.919584788675763</v>
      </c>
      <c r="U63" s="33">
        <v>8.9274895969401484</v>
      </c>
    </row>
    <row r="64" spans="1:21" x14ac:dyDescent="0.25">
      <c r="A64" s="95"/>
      <c r="B64" s="99">
        <v>2014</v>
      </c>
      <c r="C64" s="61" t="s">
        <v>28</v>
      </c>
      <c r="D64" s="21">
        <v>33.429795901657599</v>
      </c>
      <c r="E64" s="21">
        <v>98.429751948985682</v>
      </c>
      <c r="F64" s="21">
        <v>-14.51245974617197</v>
      </c>
      <c r="G64" s="21">
        <v>7.0400187575400537</v>
      </c>
      <c r="H64" s="21">
        <v>32.49106389393765</v>
      </c>
      <c r="I64" s="21">
        <v>10.383521848978901</v>
      </c>
      <c r="J64" s="21">
        <v>13.665245421525725</v>
      </c>
      <c r="K64" s="21">
        <v>31.30953744511649</v>
      </c>
      <c r="L64" s="21">
        <v>49.526071433045956</v>
      </c>
      <c r="M64" s="21">
        <v>14.928162035913005</v>
      </c>
      <c r="N64" s="21">
        <v>15.3118688864798</v>
      </c>
      <c r="O64" s="21">
        <v>4.6508017193132076</v>
      </c>
      <c r="P64" s="21">
        <v>4.0454741851433198</v>
      </c>
      <c r="Q64" s="21">
        <v>5.971302799078984</v>
      </c>
      <c r="R64" s="21">
        <v>24.169573339790531</v>
      </c>
      <c r="S64" s="21">
        <v>24.385177582314171</v>
      </c>
      <c r="T64" s="21">
        <v>1779.3813251562456</v>
      </c>
      <c r="U64" s="22">
        <v>5.5818498022278931</v>
      </c>
    </row>
    <row r="65" spans="1:21" x14ac:dyDescent="0.25">
      <c r="A65" s="95"/>
      <c r="B65" s="100"/>
      <c r="C65" s="19" t="s">
        <v>29</v>
      </c>
      <c r="D65" s="2">
        <v>11.426726699991676</v>
      </c>
      <c r="E65" s="2">
        <v>34.364808715153771</v>
      </c>
      <c r="F65" s="2">
        <v>-2.8093655036428657</v>
      </c>
      <c r="G65" s="2">
        <v>20.68318539742306</v>
      </c>
      <c r="H65" s="2">
        <v>4.1710021617955135</v>
      </c>
      <c r="I65" s="2">
        <v>-12.733939198381222</v>
      </c>
      <c r="J65" s="2">
        <v>-12.169684141908348</v>
      </c>
      <c r="K65" s="2">
        <v>34.439020791857729</v>
      </c>
      <c r="L65" s="2">
        <v>42.456934253098638</v>
      </c>
      <c r="M65" s="2">
        <v>15.153450089557836</v>
      </c>
      <c r="N65" s="2">
        <v>7.478558604604558</v>
      </c>
      <c r="O65" s="2">
        <v>2.7278857056642067</v>
      </c>
      <c r="P65" s="2">
        <v>9.9415045953929138</v>
      </c>
      <c r="Q65" s="2">
        <v>4.1418893118032827</v>
      </c>
      <c r="R65" s="2">
        <v>27.131010330438613</v>
      </c>
      <c r="S65" s="2">
        <v>41.192300862861998</v>
      </c>
      <c r="T65" s="2">
        <v>347.11401944040671</v>
      </c>
      <c r="U65" s="23">
        <v>5.7584420252262589</v>
      </c>
    </row>
    <row r="66" spans="1:21" x14ac:dyDescent="0.25">
      <c r="A66" s="95"/>
      <c r="B66" s="100"/>
      <c r="C66" s="19" t="s">
        <v>30</v>
      </c>
      <c r="D66" s="2">
        <v>12.44318966614459</v>
      </c>
      <c r="E66" s="2">
        <v>21.77225314971443</v>
      </c>
      <c r="F66" s="2">
        <v>-12.761097264933923</v>
      </c>
      <c r="G66" s="2">
        <v>13.257224821351173</v>
      </c>
      <c r="H66" s="2">
        <v>-5.2717967143957196</v>
      </c>
      <c r="I66" s="2">
        <v>5.5881661545742958</v>
      </c>
      <c r="J66" s="2">
        <v>24.20413106554426</v>
      </c>
      <c r="K66" s="2">
        <v>41.739629012332756</v>
      </c>
      <c r="L66" s="2">
        <v>-34.919947899461704</v>
      </c>
      <c r="M66" s="2">
        <v>11.848239215080028</v>
      </c>
      <c r="N66" s="2">
        <v>12.788329413000454</v>
      </c>
      <c r="O66" s="2">
        <v>-31.582587527403859</v>
      </c>
      <c r="P66" s="2">
        <v>14.289795688620771</v>
      </c>
      <c r="Q66" s="2">
        <v>2.5473324111315208</v>
      </c>
      <c r="R66" s="2">
        <v>21.210411680868503</v>
      </c>
      <c r="S66" s="2">
        <v>36.54154022926997</v>
      </c>
      <c r="T66" s="2">
        <v>-87.580534159955732</v>
      </c>
      <c r="U66" s="23">
        <v>17.919822990911058</v>
      </c>
    </row>
    <row r="67" spans="1:21" x14ac:dyDescent="0.25">
      <c r="A67" s="95"/>
      <c r="B67" s="101"/>
      <c r="C67" s="52" t="s">
        <v>31</v>
      </c>
      <c r="D67" s="20">
        <v>20.20849615095814</v>
      </c>
      <c r="E67" s="20">
        <v>17.927385829977922</v>
      </c>
      <c r="F67" s="20">
        <v>-29.990847334137442</v>
      </c>
      <c r="G67" s="20">
        <v>6.2052102567267582</v>
      </c>
      <c r="H67" s="20">
        <v>5.660247643098117</v>
      </c>
      <c r="I67" s="20">
        <v>10.746766590499249</v>
      </c>
      <c r="J67" s="20">
        <v>30.281841979601325</v>
      </c>
      <c r="K67" s="20">
        <v>49.072527556293267</v>
      </c>
      <c r="L67" s="20">
        <v>-31.711240016204627</v>
      </c>
      <c r="M67" s="20">
        <v>14.41937815844571</v>
      </c>
      <c r="N67" s="20">
        <v>5.1403549731916485</v>
      </c>
      <c r="O67" s="20">
        <v>16.616819283573875</v>
      </c>
      <c r="P67" s="20">
        <v>22.034799543306377</v>
      </c>
      <c r="Q67" s="20">
        <v>1.3738002478096405</v>
      </c>
      <c r="R67" s="20">
        <v>19.415798711209135</v>
      </c>
      <c r="S67" s="20">
        <v>-28.795862428199413</v>
      </c>
      <c r="T67" s="20">
        <v>-76.218560158866936</v>
      </c>
      <c r="U67" s="24">
        <v>7.1759224659416816</v>
      </c>
    </row>
    <row r="68" spans="1:21" x14ac:dyDescent="0.25">
      <c r="A68" s="95"/>
      <c r="B68" s="58"/>
      <c r="C68" s="59" t="s">
        <v>51</v>
      </c>
      <c r="D68" s="33">
        <v>15.782784026646496</v>
      </c>
      <c r="E68" s="33">
        <v>21.136158450776293</v>
      </c>
      <c r="F68" s="33">
        <v>-34.720878246278048</v>
      </c>
      <c r="G68" s="33">
        <v>-5.0743676165030678</v>
      </c>
      <c r="H68" s="33">
        <v>8.4246917789787545</v>
      </c>
      <c r="I68" s="33">
        <v>16.254471005898836</v>
      </c>
      <c r="J68" s="33">
        <v>4.3597950609068903E-3</v>
      </c>
      <c r="K68" s="33">
        <v>5.4877545448966742</v>
      </c>
      <c r="L68" s="33">
        <v>11.898498553746805</v>
      </c>
      <c r="M68" s="33">
        <v>9.6443523198611416</v>
      </c>
      <c r="N68" s="33">
        <v>0.44876965240432298</v>
      </c>
      <c r="O68" s="33">
        <v>25.771459059408414</v>
      </c>
      <c r="P68" s="33">
        <v>6.3039065150819482</v>
      </c>
      <c r="Q68" s="33">
        <v>9.1840122761555278</v>
      </c>
      <c r="R68" s="33">
        <v>0.39406096557605963</v>
      </c>
      <c r="S68" s="33">
        <v>9.3979575693721387</v>
      </c>
      <c r="T68" s="33">
        <v>-36.664892859129104</v>
      </c>
      <c r="U68" s="33">
        <v>-2.2167379196702797</v>
      </c>
    </row>
    <row r="69" spans="1:21" x14ac:dyDescent="0.25">
      <c r="A69" s="95"/>
      <c r="B69" s="99">
        <v>2015</v>
      </c>
      <c r="C69" s="61" t="s">
        <v>28</v>
      </c>
      <c r="D69" s="21">
        <v>2.4556392412977885</v>
      </c>
      <c r="E69" s="21">
        <v>1.6338660218311247</v>
      </c>
      <c r="F69" s="21">
        <v>-43.470373736956681</v>
      </c>
      <c r="G69" s="21">
        <v>1.3066859018945109</v>
      </c>
      <c r="H69" s="21">
        <v>7.498661375966293</v>
      </c>
      <c r="I69" s="21">
        <v>11.806556925865024</v>
      </c>
      <c r="J69" s="21">
        <v>-14.208260555756823</v>
      </c>
      <c r="K69" s="21">
        <v>16.377427126301683</v>
      </c>
      <c r="L69" s="21">
        <v>16.286856406219655</v>
      </c>
      <c r="M69" s="21">
        <v>10.807560315106613</v>
      </c>
      <c r="N69" s="21">
        <v>-2.1289230661331828</v>
      </c>
      <c r="O69" s="21">
        <v>47.118253210852629</v>
      </c>
      <c r="P69" s="21">
        <v>12.129870747952026</v>
      </c>
      <c r="Q69" s="21">
        <v>0.36759257703573667</v>
      </c>
      <c r="R69" s="21">
        <v>12.251348999223779</v>
      </c>
      <c r="S69" s="21">
        <v>4.7230509143074499</v>
      </c>
      <c r="T69" s="21">
        <v>-27.273530830373289</v>
      </c>
      <c r="U69" s="22">
        <v>-6.2687279467507295</v>
      </c>
    </row>
    <row r="70" spans="1:21" x14ac:dyDescent="0.25">
      <c r="A70" s="95"/>
      <c r="B70" s="100"/>
      <c r="C70" s="19" t="s">
        <v>29</v>
      </c>
      <c r="D70" s="2">
        <v>18.928076831658913</v>
      </c>
      <c r="E70" s="2">
        <v>5.1682392393033183</v>
      </c>
      <c r="F70" s="2">
        <v>-32.213986534954628</v>
      </c>
      <c r="G70" s="2">
        <v>-17.614296904463274</v>
      </c>
      <c r="H70" s="2">
        <v>8.0151219328776051</v>
      </c>
      <c r="I70" s="2">
        <v>24.409481688593274</v>
      </c>
      <c r="J70" s="2">
        <v>10.245433847387048</v>
      </c>
      <c r="K70" s="2">
        <v>8.4194058419948306</v>
      </c>
      <c r="L70" s="2">
        <v>18.477049494707217</v>
      </c>
      <c r="M70" s="2">
        <v>8.1390563997668863</v>
      </c>
      <c r="N70" s="2">
        <v>2.3477310308538222</v>
      </c>
      <c r="O70" s="2">
        <v>35.826592820642844</v>
      </c>
      <c r="P70" s="2">
        <v>20.933138526995137</v>
      </c>
      <c r="Q70" s="2">
        <v>3.2593312449354954</v>
      </c>
      <c r="R70" s="2">
        <v>-2.2611921946320024</v>
      </c>
      <c r="S70" s="2">
        <v>-28.769706283515049</v>
      </c>
      <c r="T70" s="2">
        <v>-85.921354482137289</v>
      </c>
      <c r="U70" s="23">
        <v>1.8765329749198969</v>
      </c>
    </row>
    <row r="71" spans="1:21" x14ac:dyDescent="0.25">
      <c r="A71" s="95"/>
      <c r="B71" s="100"/>
      <c r="C71" s="19" t="s">
        <v>30</v>
      </c>
      <c r="D71" s="2">
        <v>22.954444457259626</v>
      </c>
      <c r="E71" s="2">
        <v>46.53097355373427</v>
      </c>
      <c r="F71" s="2">
        <v>-36.045708196557705</v>
      </c>
      <c r="G71" s="2">
        <v>-13.435288408141005</v>
      </c>
      <c r="H71" s="2">
        <v>8.5464864883513627</v>
      </c>
      <c r="I71" s="2">
        <v>18.790406153745835</v>
      </c>
      <c r="J71" s="2">
        <v>7.7432729292247586</v>
      </c>
      <c r="K71" s="2">
        <v>1.7174851656307482</v>
      </c>
      <c r="L71" s="2">
        <v>17.767682698840773</v>
      </c>
      <c r="M71" s="2">
        <v>20.691156998275503</v>
      </c>
      <c r="N71" s="2">
        <v>-0.34017515716743674</v>
      </c>
      <c r="O71" s="2">
        <v>54.891563506989939</v>
      </c>
      <c r="P71" s="2">
        <v>9.5914253192685379</v>
      </c>
      <c r="Q71" s="2">
        <v>12.275824279587027</v>
      </c>
      <c r="R71" s="2">
        <v>-2.2342495817280366</v>
      </c>
      <c r="S71" s="2">
        <v>-22.289484318703728</v>
      </c>
      <c r="T71" s="2">
        <v>-85.849992898355538</v>
      </c>
      <c r="U71" s="23">
        <v>-1.5296925633131622</v>
      </c>
    </row>
    <row r="72" spans="1:21" x14ac:dyDescent="0.25">
      <c r="A72" s="95"/>
      <c r="B72" s="101"/>
      <c r="C72" s="52" t="s">
        <v>31</v>
      </c>
      <c r="D72" s="20">
        <v>29.539837440676166</v>
      </c>
      <c r="E72" s="20">
        <v>37.86488903779204</v>
      </c>
      <c r="F72" s="20">
        <v>-25.032391319166393</v>
      </c>
      <c r="G72" s="20">
        <v>12.3727541430938</v>
      </c>
      <c r="H72" s="20">
        <v>9.42697693702317</v>
      </c>
      <c r="I72" s="20">
        <v>11.766815761182102</v>
      </c>
      <c r="J72" s="20">
        <v>-1.9437465213184311</v>
      </c>
      <c r="K72" s="20">
        <v>-1.3269117295594697</v>
      </c>
      <c r="L72" s="20">
        <v>-5.6062180479942185</v>
      </c>
      <c r="M72" s="20">
        <v>-3.1682437106569523</v>
      </c>
      <c r="N72" s="20">
        <v>1.7320022139312101</v>
      </c>
      <c r="O72" s="20">
        <v>-11.196607194041718</v>
      </c>
      <c r="P72" s="20">
        <v>-8.0482423877742235</v>
      </c>
      <c r="Q72" s="20">
        <v>21.369548237254961</v>
      </c>
      <c r="R72" s="20">
        <v>-6.0917493014049029</v>
      </c>
      <c r="S72" s="20">
        <v>122.3403303991451</v>
      </c>
      <c r="T72" s="20">
        <v>241.69862256475415</v>
      </c>
      <c r="U72" s="24">
        <v>-3.0846283407179129</v>
      </c>
    </row>
    <row r="73" spans="1:21" x14ac:dyDescent="0.25">
      <c r="A73" s="95"/>
      <c r="B73" s="58"/>
      <c r="C73" s="59" t="s">
        <v>51</v>
      </c>
      <c r="D73" s="33">
        <v>27.448080491400233</v>
      </c>
      <c r="E73" s="33">
        <v>28.519692821757701</v>
      </c>
      <c r="F73" s="33">
        <v>11.311710091551674</v>
      </c>
      <c r="G73" s="33">
        <v>35.761016468344621</v>
      </c>
      <c r="H73" s="33">
        <v>33.064814264483573</v>
      </c>
      <c r="I73" s="33">
        <v>30.040444523354779</v>
      </c>
      <c r="J73" s="33">
        <v>26.762515730936244</v>
      </c>
      <c r="K73" s="33">
        <v>21.836741674691524</v>
      </c>
      <c r="L73" s="33">
        <v>-9.2161039519891261</v>
      </c>
      <c r="M73" s="33">
        <v>12.500077464633421</v>
      </c>
      <c r="N73" s="33">
        <v>-5.0539285579980771</v>
      </c>
      <c r="O73" s="33">
        <v>24.775386805243556</v>
      </c>
      <c r="P73" s="33">
        <v>3.6425204221148988</v>
      </c>
      <c r="Q73" s="33">
        <v>39.309572069720844</v>
      </c>
      <c r="R73" s="33">
        <v>30.536509058273083</v>
      </c>
      <c r="S73" s="33">
        <v>22.785903835285254</v>
      </c>
      <c r="T73" s="33">
        <v>-68.293963340219278</v>
      </c>
      <c r="U73" s="33">
        <v>20.586837098946447</v>
      </c>
    </row>
    <row r="74" spans="1:21" x14ac:dyDescent="0.25">
      <c r="A74" s="95"/>
      <c r="B74" s="99">
        <v>2016</v>
      </c>
      <c r="C74" s="61" t="s">
        <v>28</v>
      </c>
      <c r="D74" s="21">
        <v>20.556982656244799</v>
      </c>
      <c r="E74" s="21">
        <v>-11.185761102821843</v>
      </c>
      <c r="F74" s="21">
        <v>-7.7093277740647608</v>
      </c>
      <c r="G74" s="21">
        <v>44.90587620324726</v>
      </c>
      <c r="H74" s="21">
        <v>20.720643111034832</v>
      </c>
      <c r="I74" s="21">
        <v>35.04710193206256</v>
      </c>
      <c r="J74" s="21">
        <v>40.95429387911679</v>
      </c>
      <c r="K74" s="21">
        <v>20.693111963183213</v>
      </c>
      <c r="L74" s="21">
        <v>1.7698474105352773</v>
      </c>
      <c r="M74" s="21">
        <v>-1.299675372137699</v>
      </c>
      <c r="N74" s="21">
        <v>1.3281605828658201</v>
      </c>
      <c r="O74" s="21">
        <v>16.712428830415433</v>
      </c>
      <c r="P74" s="21">
        <v>9.8563993764866069</v>
      </c>
      <c r="Q74" s="21">
        <v>31.103232223044273</v>
      </c>
      <c r="R74" s="21">
        <v>12.172267314824396</v>
      </c>
      <c r="S74" s="21">
        <v>5.1519029443625186</v>
      </c>
      <c r="T74" s="21">
        <v>-94.975319283731579</v>
      </c>
      <c r="U74" s="22">
        <v>17.750337995468414</v>
      </c>
    </row>
    <row r="75" spans="1:21" x14ac:dyDescent="0.25">
      <c r="A75" s="95"/>
      <c r="B75" s="100"/>
      <c r="C75" s="19" t="s">
        <v>29</v>
      </c>
      <c r="D75" s="2">
        <v>24.20663774208009</v>
      </c>
      <c r="E75" s="2">
        <v>20.062031565533871</v>
      </c>
      <c r="F75" s="2">
        <v>3.6264327425824519</v>
      </c>
      <c r="G75" s="2">
        <v>20.311443054728912</v>
      </c>
      <c r="H75" s="2">
        <v>17.398278697627376</v>
      </c>
      <c r="I75" s="2">
        <v>32.205820847314016</v>
      </c>
      <c r="J75" s="2">
        <v>33.979453029274111</v>
      </c>
      <c r="K75" s="2">
        <v>21.719889044691598</v>
      </c>
      <c r="L75" s="2">
        <v>-18.508552591894798</v>
      </c>
      <c r="M75" s="2">
        <v>11.803056519402119</v>
      </c>
      <c r="N75" s="2">
        <v>-4.5313387480751572</v>
      </c>
      <c r="O75" s="2">
        <v>27.836819794090189</v>
      </c>
      <c r="P75" s="2">
        <v>2.1371517612477362</v>
      </c>
      <c r="Q75" s="2">
        <v>48.870312540184074</v>
      </c>
      <c r="R75" s="2">
        <v>22.072414483185469</v>
      </c>
      <c r="S75" s="2">
        <v>46.974364960815194</v>
      </c>
      <c r="T75" s="2">
        <v>24.989061254652015</v>
      </c>
      <c r="U75" s="23">
        <v>16.837834580224936</v>
      </c>
    </row>
    <row r="76" spans="1:21" x14ac:dyDescent="0.25">
      <c r="A76" s="95"/>
      <c r="B76" s="100"/>
      <c r="C76" s="19" t="s">
        <v>30</v>
      </c>
      <c r="D76" s="2">
        <v>39.737560211904764</v>
      </c>
      <c r="E76" s="2">
        <v>47.196909956783799</v>
      </c>
      <c r="F76" s="2">
        <v>16.026226120486371</v>
      </c>
      <c r="G76" s="2">
        <v>57.929622645197185</v>
      </c>
      <c r="H76" s="2">
        <v>47.328193900170135</v>
      </c>
      <c r="I76" s="2">
        <v>27.903237071294853</v>
      </c>
      <c r="J76" s="2">
        <v>2.8921000925860483</v>
      </c>
      <c r="K76" s="2">
        <v>25.651901039524375</v>
      </c>
      <c r="L76" s="2">
        <v>-15.770272082573584</v>
      </c>
      <c r="M76" s="2">
        <v>21.703117989306094</v>
      </c>
      <c r="N76" s="2">
        <v>-9.2758969532073365</v>
      </c>
      <c r="O76" s="2">
        <v>25.137637852281131</v>
      </c>
      <c r="P76" s="2">
        <v>7.561440250731394</v>
      </c>
      <c r="Q76" s="2">
        <v>43.358502316389973</v>
      </c>
      <c r="R76" s="2">
        <v>36.682289319671781</v>
      </c>
      <c r="S76" s="2">
        <v>53.070949578889014</v>
      </c>
      <c r="T76" s="2">
        <v>187.16154056888979</v>
      </c>
      <c r="U76" s="23">
        <v>20.619329472167379</v>
      </c>
    </row>
    <row r="77" spans="1:21" x14ac:dyDescent="0.25">
      <c r="A77" s="95"/>
      <c r="B77" s="101"/>
      <c r="C77" s="52" t="s">
        <v>31</v>
      </c>
      <c r="D77" s="20">
        <v>32.04132942565073</v>
      </c>
      <c r="E77" s="20">
        <v>52.703384627684216</v>
      </c>
      <c r="F77" s="20">
        <v>34.103061055354402</v>
      </c>
      <c r="G77" s="20">
        <v>22.352747521640254</v>
      </c>
      <c r="H77" s="20">
        <v>44.290836672738664</v>
      </c>
      <c r="I77" s="20">
        <v>25.028802876061491</v>
      </c>
      <c r="J77" s="20">
        <v>37.266277503287398</v>
      </c>
      <c r="K77" s="20">
        <v>19.429446648974263</v>
      </c>
      <c r="L77" s="20">
        <v>6.0004047638513498</v>
      </c>
      <c r="M77" s="20">
        <v>19.108823854054194</v>
      </c>
      <c r="N77" s="20">
        <v>-6.8546578447314204</v>
      </c>
      <c r="O77" s="20">
        <v>29.767296807356644</v>
      </c>
      <c r="P77" s="20">
        <v>-2.8771918038747089</v>
      </c>
      <c r="Q77" s="20">
        <v>33.978231458084309</v>
      </c>
      <c r="R77" s="20">
        <v>54.77158489540389</v>
      </c>
      <c r="S77" s="20">
        <v>5.3718727752623039</v>
      </c>
      <c r="T77" s="20">
        <v>-73.987947601237138</v>
      </c>
      <c r="U77" s="24">
        <v>27.09795578632594</v>
      </c>
    </row>
    <row r="78" spans="1:21" x14ac:dyDescent="0.25">
      <c r="A78" s="95"/>
      <c r="B78" s="58"/>
      <c r="C78" s="59" t="s">
        <v>51</v>
      </c>
      <c r="D78" s="33">
        <v>26.145424731708573</v>
      </c>
      <c r="E78" s="33">
        <v>22.418461130656837</v>
      </c>
      <c r="F78" s="33">
        <v>26.265992392514278</v>
      </c>
      <c r="G78" s="33">
        <v>0.41731016233367768</v>
      </c>
      <c r="H78" s="33">
        <v>22.372597378156271</v>
      </c>
      <c r="I78" s="33">
        <v>-0.2099992224080296</v>
      </c>
      <c r="J78" s="33">
        <v>21.384682983344433</v>
      </c>
      <c r="K78" s="33">
        <v>33.094769500677018</v>
      </c>
      <c r="L78" s="33">
        <v>26.715720459910301</v>
      </c>
      <c r="M78" s="33">
        <v>11.768785937847738</v>
      </c>
      <c r="N78" s="33">
        <v>3.2101623891519466</v>
      </c>
      <c r="O78" s="33">
        <v>17.618059091913494</v>
      </c>
      <c r="P78" s="33">
        <v>13.176938738097306</v>
      </c>
      <c r="Q78" s="33">
        <v>12.68512325135606</v>
      </c>
      <c r="R78" s="33">
        <v>44.630552772537271</v>
      </c>
      <c r="S78" s="33">
        <v>23.133849626888491</v>
      </c>
      <c r="T78" s="33">
        <v>-24.554944082504605</v>
      </c>
      <c r="U78" s="33">
        <v>23.522199970527069</v>
      </c>
    </row>
    <row r="79" spans="1:21" x14ac:dyDescent="0.25">
      <c r="A79" s="95"/>
      <c r="B79" s="99">
        <v>2017</v>
      </c>
      <c r="C79" s="61" t="s">
        <v>28</v>
      </c>
      <c r="D79" s="21">
        <v>40.714230065833419</v>
      </c>
      <c r="E79" s="21">
        <v>46.64578595538319</v>
      </c>
      <c r="F79" s="21">
        <v>62.374103419594377</v>
      </c>
      <c r="G79" s="21">
        <v>6.5255401779467093E-3</v>
      </c>
      <c r="H79" s="21">
        <v>41.101818649148981</v>
      </c>
      <c r="I79" s="21">
        <v>-8.6344260935420181</v>
      </c>
      <c r="J79" s="21">
        <v>4.7346225793616838</v>
      </c>
      <c r="K79" s="21">
        <v>30.45317722797023</v>
      </c>
      <c r="L79" s="21">
        <v>-0.62709727679872174</v>
      </c>
      <c r="M79" s="21">
        <v>21.256755978770215</v>
      </c>
      <c r="N79" s="21">
        <v>5.8699626112450005</v>
      </c>
      <c r="O79" s="21">
        <v>17.88584609985908</v>
      </c>
      <c r="P79" s="21">
        <v>5.8442290355682047</v>
      </c>
      <c r="Q79" s="21">
        <v>25.706853049416949</v>
      </c>
      <c r="R79" s="21">
        <v>46.895524283491113</v>
      </c>
      <c r="S79" s="21">
        <v>46.576515833159334</v>
      </c>
      <c r="T79" s="21">
        <v>-26.020735067728964</v>
      </c>
      <c r="U79" s="22">
        <v>29.158919296858642</v>
      </c>
    </row>
    <row r="80" spans="1:21" x14ac:dyDescent="0.25">
      <c r="A80" s="95"/>
      <c r="B80" s="100"/>
      <c r="C80" s="19" t="s">
        <v>29</v>
      </c>
      <c r="D80" s="2">
        <v>19.830673043185158</v>
      </c>
      <c r="E80" s="2">
        <v>33.616010481266983</v>
      </c>
      <c r="F80" s="2">
        <v>8.1427434669200807</v>
      </c>
      <c r="G80" s="2">
        <v>15.057536370377122</v>
      </c>
      <c r="H80" s="2">
        <v>16.888960207325283</v>
      </c>
      <c r="I80" s="2">
        <v>-10.945363623559629</v>
      </c>
      <c r="J80" s="2">
        <v>4.0261563293876321</v>
      </c>
      <c r="K80" s="2">
        <v>37.608803769697033</v>
      </c>
      <c r="L80" s="2">
        <v>28.744986627056221</v>
      </c>
      <c r="M80" s="2">
        <v>-2.9284051913227529</v>
      </c>
      <c r="N80" s="2">
        <v>4.5226399158367201</v>
      </c>
      <c r="O80" s="2">
        <v>-0.81279612152623315</v>
      </c>
      <c r="P80" s="2">
        <v>9.5661446783226864</v>
      </c>
      <c r="Q80" s="2">
        <v>8.8681948643899631</v>
      </c>
      <c r="R80" s="2">
        <v>49.328286800724129</v>
      </c>
      <c r="S80" s="2">
        <v>45.877938157755835</v>
      </c>
      <c r="T80" s="2">
        <v>-19.285870433671818</v>
      </c>
      <c r="U80" s="23">
        <v>17.405345793861343</v>
      </c>
    </row>
    <row r="81" spans="1:21" x14ac:dyDescent="0.25">
      <c r="A81" s="95"/>
      <c r="B81" s="100"/>
      <c r="C81" s="19" t="s">
        <v>30</v>
      </c>
      <c r="D81" s="2">
        <v>24.98488262571658</v>
      </c>
      <c r="E81" s="2">
        <v>32.237955727153519</v>
      </c>
      <c r="F81" s="2">
        <v>16.576132603430565</v>
      </c>
      <c r="G81" s="2">
        <v>-21.577317336335227</v>
      </c>
      <c r="H81" s="2">
        <v>18.616039450541152</v>
      </c>
      <c r="I81" s="2">
        <v>5.0578664383166085</v>
      </c>
      <c r="J81" s="2">
        <v>51.786757499444349</v>
      </c>
      <c r="K81" s="2">
        <v>31.939595610013527</v>
      </c>
      <c r="L81" s="2">
        <v>36.408116734616442</v>
      </c>
      <c r="M81" s="2">
        <v>17.502306870565619</v>
      </c>
      <c r="N81" s="2">
        <v>7.9135215233448122</v>
      </c>
      <c r="O81" s="2">
        <v>18.97039982019804</v>
      </c>
      <c r="P81" s="2">
        <v>6.0985599695744952</v>
      </c>
      <c r="Q81" s="2">
        <v>5.5356618792681758</v>
      </c>
      <c r="R81" s="2">
        <v>47.488754508532622</v>
      </c>
      <c r="S81" s="2">
        <v>24.783301584115236</v>
      </c>
      <c r="T81" s="2">
        <v>4.6276120594215229</v>
      </c>
      <c r="U81" s="23">
        <v>25.205837294509308</v>
      </c>
    </row>
    <row r="82" spans="1:21" x14ac:dyDescent="0.25">
      <c r="A82" s="95"/>
      <c r="B82" s="101"/>
      <c r="C82" s="52" t="s">
        <v>31</v>
      </c>
      <c r="D82" s="20">
        <v>17.114857976009844</v>
      </c>
      <c r="E82" s="20">
        <v>-0.2567522386167127</v>
      </c>
      <c r="F82" s="20">
        <v>28.664489391738499</v>
      </c>
      <c r="G82" s="20">
        <v>13.025898628914362</v>
      </c>
      <c r="H82" s="20">
        <v>16.116210357832415</v>
      </c>
      <c r="I82" s="20">
        <v>14.394847085647996</v>
      </c>
      <c r="J82" s="20">
        <v>20.691636626933146</v>
      </c>
      <c r="K82" s="20">
        <v>32.534733987490483</v>
      </c>
      <c r="L82" s="20">
        <v>36.685504539361972</v>
      </c>
      <c r="M82" s="20">
        <v>11.789695323163315</v>
      </c>
      <c r="N82" s="20">
        <v>-4.4915168143414945</v>
      </c>
      <c r="O82" s="20">
        <v>33.761201744919106</v>
      </c>
      <c r="P82" s="20">
        <v>28.540341119764292</v>
      </c>
      <c r="Q82" s="20">
        <v>12.819806407358584</v>
      </c>
      <c r="R82" s="20">
        <v>36.36081392928466</v>
      </c>
      <c r="S82" s="20">
        <v>-7.8593473829336773</v>
      </c>
      <c r="T82" s="20">
        <v>-55.350117662627063</v>
      </c>
      <c r="U82" s="24">
        <v>22.919929115503265</v>
      </c>
    </row>
    <row r="83" spans="1:21" x14ac:dyDescent="0.25">
      <c r="A83" s="95"/>
      <c r="B83" s="58"/>
      <c r="C83" s="59" t="s">
        <v>51</v>
      </c>
      <c r="D83" s="33">
        <v>12.399475659165219</v>
      </c>
      <c r="E83" s="33">
        <v>2.3052337856575917</v>
      </c>
      <c r="F83" s="33">
        <v>79.389718558646081</v>
      </c>
      <c r="G83" s="33">
        <v>76.70184234093378</v>
      </c>
      <c r="H83" s="33">
        <v>15.587985719547959</v>
      </c>
      <c r="I83" s="33">
        <v>45.61983850504393</v>
      </c>
      <c r="J83" s="33">
        <v>-0.77220673650747074</v>
      </c>
      <c r="K83" s="33">
        <v>19.39449312749575</v>
      </c>
      <c r="L83" s="33">
        <v>19.377236481792664</v>
      </c>
      <c r="M83" s="33">
        <v>6.5892699459024584</v>
      </c>
      <c r="N83" s="33">
        <v>0.8327788788639765</v>
      </c>
      <c r="O83" s="33">
        <v>56.279071432113227</v>
      </c>
      <c r="P83" s="33">
        <v>3.8512182409885583</v>
      </c>
      <c r="Q83" s="33">
        <v>16.64780335578746</v>
      </c>
      <c r="R83" s="33">
        <v>23.898365317928594</v>
      </c>
      <c r="S83" s="33">
        <v>31.934452375084533</v>
      </c>
      <c r="T83" s="33">
        <v>-10.254337759737027</v>
      </c>
      <c r="U83" s="33">
        <v>23.990169500888641</v>
      </c>
    </row>
    <row r="84" spans="1:21" x14ac:dyDescent="0.25">
      <c r="A84" s="95"/>
      <c r="B84" s="99">
        <v>2018</v>
      </c>
      <c r="C84" s="61" t="s">
        <v>28</v>
      </c>
      <c r="D84" s="21">
        <v>9.9634870911477122</v>
      </c>
      <c r="E84" s="21">
        <v>11.760966710368564</v>
      </c>
      <c r="F84" s="21">
        <v>47.607855530936774</v>
      </c>
      <c r="G84" s="21">
        <v>17.674631886315879</v>
      </c>
      <c r="H84" s="21">
        <v>11.97964254600474</v>
      </c>
      <c r="I84" s="21">
        <v>41.959732092286089</v>
      </c>
      <c r="J84" s="21">
        <v>-26.244780664567983</v>
      </c>
      <c r="K84" s="21">
        <v>25.013663639565323</v>
      </c>
      <c r="L84" s="21">
        <v>32.223677015375614</v>
      </c>
      <c r="M84" s="21">
        <v>7.6849578430617527</v>
      </c>
      <c r="N84" s="21">
        <v>-2.322436625396719</v>
      </c>
      <c r="O84" s="21">
        <v>29.939087792690941</v>
      </c>
      <c r="P84" s="21">
        <v>11.559464608406515</v>
      </c>
      <c r="Q84" s="21">
        <v>14.387559452916676</v>
      </c>
      <c r="R84" s="21">
        <v>32.817391766689838</v>
      </c>
      <c r="S84" s="21">
        <v>34.416383922262867</v>
      </c>
      <c r="T84" s="21">
        <v>-99.975656547766476</v>
      </c>
      <c r="U84" s="22">
        <v>17.414607855997218</v>
      </c>
    </row>
    <row r="85" spans="1:21" x14ac:dyDescent="0.25">
      <c r="A85" s="95"/>
      <c r="B85" s="100"/>
      <c r="C85" s="19" t="s">
        <v>29</v>
      </c>
      <c r="D85" s="2">
        <v>21.506033555449406</v>
      </c>
      <c r="E85" s="2">
        <v>32.179235298894866</v>
      </c>
      <c r="F85" s="2">
        <v>93.420507547124117</v>
      </c>
      <c r="G85" s="2">
        <v>58.431433184839051</v>
      </c>
      <c r="H85" s="2">
        <v>25.230834339631684</v>
      </c>
      <c r="I85" s="2">
        <v>62.978256756389982</v>
      </c>
      <c r="J85" s="2">
        <v>-4.5951660888433707</v>
      </c>
      <c r="K85" s="2">
        <v>15.242407242624665</v>
      </c>
      <c r="L85" s="2">
        <v>24.908812727373999</v>
      </c>
      <c r="M85" s="2">
        <v>20.237387290601802</v>
      </c>
      <c r="N85" s="2">
        <v>4.9154058942260122</v>
      </c>
      <c r="O85" s="2">
        <v>71.034462979455299</v>
      </c>
      <c r="P85" s="2">
        <v>8.0391736647309671</v>
      </c>
      <c r="Q85" s="2">
        <v>15.741895957864642</v>
      </c>
      <c r="R85" s="2">
        <v>16.450958569874047</v>
      </c>
      <c r="S85" s="2">
        <v>19.289120054556804</v>
      </c>
      <c r="T85" s="2">
        <v>-50.991845670625345</v>
      </c>
      <c r="U85" s="23">
        <v>28.233836318138771</v>
      </c>
    </row>
    <row r="86" spans="1:21" x14ac:dyDescent="0.25">
      <c r="A86" s="95"/>
      <c r="B86" s="100"/>
      <c r="C86" s="19" t="s">
        <v>30</v>
      </c>
      <c r="D86" s="2">
        <v>3.7005789595682756</v>
      </c>
      <c r="E86" s="2">
        <v>-15.778737933655449</v>
      </c>
      <c r="F86" s="2">
        <v>100.12538405325327</v>
      </c>
      <c r="G86" s="2">
        <v>88.175343231208331</v>
      </c>
      <c r="H86" s="2">
        <v>6.7775284264221369</v>
      </c>
      <c r="I86" s="2">
        <v>40.44197933388142</v>
      </c>
      <c r="J86" s="2">
        <v>-3.8754047230383861</v>
      </c>
      <c r="K86" s="2">
        <v>15.480451756954182</v>
      </c>
      <c r="L86" s="2">
        <v>14.333333001885904</v>
      </c>
      <c r="M86" s="2">
        <v>-1.6450425450417896</v>
      </c>
      <c r="N86" s="2">
        <v>10.160479980800091</v>
      </c>
      <c r="O86" s="2">
        <v>51.482317430456391</v>
      </c>
      <c r="P86" s="2">
        <v>9.1688319362738468</v>
      </c>
      <c r="Q86" s="2">
        <v>19.806062122885692</v>
      </c>
      <c r="R86" s="2">
        <v>25.205814594554909</v>
      </c>
      <c r="S86" s="2">
        <v>26.63089161936955</v>
      </c>
      <c r="T86" s="2">
        <v>-79.108588775089146</v>
      </c>
      <c r="U86" s="23">
        <v>23.556452763791242</v>
      </c>
    </row>
    <row r="87" spans="1:21" x14ac:dyDescent="0.25">
      <c r="A87" s="95"/>
      <c r="B87" s="101"/>
      <c r="C87" s="52" t="s">
        <v>31</v>
      </c>
      <c r="D87" s="20">
        <v>8.3924772938765102</v>
      </c>
      <c r="E87" s="20">
        <v>-5.819296179782242</v>
      </c>
      <c r="F87" s="20">
        <v>76.852713583470887</v>
      </c>
      <c r="G87" s="20">
        <v>132.27665922000932</v>
      </c>
      <c r="H87" s="20">
        <v>19.597706815316968</v>
      </c>
      <c r="I87" s="20">
        <v>39.853541136479066</v>
      </c>
      <c r="J87" s="20">
        <v>20.946213613018443</v>
      </c>
      <c r="K87" s="20">
        <v>22.14008110801251</v>
      </c>
      <c r="L87" s="20">
        <v>9.1345087853270286</v>
      </c>
      <c r="M87" s="20">
        <v>2.4479665248650946</v>
      </c>
      <c r="N87" s="20">
        <v>-9.3977428208222307</v>
      </c>
      <c r="O87" s="20">
        <v>71.623015416463517</v>
      </c>
      <c r="P87" s="20">
        <v>-8.2270161586103967</v>
      </c>
      <c r="Q87" s="20">
        <v>16.606961082438175</v>
      </c>
      <c r="R87" s="20">
        <v>21.170975609570533</v>
      </c>
      <c r="S87" s="20">
        <v>48.859345684137224</v>
      </c>
      <c r="T87" s="20">
        <v>240.58629554307021</v>
      </c>
      <c r="U87" s="24">
        <v>26.465064265855247</v>
      </c>
    </row>
    <row r="88" spans="1:21" x14ac:dyDescent="0.25">
      <c r="A88" s="95"/>
      <c r="B88" s="58"/>
      <c r="C88" s="59" t="s">
        <v>51</v>
      </c>
      <c r="D88" s="33">
        <v>12.364112882597979</v>
      </c>
      <c r="E88" s="33">
        <v>0.85938466598598495</v>
      </c>
      <c r="F88" s="33">
        <v>24.069383313747906</v>
      </c>
      <c r="G88" s="33">
        <v>49.096453923305347</v>
      </c>
      <c r="H88" s="33">
        <v>20.556045770455754</v>
      </c>
      <c r="I88" s="33">
        <v>32.52311617187712</v>
      </c>
      <c r="J88" s="33">
        <v>17.96034744907044</v>
      </c>
      <c r="K88" s="33">
        <v>19.699538954293104</v>
      </c>
      <c r="L88" s="33">
        <v>17.991817096618462</v>
      </c>
      <c r="M88" s="33">
        <v>12.429445369682028</v>
      </c>
      <c r="N88" s="33">
        <v>-1.7128378400866211</v>
      </c>
      <c r="O88" s="33">
        <v>8.0320913025558411</v>
      </c>
      <c r="P88" s="33">
        <v>35.758845687456784</v>
      </c>
      <c r="Q88" s="33">
        <v>17.702332240249817</v>
      </c>
      <c r="R88" s="33">
        <v>17.09549174419098</v>
      </c>
      <c r="S88" s="33">
        <v>-13.356500652888087</v>
      </c>
      <c r="T88" s="33">
        <v>-25.677599869845707</v>
      </c>
      <c r="U88" s="33">
        <v>18.980938724483323</v>
      </c>
    </row>
    <row r="89" spans="1:21" x14ac:dyDescent="0.25">
      <c r="A89" s="95"/>
      <c r="B89" s="99">
        <v>2019</v>
      </c>
      <c r="C89" s="61" t="s">
        <v>28</v>
      </c>
      <c r="D89" s="21">
        <v>9.1658289294019397</v>
      </c>
      <c r="E89" s="21">
        <v>15.140424000846963</v>
      </c>
      <c r="F89" s="21">
        <v>33.97508968052253</v>
      </c>
      <c r="G89" s="21">
        <v>98.195388427701801</v>
      </c>
      <c r="H89" s="21">
        <v>7.4272379856223552</v>
      </c>
      <c r="I89" s="21">
        <v>28.525917471957058</v>
      </c>
      <c r="J89" s="21">
        <v>72.1523209225698</v>
      </c>
      <c r="K89" s="21">
        <v>19.243899820993121</v>
      </c>
      <c r="L89" s="21">
        <v>19.433926451652667</v>
      </c>
      <c r="M89" s="21">
        <v>5.0600269437498895</v>
      </c>
      <c r="N89" s="21">
        <v>1.7795215535010271</v>
      </c>
      <c r="O89" s="21">
        <v>-7.9934112996740225</v>
      </c>
      <c r="P89" s="21">
        <v>27.449374723776401</v>
      </c>
      <c r="Q89" s="21">
        <v>14.252978595564471</v>
      </c>
      <c r="R89" s="21">
        <v>6.2136116744469803</v>
      </c>
      <c r="S89" s="21">
        <v>-27.23894572062548</v>
      </c>
      <c r="T89" s="21">
        <v>-0.69353855709820778</v>
      </c>
      <c r="U89" s="22">
        <v>20.86949029007188</v>
      </c>
    </row>
    <row r="90" spans="1:21" x14ac:dyDescent="0.25">
      <c r="A90" s="95"/>
      <c r="B90" s="100"/>
      <c r="C90" s="19" t="s">
        <v>29</v>
      </c>
      <c r="D90" s="2">
        <v>12.364849577496813</v>
      </c>
      <c r="E90" s="2">
        <v>-8.1481195810231952</v>
      </c>
      <c r="F90" s="2">
        <v>24.91342359632003</v>
      </c>
      <c r="G90" s="2">
        <v>57.931256757633719</v>
      </c>
      <c r="H90" s="2">
        <v>25.886807598065232</v>
      </c>
      <c r="I90" s="2">
        <v>20.37059445162997</v>
      </c>
      <c r="J90" s="2">
        <v>-1.7906058948916552</v>
      </c>
      <c r="K90" s="2">
        <v>21.530134615823002</v>
      </c>
      <c r="L90" s="2">
        <v>14.65681723310459</v>
      </c>
      <c r="M90" s="2">
        <v>1.9258379891359283</v>
      </c>
      <c r="N90" s="2">
        <v>-2.525483854073471</v>
      </c>
      <c r="O90" s="2">
        <v>-18.342379757531006</v>
      </c>
      <c r="P90" s="2">
        <v>15.013824901092534</v>
      </c>
      <c r="Q90" s="2">
        <v>17.916894528793307</v>
      </c>
      <c r="R90" s="2">
        <v>25.133119166509616</v>
      </c>
      <c r="S90" s="2">
        <v>-26.616000403555532</v>
      </c>
      <c r="T90" s="2">
        <v>89.502164884018043</v>
      </c>
      <c r="U90" s="23">
        <v>14.723509474253163</v>
      </c>
    </row>
    <row r="91" spans="1:21" x14ac:dyDescent="0.25">
      <c r="A91" s="95"/>
      <c r="B91" s="100"/>
      <c r="C91" s="19" t="s">
        <v>30</v>
      </c>
      <c r="D91" s="2">
        <v>14.767990345883035</v>
      </c>
      <c r="E91" s="2">
        <v>-9.6091927015762479</v>
      </c>
      <c r="F91" s="2">
        <v>4.2305702135462866</v>
      </c>
      <c r="G91" s="2">
        <v>56.233053855521035</v>
      </c>
      <c r="H91" s="2">
        <v>23.685435344943656</v>
      </c>
      <c r="I91" s="2">
        <v>37.722610135747288</v>
      </c>
      <c r="J91" s="2">
        <v>17.762661393455986</v>
      </c>
      <c r="K91" s="2">
        <v>21.557068811956185</v>
      </c>
      <c r="L91" s="2">
        <v>18.398229581819024</v>
      </c>
      <c r="M91" s="2">
        <v>4.9910448591439263</v>
      </c>
      <c r="N91" s="2">
        <v>-2.7864413213144275</v>
      </c>
      <c r="O91" s="2">
        <v>-27.314848717376222</v>
      </c>
      <c r="P91" s="2">
        <v>47.337682718390226</v>
      </c>
      <c r="Q91" s="2">
        <v>19.831413136680794</v>
      </c>
      <c r="R91" s="2">
        <v>17.135850886279187</v>
      </c>
      <c r="S91" s="2">
        <v>-24.412385652230569</v>
      </c>
      <c r="T91" s="2">
        <v>279.10106737415032</v>
      </c>
      <c r="U91" s="23">
        <v>14.232967511931889</v>
      </c>
    </row>
    <row r="92" spans="1:21" x14ac:dyDescent="0.25">
      <c r="A92" s="95"/>
      <c r="B92" s="101"/>
      <c r="C92" s="52" t="s">
        <v>31</v>
      </c>
      <c r="D92" s="20">
        <v>15.765317454148459</v>
      </c>
      <c r="E92" s="20">
        <v>4.5086838397557756</v>
      </c>
      <c r="F92" s="20">
        <v>36.129897653763976</v>
      </c>
      <c r="G92" s="20">
        <v>19.020387725779216</v>
      </c>
      <c r="H92" s="20">
        <v>24.858590069495378</v>
      </c>
      <c r="I92" s="20">
        <v>42.352536137371175</v>
      </c>
      <c r="J92" s="20">
        <v>5.6515192946649364</v>
      </c>
      <c r="K92" s="20">
        <v>16.849439700955941</v>
      </c>
      <c r="L92" s="20">
        <v>21.708625020042234</v>
      </c>
      <c r="M92" s="20">
        <v>48.265988000033474</v>
      </c>
      <c r="N92" s="20">
        <v>-3.1873854751607382</v>
      </c>
      <c r="O92" s="20">
        <v>64.31134399159788</v>
      </c>
      <c r="P92" s="20">
        <v>49.182016691842279</v>
      </c>
      <c r="Q92" s="20">
        <v>18.578449712108551</v>
      </c>
      <c r="R92" s="20">
        <v>21.053323885694056</v>
      </c>
      <c r="S92" s="20">
        <v>20.055344322178257</v>
      </c>
      <c r="T92" s="20">
        <v>-93.495438268500919</v>
      </c>
      <c r="U92" s="24">
        <v>25.924255300922113</v>
      </c>
    </row>
    <row r="93" spans="1:21" x14ac:dyDescent="0.25">
      <c r="A93" s="95"/>
      <c r="B93" s="58"/>
      <c r="C93" s="59" t="s">
        <v>51</v>
      </c>
      <c r="D93" s="33">
        <v>36.404701023519578</v>
      </c>
      <c r="E93" s="33">
        <v>22.377008239402102</v>
      </c>
      <c r="F93" s="33">
        <v>-6.9721785211426095</v>
      </c>
      <c r="G93" s="33">
        <v>84.686871304973494</v>
      </c>
      <c r="H93" s="33">
        <v>24.058569650342918</v>
      </c>
      <c r="I93" s="33">
        <v>28.40826580891445</v>
      </c>
      <c r="J93" s="33">
        <v>-19.419150092131659</v>
      </c>
      <c r="K93" s="33">
        <v>26.698614302736786</v>
      </c>
      <c r="L93" s="33">
        <v>23.505334894032302</v>
      </c>
      <c r="M93" s="33">
        <v>-31.932259449663519</v>
      </c>
      <c r="N93" s="33">
        <v>-9.8394540750130943</v>
      </c>
      <c r="O93" s="33">
        <v>17.67085941972131</v>
      </c>
      <c r="P93" s="33">
        <v>16.596803859510189</v>
      </c>
      <c r="Q93" s="33">
        <v>6.1416404332566685</v>
      </c>
      <c r="R93" s="33">
        <v>21.465311076492029</v>
      </c>
      <c r="S93" s="33">
        <v>79.794051578196871</v>
      </c>
      <c r="T93" s="33">
        <v>1465.9723227530967</v>
      </c>
      <c r="U93" s="33">
        <v>10.101075647352545</v>
      </c>
    </row>
    <row r="94" spans="1:21" x14ac:dyDescent="0.25">
      <c r="A94" s="95"/>
      <c r="B94" s="99">
        <v>2020</v>
      </c>
      <c r="C94" s="61" t="s">
        <v>28</v>
      </c>
      <c r="D94" s="21">
        <v>30.589514098975513</v>
      </c>
      <c r="E94" s="21">
        <v>26.235733212871253</v>
      </c>
      <c r="F94" s="21">
        <v>21.697335907913626</v>
      </c>
      <c r="G94" s="21">
        <v>109.28806520626947</v>
      </c>
      <c r="H94" s="21">
        <v>29.804401869649951</v>
      </c>
      <c r="I94" s="21">
        <v>37.14669897060557</v>
      </c>
      <c r="J94" s="21">
        <v>-10.08021628631812</v>
      </c>
      <c r="K94" s="21">
        <v>22.013037824679472</v>
      </c>
      <c r="L94" s="21">
        <v>19.492879323540805</v>
      </c>
      <c r="M94" s="21">
        <v>3.5454864905446755</v>
      </c>
      <c r="N94" s="21">
        <v>-11.13407471204998</v>
      </c>
      <c r="O94" s="21">
        <v>48.87291080887087</v>
      </c>
      <c r="P94" s="21">
        <v>21.245372836862714</v>
      </c>
      <c r="Q94" s="21">
        <v>20.52413225149661</v>
      </c>
      <c r="R94" s="21">
        <v>39.197940535381036</v>
      </c>
      <c r="S94" s="21">
        <v>102.60758462297176</v>
      </c>
      <c r="T94" s="21">
        <v>17828121.475282621</v>
      </c>
      <c r="U94" s="22">
        <v>20.85217421661936</v>
      </c>
    </row>
    <row r="95" spans="1:21" x14ac:dyDescent="0.25">
      <c r="A95" s="95"/>
      <c r="B95" s="100"/>
      <c r="C95" s="19" t="s">
        <v>29</v>
      </c>
      <c r="D95" s="2">
        <v>29.19692067242633</v>
      </c>
      <c r="E95" s="2">
        <v>5.7744453463521381</v>
      </c>
      <c r="F95" s="2">
        <v>-37.841227404636236</v>
      </c>
      <c r="G95" s="2">
        <v>61.334989687505526</v>
      </c>
      <c r="H95" s="2">
        <v>9.9512441650547316</v>
      </c>
      <c r="I95" s="2">
        <v>39.363790168486787</v>
      </c>
      <c r="J95" s="2">
        <v>-21.832795830877814</v>
      </c>
      <c r="K95" s="2">
        <v>5.9409702184762665</v>
      </c>
      <c r="L95" s="2">
        <v>24.403653395978637</v>
      </c>
      <c r="M95" s="2">
        <v>-77.104352075549343</v>
      </c>
      <c r="N95" s="2">
        <v>-10.727823996531583</v>
      </c>
      <c r="O95" s="2">
        <v>70.04824185342423</v>
      </c>
      <c r="P95" s="2">
        <v>33.475668353553317</v>
      </c>
      <c r="Q95" s="2">
        <v>-7.9611990603898164</v>
      </c>
      <c r="R95" s="2">
        <v>-3.0341089016429237</v>
      </c>
      <c r="S95" s="2">
        <v>102.55949416789005</v>
      </c>
      <c r="T95" s="2">
        <v>356.32043966369088</v>
      </c>
      <c r="U95" s="23">
        <v>-0.75331363698538212</v>
      </c>
    </row>
    <row r="96" spans="1:21" x14ac:dyDescent="0.25">
      <c r="A96" s="95"/>
      <c r="B96" s="100"/>
      <c r="C96" s="19" t="s">
        <v>30</v>
      </c>
      <c r="D96" s="2">
        <v>41.09227717120163</v>
      </c>
      <c r="E96" s="2">
        <v>10.26355851951925</v>
      </c>
      <c r="F96" s="2">
        <v>6.9861177441334235</v>
      </c>
      <c r="G96" s="2">
        <v>98.141999337860852</v>
      </c>
      <c r="H96" s="2">
        <v>25.724341063105086</v>
      </c>
      <c r="I96" s="2">
        <v>22.517618058590074</v>
      </c>
      <c r="J96" s="2">
        <v>-24.184643060386037</v>
      </c>
      <c r="K96" s="2">
        <v>26.684675067698024</v>
      </c>
      <c r="L96" s="2">
        <v>24.975901512198334</v>
      </c>
      <c r="M96" s="2">
        <v>-63.883738900628394</v>
      </c>
      <c r="N96" s="2">
        <v>-13.320212343719263</v>
      </c>
      <c r="O96" s="2">
        <v>75.914716352026318</v>
      </c>
      <c r="P96" s="2">
        <v>15.671936414389776</v>
      </c>
      <c r="Q96" s="2">
        <v>-0.1436190087945306</v>
      </c>
      <c r="R96" s="2">
        <v>26.810338206662138</v>
      </c>
      <c r="S96" s="2">
        <v>119.45786433760551</v>
      </c>
      <c r="T96" s="2">
        <v>708.90071936856793</v>
      </c>
      <c r="U96" s="23">
        <v>12.038963732248817</v>
      </c>
    </row>
    <row r="97" spans="1:21" x14ac:dyDescent="0.25">
      <c r="A97" s="95"/>
      <c r="B97" s="101"/>
      <c r="C97" s="52" t="s">
        <v>31</v>
      </c>
      <c r="D97" s="20">
        <v>62.458579829087455</v>
      </c>
      <c r="E97" s="20">
        <v>38.812840043801771</v>
      </c>
      <c r="F97" s="20">
        <v>-12.852805697190888</v>
      </c>
      <c r="G97" s="20">
        <v>73.765641860435693</v>
      </c>
      <c r="H97" s="20">
        <v>28.647469302364783</v>
      </c>
      <c r="I97" s="20">
        <v>18.205440905207638</v>
      </c>
      <c r="J97" s="20">
        <v>-20.123542917245857</v>
      </c>
      <c r="K97" s="20">
        <v>49.334627827956467</v>
      </c>
      <c r="L97" s="20">
        <v>23.621270252550147</v>
      </c>
      <c r="M97" s="20">
        <v>12.545258872670757</v>
      </c>
      <c r="N97" s="20">
        <v>-3.1251368190823712</v>
      </c>
      <c r="O97" s="20">
        <v>-31.792245341694681</v>
      </c>
      <c r="P97" s="20">
        <v>3.5050723565440194</v>
      </c>
      <c r="Q97" s="20">
        <v>12.935075170246861</v>
      </c>
      <c r="R97" s="20">
        <v>22.611888012746689</v>
      </c>
      <c r="S97" s="20">
        <v>33.439562066500571</v>
      </c>
      <c r="T97" s="20">
        <v>7342.0988717155542</v>
      </c>
      <c r="U97" s="24">
        <v>8.9486172798594055</v>
      </c>
    </row>
    <row r="98" spans="1:21" x14ac:dyDescent="0.25">
      <c r="A98" s="95"/>
      <c r="B98" s="58"/>
      <c r="C98" s="59" t="s">
        <v>51</v>
      </c>
      <c r="D98" s="33">
        <v>48.627099874592346</v>
      </c>
      <c r="E98" s="33">
        <v>94.19587395639445</v>
      </c>
      <c r="F98" s="33">
        <v>64.621200030701345</v>
      </c>
      <c r="G98" s="33">
        <v>8.2101340889068553</v>
      </c>
      <c r="H98" s="33">
        <v>39.242819982505608</v>
      </c>
      <c r="I98" s="33">
        <v>27.965331831268031</v>
      </c>
      <c r="J98" s="33">
        <v>6.6666667122773191</v>
      </c>
      <c r="K98" s="33">
        <v>42.98305453067556</v>
      </c>
      <c r="L98" s="33">
        <v>-5.4625408614957678</v>
      </c>
      <c r="M98" s="33">
        <v>50.726800355204233</v>
      </c>
      <c r="N98" s="33">
        <v>1.3516980585987852</v>
      </c>
      <c r="O98" s="33">
        <v>1.0195583013833414</v>
      </c>
      <c r="P98" s="33">
        <v>19.917251891793057</v>
      </c>
      <c r="Q98" s="33">
        <v>15.005161302901541</v>
      </c>
      <c r="R98" s="33">
        <v>35.47362317869198</v>
      </c>
      <c r="S98" s="33">
        <v>24.773400070073336</v>
      </c>
      <c r="T98" s="33">
        <v>123.17209009816219</v>
      </c>
      <c r="U98" s="33">
        <v>37.078318942337916</v>
      </c>
    </row>
    <row r="99" spans="1:21" x14ac:dyDescent="0.25">
      <c r="A99" s="95"/>
      <c r="B99" s="99">
        <v>2021</v>
      </c>
      <c r="C99" s="61" t="s">
        <v>28</v>
      </c>
      <c r="D99" s="21">
        <v>24.836973344684537</v>
      </c>
      <c r="E99" s="21">
        <v>73.915541424240672</v>
      </c>
      <c r="F99" s="21">
        <v>30.959279548775868</v>
      </c>
      <c r="G99" s="21">
        <v>41.508613084598039</v>
      </c>
      <c r="H99" s="21">
        <v>26.719408144910346</v>
      </c>
      <c r="I99" s="21">
        <v>25.133032028683601</v>
      </c>
      <c r="J99" s="21">
        <v>-11.185243291257905</v>
      </c>
      <c r="K99" s="21">
        <v>20.383363001441197</v>
      </c>
      <c r="L99" s="21">
        <v>24.984040506482614</v>
      </c>
      <c r="M99" s="21">
        <v>10.324302432572452</v>
      </c>
      <c r="N99" s="21">
        <v>-2.9124304775813101</v>
      </c>
      <c r="O99" s="21">
        <v>23.947755504262716</v>
      </c>
      <c r="P99" s="21">
        <v>18.43149643801803</v>
      </c>
      <c r="Q99" s="21">
        <v>10.7193279991113</v>
      </c>
      <c r="R99" s="21">
        <v>18.369722626165569</v>
      </c>
      <c r="S99" s="21">
        <v>24.706108187433287</v>
      </c>
      <c r="T99" s="21">
        <v>32.040011913919727</v>
      </c>
      <c r="U99" s="22">
        <v>21.355028736386899</v>
      </c>
    </row>
    <row r="100" spans="1:21" x14ac:dyDescent="0.25">
      <c r="A100" s="95"/>
      <c r="B100" s="100"/>
      <c r="C100" s="19" t="s">
        <v>29</v>
      </c>
      <c r="D100" s="2">
        <v>55.682688261132967</v>
      </c>
      <c r="E100" s="2">
        <v>121.86812235193457</v>
      </c>
      <c r="F100" s="2">
        <v>149.12444768494589</v>
      </c>
      <c r="G100" s="2">
        <v>-5.7627544724498421</v>
      </c>
      <c r="H100" s="2">
        <v>37.367116369506846</v>
      </c>
      <c r="I100" s="2">
        <v>28.455666526520844</v>
      </c>
      <c r="J100" s="2">
        <v>-23.334575869613161</v>
      </c>
      <c r="K100" s="2">
        <v>36.944501459186341</v>
      </c>
      <c r="L100" s="2">
        <v>10.080292687580481</v>
      </c>
      <c r="M100" s="2">
        <v>88.175246463580834</v>
      </c>
      <c r="N100" s="2">
        <v>7.1401334719392224</v>
      </c>
      <c r="O100" s="2">
        <v>1.0005031764247434</v>
      </c>
      <c r="P100" s="2">
        <v>24.166828243727423</v>
      </c>
      <c r="Q100" s="2">
        <v>13.442123383316613</v>
      </c>
      <c r="R100" s="2">
        <v>72.016523403870934</v>
      </c>
      <c r="S100" s="2">
        <v>40.568627121990573</v>
      </c>
      <c r="T100" s="2">
        <v>311.46013757618675</v>
      </c>
      <c r="U100" s="23">
        <v>51.149554275147523</v>
      </c>
    </row>
    <row r="101" spans="1:21" x14ac:dyDescent="0.25">
      <c r="A101" s="95"/>
      <c r="B101" s="100"/>
      <c r="C101" s="19" t="s">
        <v>30</v>
      </c>
      <c r="D101" s="2">
        <v>53.071421403937393</v>
      </c>
      <c r="E101" s="2">
        <v>134.10283800444915</v>
      </c>
      <c r="F101" s="2">
        <v>61.232809149695129</v>
      </c>
      <c r="G101" s="2">
        <v>-18.451816038477787</v>
      </c>
      <c r="H101" s="2">
        <v>51.057019321034744</v>
      </c>
      <c r="I101" s="2">
        <v>29.281603548897039</v>
      </c>
      <c r="J101" s="2">
        <v>2.3415066336995238</v>
      </c>
      <c r="K101" s="2">
        <v>54.118408405430131</v>
      </c>
      <c r="L101" s="2">
        <v>-40.137772989319757</v>
      </c>
      <c r="M101" s="2">
        <v>97.597254341409609</v>
      </c>
      <c r="N101" s="2">
        <v>6.5755329237975815</v>
      </c>
      <c r="O101" s="2">
        <v>-10.860901814625663</v>
      </c>
      <c r="P101" s="2">
        <v>7.8875180087243564</v>
      </c>
      <c r="Q101" s="2">
        <v>15.586232805164784</v>
      </c>
      <c r="R101" s="2">
        <v>24.25254471003943</v>
      </c>
      <c r="S101" s="2">
        <v>21.22499614820552</v>
      </c>
      <c r="T101" s="2">
        <v>143.44844408786756</v>
      </c>
      <c r="U101" s="23">
        <v>35.949997537564229</v>
      </c>
    </row>
    <row r="102" spans="1:21" x14ac:dyDescent="0.25">
      <c r="A102" s="95"/>
      <c r="B102" s="101"/>
      <c r="C102" s="52" t="s">
        <v>31</v>
      </c>
      <c r="D102" s="20">
        <v>67.399769288440808</v>
      </c>
      <c r="E102" s="20">
        <v>74.669342720586428</v>
      </c>
      <c r="F102" s="20">
        <v>52.163149672112809</v>
      </c>
      <c r="G102" s="20">
        <v>13.932022647781821</v>
      </c>
      <c r="H102" s="20">
        <v>40.391724920340693</v>
      </c>
      <c r="I102" s="20">
        <v>28.980962296881472</v>
      </c>
      <c r="J102" s="20">
        <v>35.407947662560929</v>
      </c>
      <c r="K102" s="20">
        <v>54.25829294776625</v>
      </c>
      <c r="L102" s="20">
        <v>-17.028613767905512</v>
      </c>
      <c r="M102" s="20">
        <v>62.042684392767939</v>
      </c>
      <c r="N102" s="20">
        <v>-6.0626395616554589</v>
      </c>
      <c r="O102" s="20">
        <v>-5.8232750586231816</v>
      </c>
      <c r="P102" s="20">
        <v>29.540329730384286</v>
      </c>
      <c r="Q102" s="20">
        <v>19.754636415320064</v>
      </c>
      <c r="R102" s="20">
        <v>37.812850245433339</v>
      </c>
      <c r="S102" s="20">
        <v>15.34741606061192</v>
      </c>
      <c r="T102" s="20">
        <v>118.99663905311374</v>
      </c>
      <c r="U102" s="24">
        <v>41.272235115753773</v>
      </c>
    </row>
    <row r="103" spans="1:21" x14ac:dyDescent="0.25">
      <c r="A103" s="95"/>
      <c r="B103" s="58"/>
      <c r="C103" s="59" t="s">
        <v>51</v>
      </c>
      <c r="D103" s="33">
        <v>41.608858531888984</v>
      </c>
      <c r="E103" s="33">
        <v>37.506872542645397</v>
      </c>
      <c r="F103" s="33">
        <v>5.8562240318095888</v>
      </c>
      <c r="G103" s="33">
        <v>14.992775456914913</v>
      </c>
      <c r="H103" s="33">
        <v>32.587222761855486</v>
      </c>
      <c r="I103" s="33">
        <v>29.166923512057309</v>
      </c>
      <c r="J103" s="33">
        <v>14.925102946026698</v>
      </c>
      <c r="K103" s="33">
        <v>23.95097497688397</v>
      </c>
      <c r="L103" s="33">
        <v>27.550733259081326</v>
      </c>
      <c r="M103" s="33">
        <v>43.678907240625051</v>
      </c>
      <c r="N103" s="33">
        <v>-4.7447711026973849</v>
      </c>
      <c r="O103" s="33">
        <v>13.748205715748512</v>
      </c>
      <c r="P103" s="33">
        <v>32.651011037822371</v>
      </c>
      <c r="Q103" s="33">
        <v>26.120009808805847</v>
      </c>
      <c r="R103" s="33">
        <v>23.863112512341459</v>
      </c>
      <c r="S103" s="33">
        <v>13.932108187331792</v>
      </c>
      <c r="T103" s="33">
        <v>59.058597846922822</v>
      </c>
      <c r="U103" s="33">
        <v>22.268016780458467</v>
      </c>
    </row>
    <row r="104" spans="1:21" x14ac:dyDescent="0.25">
      <c r="A104" s="95"/>
      <c r="B104" s="99">
        <v>2022</v>
      </c>
      <c r="C104" s="61" t="s">
        <v>28</v>
      </c>
      <c r="D104" s="21">
        <v>34.335445748344029</v>
      </c>
      <c r="E104" s="21">
        <v>41.169878209043986</v>
      </c>
      <c r="F104" s="21">
        <v>34.03772583437501</v>
      </c>
      <c r="G104" s="21">
        <v>13.218932917559385</v>
      </c>
      <c r="H104" s="21">
        <v>47.284657824774484</v>
      </c>
      <c r="I104" s="21">
        <v>25.552865840226289</v>
      </c>
      <c r="J104" s="21">
        <v>11.977048943060041</v>
      </c>
      <c r="K104" s="21">
        <v>38.870093287527112</v>
      </c>
      <c r="L104" s="21">
        <v>30.475030636086728</v>
      </c>
      <c r="M104" s="21">
        <v>48.60073676531087</v>
      </c>
      <c r="N104" s="21">
        <v>-3.8215230659002799</v>
      </c>
      <c r="O104" s="21">
        <v>-3.3783755300170526</v>
      </c>
      <c r="P104" s="21">
        <v>20.791888671691083</v>
      </c>
      <c r="Q104" s="21">
        <v>25.105269145705591</v>
      </c>
      <c r="R104" s="21">
        <v>11.572763499601251</v>
      </c>
      <c r="S104" s="21">
        <v>5.6909422091091528</v>
      </c>
      <c r="T104" s="21">
        <v>79.973911929799868</v>
      </c>
      <c r="U104" s="22">
        <v>28.482482922915835</v>
      </c>
    </row>
    <row r="105" spans="1:21" x14ac:dyDescent="0.25">
      <c r="A105" s="95"/>
      <c r="B105" s="100"/>
      <c r="C105" s="19" t="s">
        <v>29</v>
      </c>
      <c r="D105" s="2">
        <v>73.973167435667676</v>
      </c>
      <c r="E105" s="2">
        <v>43.659954042020928</v>
      </c>
      <c r="F105" s="2">
        <v>10.878033302574281</v>
      </c>
      <c r="G105" s="2">
        <v>74.990411207105183</v>
      </c>
      <c r="H105" s="2">
        <v>39.004296354916477</v>
      </c>
      <c r="I105" s="2">
        <v>26.411556691696148</v>
      </c>
      <c r="J105" s="2">
        <v>24.33175851458455</v>
      </c>
      <c r="K105" s="2">
        <v>55.731136331510669</v>
      </c>
      <c r="L105" s="2">
        <v>25.218756181757513</v>
      </c>
      <c r="M105" s="2">
        <v>48.716055538773588</v>
      </c>
      <c r="N105" s="2">
        <v>-5.219877230997767</v>
      </c>
      <c r="O105" s="2">
        <v>7.9825612975177478</v>
      </c>
      <c r="P105" s="2">
        <v>23.848589469947186</v>
      </c>
      <c r="Q105" s="2">
        <v>29.648304278746593</v>
      </c>
      <c r="R105" s="2">
        <v>24.753300607301782</v>
      </c>
      <c r="S105" s="2">
        <v>-3.4288110671454319E-2</v>
      </c>
      <c r="T105" s="2">
        <v>85.214302634161697</v>
      </c>
      <c r="U105" s="23">
        <v>36.445917997321942</v>
      </c>
    </row>
    <row r="106" spans="1:21" x14ac:dyDescent="0.25">
      <c r="A106" s="95"/>
      <c r="B106" s="100"/>
      <c r="C106" s="19" t="s">
        <v>30</v>
      </c>
      <c r="D106" s="2">
        <v>13.349946721042485</v>
      </c>
      <c r="E106" s="2">
        <v>24.074437390093607</v>
      </c>
      <c r="F106" s="2">
        <v>-2.7052144210934728</v>
      </c>
      <c r="G106" s="2">
        <v>-5.3521781746967463</v>
      </c>
      <c r="H106" s="2">
        <v>27.782353550098719</v>
      </c>
      <c r="I106" s="2">
        <v>29.563252139327517</v>
      </c>
      <c r="J106" s="2">
        <v>4.0788804911567667</v>
      </c>
      <c r="K106" s="2">
        <v>10.110293519498995</v>
      </c>
      <c r="L106" s="2">
        <v>30.230029699061816</v>
      </c>
      <c r="M106" s="2">
        <v>37.287921036548056</v>
      </c>
      <c r="N106" s="2">
        <v>-4.0063134082410841</v>
      </c>
      <c r="O106" s="2">
        <v>38.334955023127606</v>
      </c>
      <c r="P106" s="2">
        <v>53.539339036303545</v>
      </c>
      <c r="Q106" s="2">
        <v>27.93417430662619</v>
      </c>
      <c r="R106" s="2">
        <v>29.29105971784594</v>
      </c>
      <c r="S106" s="2">
        <v>8.2967005004971526</v>
      </c>
      <c r="T106" s="2">
        <v>56.655626046996133</v>
      </c>
      <c r="U106" s="23">
        <v>13.498840167303669</v>
      </c>
    </row>
    <row r="107" spans="1:21" x14ac:dyDescent="0.25">
      <c r="A107" s="95"/>
      <c r="B107" s="101"/>
      <c r="C107" s="52" t="s">
        <v>31</v>
      </c>
      <c r="D107" s="20">
        <v>17.63512284595339</v>
      </c>
      <c r="E107" s="20">
        <v>39.845582060247267</v>
      </c>
      <c r="F107" s="20">
        <v>-13.99246141637326</v>
      </c>
      <c r="G107" s="20">
        <v>-3.8076638740114959</v>
      </c>
      <c r="H107" s="20">
        <v>23.630699674123349</v>
      </c>
      <c r="I107" s="20">
        <v>34.399511741077674</v>
      </c>
      <c r="J107" s="20">
        <v>21.129401290596306</v>
      </c>
      <c r="K107" s="20">
        <v>8.7449721510278806</v>
      </c>
      <c r="L107" s="20">
        <v>27.465869790320326</v>
      </c>
      <c r="M107" s="20">
        <v>42.387693234460812</v>
      </c>
      <c r="N107" s="20">
        <v>-6.0728800228904873</v>
      </c>
      <c r="O107" s="20">
        <v>15.628956904508854</v>
      </c>
      <c r="P107" s="20">
        <v>31.182159022012598</v>
      </c>
      <c r="Q107" s="20">
        <v>22.898056901774467</v>
      </c>
      <c r="R107" s="20">
        <v>28.847509024234398</v>
      </c>
      <c r="S107" s="20">
        <v>40.241641608605505</v>
      </c>
      <c r="T107" s="20">
        <v>26.164440629222767</v>
      </c>
      <c r="U107" s="24">
        <v>13.38060096829004</v>
      </c>
    </row>
    <row r="108" spans="1:21" x14ac:dyDescent="0.25">
      <c r="A108" s="95"/>
      <c r="B108" s="58"/>
      <c r="C108" s="59" t="s">
        <v>51</v>
      </c>
      <c r="D108" s="33">
        <v>30.688789972914094</v>
      </c>
      <c r="E108" s="33">
        <v>25.501667718700887</v>
      </c>
      <c r="F108" s="33">
        <v>19.057995682857026</v>
      </c>
      <c r="G108" s="33">
        <v>28.436517541099647</v>
      </c>
      <c r="H108" s="33">
        <v>33.226075806757166</v>
      </c>
      <c r="I108" s="33">
        <v>30.607962649667684</v>
      </c>
      <c r="J108" s="33">
        <v>4.2578546047132875</v>
      </c>
      <c r="K108" s="33">
        <v>16.664270951106801</v>
      </c>
      <c r="L108" s="33">
        <v>11.493262848072419</v>
      </c>
      <c r="M108" s="33">
        <v>3.1239073259397401</v>
      </c>
      <c r="N108" s="33">
        <v>10.584555282841393</v>
      </c>
      <c r="O108" s="33">
        <v>8.1169204044394547</v>
      </c>
      <c r="P108" s="33">
        <v>33.362473847816943</v>
      </c>
      <c r="Q108" s="33">
        <v>9.7493069269593633</v>
      </c>
      <c r="R108" s="33">
        <v>17.875626287611752</v>
      </c>
      <c r="S108" s="33">
        <v>5.4126155604359241</v>
      </c>
      <c r="T108" s="33">
        <v>16.63587777641078</v>
      </c>
      <c r="U108" s="33">
        <v>20.909387876101462</v>
      </c>
    </row>
    <row r="109" spans="1:21" x14ac:dyDescent="0.25">
      <c r="A109" s="95"/>
      <c r="B109" s="99">
        <v>2023</v>
      </c>
      <c r="C109" s="61" t="s">
        <v>28</v>
      </c>
      <c r="D109" s="21">
        <v>25.361424565975128</v>
      </c>
      <c r="E109" s="21">
        <v>28.685122545691002</v>
      </c>
      <c r="F109" s="21">
        <v>-28.115666084648041</v>
      </c>
      <c r="G109" s="21">
        <v>-33.23384939528566</v>
      </c>
      <c r="H109" s="21">
        <v>29.120201192055418</v>
      </c>
      <c r="I109" s="21">
        <v>33.376506836243806</v>
      </c>
      <c r="J109" s="21">
        <v>7.3710836117314216E-2</v>
      </c>
      <c r="K109" s="21">
        <v>13.664479881423077</v>
      </c>
      <c r="L109" s="21">
        <v>10.402679535631648</v>
      </c>
      <c r="M109" s="21">
        <v>22.261925711036</v>
      </c>
      <c r="N109" s="21">
        <v>13.056947515532968</v>
      </c>
      <c r="O109" s="21">
        <v>-0.40266966810197857</v>
      </c>
      <c r="P109" s="21">
        <v>38.822449626402516</v>
      </c>
      <c r="Q109" s="21">
        <v>14.409091007481649</v>
      </c>
      <c r="R109" s="21">
        <v>24.659645013807975</v>
      </c>
      <c r="S109" s="21">
        <v>4.4749485963172475</v>
      </c>
      <c r="T109" s="21">
        <v>17.577399657467936</v>
      </c>
      <c r="U109" s="22">
        <v>7.7297441406984291</v>
      </c>
    </row>
    <row r="110" spans="1:21" x14ac:dyDescent="0.25">
      <c r="A110" s="95"/>
      <c r="B110" s="100"/>
      <c r="C110" s="19" t="s">
        <v>29</v>
      </c>
      <c r="D110" s="2">
        <v>30.120426797659263</v>
      </c>
      <c r="E110" s="2">
        <v>25.858911598843463</v>
      </c>
      <c r="F110" s="2">
        <v>-8.6372555976982284</v>
      </c>
      <c r="G110" s="2">
        <v>-17.968921337992285</v>
      </c>
      <c r="H110" s="2">
        <v>39.398351006654195</v>
      </c>
      <c r="I110" s="2">
        <v>30.209832739636994</v>
      </c>
      <c r="J110" s="2">
        <v>57.563277495097765</v>
      </c>
      <c r="K110" s="2">
        <v>12.648306448566956</v>
      </c>
      <c r="L110" s="2">
        <v>-1.1203134956150507</v>
      </c>
      <c r="M110" s="2">
        <v>-0.91914800213886849</v>
      </c>
      <c r="N110" s="2">
        <v>7.1066049558877751</v>
      </c>
      <c r="O110" s="2">
        <v>5.5876142106155129</v>
      </c>
      <c r="P110" s="2">
        <v>41.905681753791072</v>
      </c>
      <c r="Q110" s="2">
        <v>8.1239074297269127</v>
      </c>
      <c r="R110" s="2">
        <v>29.740721970947135</v>
      </c>
      <c r="S110" s="2">
        <v>8.6477033398423089</v>
      </c>
      <c r="T110" s="2">
        <v>-56.168764045060001</v>
      </c>
      <c r="U110" s="23">
        <v>20.854097847784871</v>
      </c>
    </row>
    <row r="111" spans="1:21" x14ac:dyDescent="0.25">
      <c r="A111" s="95"/>
      <c r="B111" s="100"/>
      <c r="C111" s="19" t="s">
        <v>30</v>
      </c>
      <c r="D111" s="2">
        <v>30.430196230283769</v>
      </c>
      <c r="E111" s="2">
        <v>34.635849480496546</v>
      </c>
      <c r="F111" s="2">
        <v>59.597215286292879</v>
      </c>
      <c r="G111" s="2">
        <v>208.20116193914311</v>
      </c>
      <c r="H111" s="2">
        <v>32.88350356293958</v>
      </c>
      <c r="I111" s="2">
        <v>30.281997032194738</v>
      </c>
      <c r="J111" s="2">
        <v>33.959870652278681</v>
      </c>
      <c r="K111" s="2">
        <v>16.461788297563544</v>
      </c>
      <c r="L111" s="2">
        <v>19.488844225356374</v>
      </c>
      <c r="M111" s="2">
        <v>1.0206759901163025</v>
      </c>
      <c r="N111" s="2">
        <v>6.070267581975088</v>
      </c>
      <c r="O111" s="2">
        <v>24.745080996713668</v>
      </c>
      <c r="P111" s="2">
        <v>24.810609727238415</v>
      </c>
      <c r="Q111" s="2">
        <v>6.9842555678814762</v>
      </c>
      <c r="R111" s="2">
        <v>14.351436175727159</v>
      </c>
      <c r="S111" s="2">
        <v>19.49841628859545</v>
      </c>
      <c r="T111" s="2">
        <v>18.83379568169363</v>
      </c>
      <c r="U111" s="23">
        <v>32.348475057098796</v>
      </c>
    </row>
    <row r="112" spans="1:21" x14ac:dyDescent="0.25">
      <c r="A112" s="95"/>
      <c r="B112" s="101"/>
      <c r="C112" s="52" t="s">
        <v>31</v>
      </c>
      <c r="D112" s="20">
        <v>40.739576726537564</v>
      </c>
      <c r="E112" s="20">
        <v>16.825997769604982</v>
      </c>
      <c r="F112" s="20">
        <v>68.644741549623319</v>
      </c>
      <c r="G112" s="20">
        <v>36.877478030787273</v>
      </c>
      <c r="H112" s="20">
        <v>32.511007607536897</v>
      </c>
      <c r="I112" s="20">
        <v>28.944683341103001</v>
      </c>
      <c r="J112" s="20">
        <v>-22.918327180295577</v>
      </c>
      <c r="K112" s="20">
        <v>22.213449067431682</v>
      </c>
      <c r="L112" s="20">
        <v>31.050632412220409</v>
      </c>
      <c r="M112" s="20">
        <v>-6.8572224336741527</v>
      </c>
      <c r="N112" s="20">
        <v>17.829908809329751</v>
      </c>
      <c r="O112" s="20">
        <v>0.72202154354515358</v>
      </c>
      <c r="P112" s="20">
        <v>31.545445460238398</v>
      </c>
      <c r="Q112" s="20">
        <v>9.2896188036149852</v>
      </c>
      <c r="R112" s="20">
        <v>5.8516016743967754</v>
      </c>
      <c r="S112" s="20">
        <v>-6.8135229263638593</v>
      </c>
      <c r="T112" s="20">
        <v>102.40409039645479</v>
      </c>
      <c r="U112" s="24">
        <v>22.520885473819121</v>
      </c>
    </row>
    <row r="113" spans="1:21" x14ac:dyDescent="0.25">
      <c r="A113" s="95"/>
      <c r="B113" s="58"/>
      <c r="C113" s="59" t="s">
        <v>51</v>
      </c>
      <c r="D113" s="33">
        <v>39.569112037279183</v>
      </c>
      <c r="E113" s="33">
        <v>28.03982847905786</v>
      </c>
      <c r="F113" s="33">
        <v>26.117348397957031</v>
      </c>
      <c r="G113" s="33">
        <v>142.20504547319985</v>
      </c>
      <c r="H113" s="33">
        <v>19.256044807985418</v>
      </c>
      <c r="I113" s="33">
        <v>27.413025435111194</v>
      </c>
      <c r="J113" s="33">
        <v>15.422959620889799</v>
      </c>
      <c r="K113" s="33">
        <v>35.377568990705754</v>
      </c>
      <c r="L113" s="33">
        <v>40.639666297097619</v>
      </c>
      <c r="M113" s="33">
        <v>31.583264315004413</v>
      </c>
      <c r="N113" s="33">
        <v>23.958888324142038</v>
      </c>
      <c r="O113" s="33">
        <v>47.070062579155831</v>
      </c>
      <c r="P113" s="33">
        <v>44.592487904925861</v>
      </c>
      <c r="Q113" s="33">
        <v>27.503315997411988</v>
      </c>
      <c r="R113" s="33">
        <v>36.986191199329483</v>
      </c>
      <c r="S113" s="33">
        <v>19.451017225347883</v>
      </c>
      <c r="T113" s="33">
        <v>14.862813165463962</v>
      </c>
      <c r="U113" s="33">
        <v>34.208084442390145</v>
      </c>
    </row>
    <row r="114" spans="1:21" x14ac:dyDescent="0.25">
      <c r="A114" s="95"/>
      <c r="B114" s="99">
        <v>2024</v>
      </c>
      <c r="C114" s="61" t="s">
        <v>28</v>
      </c>
      <c r="D114" s="21">
        <v>38.581874125027525</v>
      </c>
      <c r="E114" s="21">
        <v>11.269808853860113</v>
      </c>
      <c r="F114" s="21">
        <v>80.264967986681654</v>
      </c>
      <c r="G114" s="21">
        <v>93.021585595247473</v>
      </c>
      <c r="H114" s="21">
        <v>21.312103899328775</v>
      </c>
      <c r="I114" s="21">
        <v>32.385777832342171</v>
      </c>
      <c r="J114" s="21">
        <v>12.196031006034588</v>
      </c>
      <c r="K114" s="21">
        <v>32.981508582308834</v>
      </c>
      <c r="L114" s="21">
        <v>31.49861653592373</v>
      </c>
      <c r="M114" s="21">
        <v>38.875097778293622</v>
      </c>
      <c r="N114" s="21">
        <v>-1.7985760217470528</v>
      </c>
      <c r="O114" s="21">
        <v>72.591708801715583</v>
      </c>
      <c r="P114" s="21">
        <v>45.755210218274129</v>
      </c>
      <c r="Q114" s="21">
        <v>18.021721379083999</v>
      </c>
      <c r="R114" s="21">
        <v>18.678793434961662</v>
      </c>
      <c r="S114" s="21">
        <v>27.338634101788188</v>
      </c>
      <c r="T114" s="21">
        <v>44.977815806538899</v>
      </c>
      <c r="U114" s="22">
        <v>39.799344549474597</v>
      </c>
    </row>
    <row r="115" spans="1:21" x14ac:dyDescent="0.25">
      <c r="A115" s="95"/>
      <c r="B115" s="100"/>
      <c r="C115" s="19" t="s">
        <v>29</v>
      </c>
      <c r="D115" s="2">
        <v>40.444624752977262</v>
      </c>
      <c r="E115" s="2">
        <v>25.806632445308793</v>
      </c>
      <c r="F115" s="2">
        <v>61.225702733417393</v>
      </c>
      <c r="G115" s="2">
        <v>173.99704119652813</v>
      </c>
      <c r="H115" s="2">
        <v>20.183925115197155</v>
      </c>
      <c r="I115" s="2">
        <v>35.286887305294755</v>
      </c>
      <c r="J115" s="2">
        <v>20.71795637581863</v>
      </c>
      <c r="K115" s="2">
        <v>42.023705191635884</v>
      </c>
      <c r="L115" s="2">
        <v>44.599601348623679</v>
      </c>
      <c r="M115" s="2">
        <v>37.618050177358896</v>
      </c>
      <c r="N115" s="2">
        <v>25.420343315758714</v>
      </c>
      <c r="O115" s="2">
        <v>55.700216892542585</v>
      </c>
      <c r="P115" s="2">
        <v>48.027729324944261</v>
      </c>
      <c r="Q115" s="2">
        <v>29.364012423503397</v>
      </c>
      <c r="R115" s="2">
        <v>42.46717997635642</v>
      </c>
      <c r="S115" s="2">
        <v>23.014103455782518</v>
      </c>
      <c r="T115" s="2">
        <v>135.84911205300867</v>
      </c>
      <c r="U115" s="23">
        <v>41.920932782417992</v>
      </c>
    </row>
    <row r="116" spans="1:21" x14ac:dyDescent="0.25">
      <c r="A116" s="95"/>
      <c r="B116" s="100"/>
      <c r="C116" s="19" t="s">
        <v>30</v>
      </c>
      <c r="D116" s="2">
        <v>39.685324287139309</v>
      </c>
      <c r="E116" s="2">
        <v>42.727767219196039</v>
      </c>
      <c r="F116" s="2">
        <v>2.4769575120878784</v>
      </c>
      <c r="G116" s="2">
        <v>47.719761735827092</v>
      </c>
      <c r="H116" s="2">
        <v>19.384311965016892</v>
      </c>
      <c r="I116" s="2">
        <v>23.434152025495663</v>
      </c>
      <c r="J116" s="2">
        <v>15.75102574844756</v>
      </c>
      <c r="K116" s="2">
        <v>37.645987774920485</v>
      </c>
      <c r="L116" s="2">
        <v>35.946328017339567</v>
      </c>
      <c r="M116" s="2">
        <v>32.864075605007031</v>
      </c>
      <c r="N116" s="2">
        <v>26.13088864487807</v>
      </c>
      <c r="O116" s="2">
        <v>14.036253117065996</v>
      </c>
      <c r="P116" s="2">
        <v>46.543653844510146</v>
      </c>
      <c r="Q116" s="2">
        <v>30.209137170277302</v>
      </c>
      <c r="R116" s="2">
        <v>37.683111004205387</v>
      </c>
      <c r="S116" s="2">
        <v>18.626407027315068</v>
      </c>
      <c r="T116" s="2">
        <v>-0.92813664458482492</v>
      </c>
      <c r="U116" s="23">
        <v>26.972223974763338</v>
      </c>
    </row>
    <row r="117" spans="1:21" x14ac:dyDescent="0.25">
      <c r="A117" s="95"/>
      <c r="B117" s="101"/>
      <c r="C117" s="52" t="s">
        <v>31</v>
      </c>
      <c r="D117" s="20">
        <v>38.150658399909531</v>
      </c>
      <c r="E117" s="20">
        <v>34.340753080492078</v>
      </c>
      <c r="F117" s="20">
        <v>-1.9075466743959169</v>
      </c>
      <c r="G117" s="20">
        <v>289.61887443277726</v>
      </c>
      <c r="H117" s="20">
        <v>17.070216367216091</v>
      </c>
      <c r="I117" s="20">
        <v>19.91107249737945</v>
      </c>
      <c r="J117" s="20">
        <v>14.382066809156896</v>
      </c>
      <c r="K117" s="20">
        <v>30.321804937125052</v>
      </c>
      <c r="L117" s="20">
        <v>45.458414620580129</v>
      </c>
      <c r="M117" s="20">
        <v>23.60406337492644</v>
      </c>
      <c r="N117" s="20">
        <v>46.594218537534061</v>
      </c>
      <c r="O117" s="20">
        <v>59.199755111933683</v>
      </c>
      <c r="P117" s="20">
        <v>39.233519734090834</v>
      </c>
      <c r="Q117" s="20">
        <v>32.595032456168951</v>
      </c>
      <c r="R117" s="20">
        <v>46.633578001143036</v>
      </c>
      <c r="S117" s="20">
        <v>11.596961357430359</v>
      </c>
      <c r="T117" s="20">
        <v>-22.600417754888554</v>
      </c>
      <c r="U117" s="24">
        <v>29.142069753366371</v>
      </c>
    </row>
    <row r="118" spans="1:21" x14ac:dyDescent="0.25">
      <c r="A118" s="95"/>
      <c r="B118" s="58"/>
      <c r="C118" s="59" t="s">
        <v>51</v>
      </c>
      <c r="D118" s="33">
        <v>46.477703880276977</v>
      </c>
      <c r="E118" s="33">
        <v>36.964515541191702</v>
      </c>
      <c r="F118" s="33">
        <v>-9.879387397187358</v>
      </c>
      <c r="G118" s="33">
        <v>-18.147671226651312</v>
      </c>
      <c r="H118" s="33">
        <v>28.360995473080692</v>
      </c>
      <c r="I118" s="33">
        <v>7.2664298119379396</v>
      </c>
      <c r="J118" s="33">
        <v>6.1054295716186431</v>
      </c>
      <c r="K118" s="33">
        <v>28.013120488504256</v>
      </c>
      <c r="L118" s="33">
        <v>30.189169472154191</v>
      </c>
      <c r="M118" s="33">
        <v>39.580798376238675</v>
      </c>
      <c r="N118" s="33">
        <v>54.984485380778636</v>
      </c>
      <c r="O118" s="33">
        <v>37.775401049995509</v>
      </c>
      <c r="P118" s="33">
        <v>29.526733885548396</v>
      </c>
      <c r="Q118" s="33">
        <v>1.9404321273877088</v>
      </c>
      <c r="R118" s="33">
        <v>30.934648869035215</v>
      </c>
      <c r="S118" s="33">
        <v>14.425836543680063</v>
      </c>
      <c r="T118" s="33">
        <v>-19.070779659895337</v>
      </c>
      <c r="U118" s="33">
        <v>23.354177469333507</v>
      </c>
    </row>
    <row r="119" spans="1:21" x14ac:dyDescent="0.25">
      <c r="A119" s="95"/>
      <c r="B119" s="99">
        <v>2025</v>
      </c>
      <c r="C119" s="61" t="s">
        <v>28</v>
      </c>
      <c r="D119" s="21">
        <v>52.854407118041621</v>
      </c>
      <c r="E119" s="21">
        <v>37.37351206650942</v>
      </c>
      <c r="F119" s="21">
        <v>-0.22183258205318168</v>
      </c>
      <c r="G119" s="21">
        <v>8.0351422527793659</v>
      </c>
      <c r="H119" s="21">
        <v>21.743868709276157</v>
      </c>
      <c r="I119" s="21">
        <v>10.492478719497257</v>
      </c>
      <c r="J119" s="21">
        <v>17.175488301821474</v>
      </c>
      <c r="K119" s="21">
        <v>34.950553430436969</v>
      </c>
      <c r="L119" s="21">
        <v>24.977762393177187</v>
      </c>
      <c r="M119" s="21">
        <v>18.518681266591244</v>
      </c>
      <c r="N119" s="21">
        <v>53.955170557449776</v>
      </c>
      <c r="O119" s="21">
        <v>33.097338296040164</v>
      </c>
      <c r="P119" s="21">
        <v>42.749588046007801</v>
      </c>
      <c r="Q119" s="21">
        <v>22.450006376913009</v>
      </c>
      <c r="R119" s="21">
        <v>34.203007240644126</v>
      </c>
      <c r="S119" s="21">
        <v>28.172314823652641</v>
      </c>
      <c r="T119" s="21">
        <v>-10.407887803339392</v>
      </c>
      <c r="U119" s="22">
        <v>29.329119574249205</v>
      </c>
    </row>
    <row r="120" spans="1:21" x14ac:dyDescent="0.25">
      <c r="A120" s="95"/>
      <c r="B120" s="100"/>
      <c r="C120" s="19" t="s">
        <v>29</v>
      </c>
      <c r="D120" s="2">
        <v>51.710018505203237</v>
      </c>
      <c r="E120" s="2">
        <v>37.411537636886862</v>
      </c>
      <c r="F120" s="2">
        <v>-14.805499992555028</v>
      </c>
      <c r="G120" s="2">
        <v>0.39150026696816553</v>
      </c>
      <c r="H120" s="2">
        <v>26.422482764003092</v>
      </c>
      <c r="I120" s="2">
        <v>7.6613282505861662</v>
      </c>
      <c r="J120" s="2">
        <v>-3.0676472119614573</v>
      </c>
      <c r="K120" s="2">
        <v>28.071898965814597</v>
      </c>
      <c r="L120" s="2">
        <v>33.745463545743007</v>
      </c>
      <c r="M120" s="2">
        <v>18.322993187901631</v>
      </c>
      <c r="N120" s="2">
        <v>67.77032926075367</v>
      </c>
      <c r="O120" s="2">
        <v>39.456839141969255</v>
      </c>
      <c r="P120" s="2">
        <v>31.566681240667293</v>
      </c>
      <c r="Q120" s="2">
        <v>10.19385611091765</v>
      </c>
      <c r="R120" s="2">
        <v>31.366943065137519</v>
      </c>
      <c r="S120" s="2">
        <v>0.55161246987611889</v>
      </c>
      <c r="T120" s="2">
        <v>-21.214459812194249</v>
      </c>
      <c r="U120" s="23">
        <v>27.630061649638478</v>
      </c>
    </row>
    <row r="121" spans="1:21" x14ac:dyDescent="0.25">
      <c r="A121" s="95"/>
      <c r="B121" s="100"/>
      <c r="C121" s="19" t="s">
        <v>30</v>
      </c>
      <c r="D121" s="2">
        <v>42.784146798768262</v>
      </c>
      <c r="E121" s="2">
        <v>27.068618691228778</v>
      </c>
      <c r="F121" s="2">
        <v>-11.998598278130629</v>
      </c>
      <c r="G121" s="2">
        <v>-2.785174252801923</v>
      </c>
      <c r="H121" s="2">
        <v>29.266532833279257</v>
      </c>
      <c r="I121" s="2">
        <v>4.2908954212058177</v>
      </c>
      <c r="J121" s="2">
        <v>4.4600404109992979</v>
      </c>
      <c r="K121" s="2">
        <v>26.33206677498346</v>
      </c>
      <c r="L121" s="2">
        <v>18.52304805500107</v>
      </c>
      <c r="M121" s="2">
        <v>50.554734498549209</v>
      </c>
      <c r="N121" s="2">
        <v>58.481225070099185</v>
      </c>
      <c r="O121" s="2">
        <v>40.72281854412185</v>
      </c>
      <c r="P121" s="2">
        <v>26.713332921767517</v>
      </c>
      <c r="Q121" s="2">
        <v>6.606865039070982</v>
      </c>
      <c r="R121" s="2">
        <v>32.583203829533261</v>
      </c>
      <c r="S121" s="2">
        <v>-0.35351986062572394</v>
      </c>
      <c r="T121" s="2">
        <v>-7.3403368161515345</v>
      </c>
      <c r="U121" s="23">
        <v>19.401025607222635</v>
      </c>
    </row>
    <row r="122" spans="1:21" x14ac:dyDescent="0.25">
      <c r="A122" s="95"/>
      <c r="B122" s="101"/>
      <c r="C122" s="52" t="s">
        <v>31</v>
      </c>
      <c r="D122" s="20">
        <v>26.601450553917829</v>
      </c>
      <c r="E122" s="20">
        <v>44.007642644478864</v>
      </c>
      <c r="F122" s="20">
        <v>-12.105471868174334</v>
      </c>
      <c r="G122" s="20">
        <v>-42.524283378678732</v>
      </c>
      <c r="H122" s="20">
        <v>33.830346485267142</v>
      </c>
      <c r="I122" s="20">
        <v>6.3890223076383137</v>
      </c>
      <c r="J122" s="20">
        <v>6.2182867589005326</v>
      </c>
      <c r="K122" s="20">
        <v>24.58591438187139</v>
      </c>
      <c r="L122" s="20">
        <v>35.560040258139367</v>
      </c>
      <c r="M122" s="20">
        <v>59.32649118801325</v>
      </c>
      <c r="N122" s="20">
        <v>40.312517161994322</v>
      </c>
      <c r="O122" s="20">
        <v>37.812510339201253</v>
      </c>
      <c r="P122" s="20">
        <v>20.490710158075089</v>
      </c>
      <c r="Q122" s="20">
        <v>-25.183898732180992</v>
      </c>
      <c r="R122" s="20">
        <v>26.700463654063469</v>
      </c>
      <c r="S122" s="20">
        <v>30.647354997687046</v>
      </c>
      <c r="T122" s="20">
        <v>-35.787015274113386</v>
      </c>
      <c r="U122" s="24">
        <v>17.441455235397754</v>
      </c>
    </row>
    <row r="123" spans="1:21" x14ac:dyDescent="0.25">
      <c r="A123" s="95"/>
      <c r="B123" s="99">
        <v>2026</v>
      </c>
      <c r="C123" s="61" t="s">
        <v>28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2"/>
    </row>
    <row r="124" spans="1:21" x14ac:dyDescent="0.25">
      <c r="A124" s="95"/>
      <c r="B124" s="100"/>
      <c r="C124" s="19" t="s">
        <v>29</v>
      </c>
      <c r="D124" s="2">
        <v>10.818002040800053</v>
      </c>
      <c r="E124" s="2">
        <v>40.208048300701336</v>
      </c>
      <c r="F124" s="2">
        <v>11.447063244220132</v>
      </c>
      <c r="G124" s="2">
        <v>53.518017336025821</v>
      </c>
      <c r="H124" s="2">
        <v>11.319418696809564</v>
      </c>
      <c r="I124" s="2">
        <v>12.970391633173065</v>
      </c>
      <c r="J124" s="2">
        <v>14.420068269889796</v>
      </c>
      <c r="K124" s="2">
        <v>18.166800242753595</v>
      </c>
      <c r="L124" s="2">
        <v>7.5618200361952148</v>
      </c>
      <c r="M124" s="2">
        <v>56.674582217065506</v>
      </c>
      <c r="N124" s="2">
        <v>37.10105841462584</v>
      </c>
      <c r="O124" s="2">
        <v>16.687181814317739</v>
      </c>
      <c r="P124" s="2">
        <v>14.083726099749441</v>
      </c>
      <c r="Q124" s="2">
        <v>2.2756101073021568</v>
      </c>
      <c r="R124" s="2">
        <v>19.461484462220696</v>
      </c>
      <c r="S124" s="2">
        <v>-2.7707396253192371</v>
      </c>
      <c r="T124" s="2">
        <v>-35.150515220641665</v>
      </c>
      <c r="U124" s="23">
        <v>16.876748025263979</v>
      </c>
    </row>
    <row r="125" spans="1:21" x14ac:dyDescent="0.25">
      <c r="A125" s="95"/>
      <c r="B125" s="100"/>
      <c r="C125" s="19" t="s">
        <v>30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1" x14ac:dyDescent="0.25">
      <c r="A126" s="95"/>
      <c r="B126" s="101"/>
      <c r="C126" s="52" t="s">
        <v>31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4"/>
    </row>
    <row r="127" spans="1:21" x14ac:dyDescent="0.25">
      <c r="C127" s="17" t="s">
        <v>52</v>
      </c>
    </row>
  </sheetData>
  <mergeCells count="28">
    <mergeCell ref="B123:B126"/>
    <mergeCell ref="A1:A126"/>
    <mergeCell ref="C1:U1"/>
    <mergeCell ref="B2:C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B54:B57"/>
    <mergeCell ref="B59:B62"/>
    <mergeCell ref="B64:B67"/>
    <mergeCell ref="B69:B72"/>
    <mergeCell ref="B74:B77"/>
    <mergeCell ref="B79:B82"/>
    <mergeCell ref="B84:B87"/>
    <mergeCell ref="B89:B92"/>
    <mergeCell ref="B119:B122"/>
    <mergeCell ref="B94:B97"/>
    <mergeCell ref="B99:B102"/>
    <mergeCell ref="B104:B107"/>
    <mergeCell ref="B109:B112"/>
    <mergeCell ref="B114:B117"/>
  </mergeCells>
  <phoneticPr fontId="10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128"/>
  <sheetViews>
    <sheetView showGridLines="0" zoomScale="115" zoomScaleNormal="115" workbookViewId="0">
      <pane xSplit="3" ySplit="2" topLeftCell="D110" activePane="bottomRight" state="frozen"/>
      <selection pane="topRight" activeCell="B1" sqref="B1"/>
      <selection pane="bottomLeft" activeCell="A3" sqref="A3"/>
      <selection pane="bottomRight" activeCell="E118" sqref="E118"/>
    </sheetView>
  </sheetViews>
  <sheetFormatPr defaultRowHeight="15.75" x14ac:dyDescent="0.25"/>
  <cols>
    <col min="2" max="2" width="5.5" style="18" customWidth="1"/>
    <col min="3" max="3" width="6.375" style="18" customWidth="1"/>
    <col min="4" max="4" width="11.125" customWidth="1"/>
    <col min="16" max="16" width="10.125" customWidth="1"/>
  </cols>
  <sheetData>
    <row r="1" spans="1:23" x14ac:dyDescent="0.25">
      <c r="A1" s="95"/>
      <c r="C1" s="102" t="s">
        <v>19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</row>
    <row r="2" spans="1:23" ht="78.75" x14ac:dyDescent="0.25">
      <c r="A2" s="95"/>
      <c r="B2" s="97" t="s">
        <v>53</v>
      </c>
      <c r="C2" s="97"/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1"/>
      <c r="W2" s="1"/>
    </row>
    <row r="3" spans="1:23" x14ac:dyDescent="0.25">
      <c r="A3" s="95"/>
      <c r="B3" s="49"/>
      <c r="C3" s="49" t="s">
        <v>51</v>
      </c>
      <c r="D3" s="46">
        <v>8.4708696693853476</v>
      </c>
      <c r="E3" s="46">
        <v>0.91592093454915635</v>
      </c>
      <c r="F3" s="46">
        <v>39.156246474195221</v>
      </c>
      <c r="G3" s="46">
        <v>2.4953901433082186</v>
      </c>
      <c r="H3" s="46">
        <v>3.726575292280677</v>
      </c>
      <c r="I3" s="46">
        <v>0.84345173655704897</v>
      </c>
      <c r="J3" s="46">
        <v>5.8121965911402462</v>
      </c>
      <c r="K3" s="46">
        <v>9.6217191071769506</v>
      </c>
      <c r="L3" s="46">
        <v>0.77271824261201216</v>
      </c>
      <c r="M3" s="46">
        <v>4.3971586258247077</v>
      </c>
      <c r="N3" s="46">
        <v>0.94904635024623962</v>
      </c>
      <c r="O3" s="46">
        <v>1.6782936870396508</v>
      </c>
      <c r="P3" s="46">
        <v>8.8421342545471724</v>
      </c>
      <c r="Q3" s="46">
        <v>5.25548024223027</v>
      </c>
      <c r="R3" s="46">
        <v>6.3496633763062649</v>
      </c>
      <c r="S3" s="46">
        <v>2.9713085018244443</v>
      </c>
      <c r="T3" s="46">
        <v>-2.2581732292236421</v>
      </c>
      <c r="U3" s="3">
        <v>99.999999999999972</v>
      </c>
      <c r="V3" s="1"/>
      <c r="W3" s="1"/>
    </row>
    <row r="4" spans="1:23" x14ac:dyDescent="0.25">
      <c r="A4" s="95"/>
      <c r="B4" s="99">
        <v>2002</v>
      </c>
      <c r="C4" s="27" t="s">
        <v>28</v>
      </c>
      <c r="D4" s="21">
        <v>11.144578262931025</v>
      </c>
      <c r="E4" s="21">
        <v>1.0488976061134021</v>
      </c>
      <c r="F4" s="21">
        <v>38.911099533744689</v>
      </c>
      <c r="G4" s="21">
        <v>2.7488097960931581</v>
      </c>
      <c r="H4" s="21">
        <v>3.6542444302956474</v>
      </c>
      <c r="I4" s="21">
        <v>0.80341116440803428</v>
      </c>
      <c r="J4" s="21">
        <v>6.72880977197193</v>
      </c>
      <c r="K4" s="21">
        <v>7.5049354280317528</v>
      </c>
      <c r="L4" s="21">
        <v>0.37506803945473971</v>
      </c>
      <c r="M4" s="21">
        <v>5.5422245548783575</v>
      </c>
      <c r="N4" s="21">
        <v>0.756218263073411</v>
      </c>
      <c r="O4" s="21">
        <v>1.7014348595841424</v>
      </c>
      <c r="P4" s="21">
        <v>7.0096120944567355</v>
      </c>
      <c r="Q4" s="21">
        <v>5.6098538977394146</v>
      </c>
      <c r="R4" s="21">
        <v>5.6070002860513144</v>
      </c>
      <c r="S4" s="21">
        <v>2.637762011522939</v>
      </c>
      <c r="T4" s="21">
        <v>-1.7839600003506828</v>
      </c>
      <c r="U4" s="22">
        <v>100.00000000000001</v>
      </c>
    </row>
    <row r="5" spans="1:23" x14ac:dyDescent="0.25">
      <c r="A5" s="95"/>
      <c r="B5" s="100"/>
      <c r="C5" s="16" t="s">
        <v>29</v>
      </c>
      <c r="D5" s="2">
        <v>13.798087557062894</v>
      </c>
      <c r="E5" s="2">
        <v>0.7530056809487381</v>
      </c>
      <c r="F5" s="2">
        <v>39.667752085784144</v>
      </c>
      <c r="G5" s="2">
        <v>2.4239330760502646</v>
      </c>
      <c r="H5" s="2">
        <v>3.3890373104495284</v>
      </c>
      <c r="I5" s="2">
        <v>0.88720374242086575</v>
      </c>
      <c r="J5" s="2">
        <v>5.5386001057332779</v>
      </c>
      <c r="K5" s="2">
        <v>8.0808348360213209</v>
      </c>
      <c r="L5" s="2">
        <v>0.72751232953263767</v>
      </c>
      <c r="M5" s="2">
        <v>4.6246896255456242</v>
      </c>
      <c r="N5" s="2">
        <v>0.79690578408049773</v>
      </c>
      <c r="O5" s="2">
        <v>1.456092357014076</v>
      </c>
      <c r="P5" s="2">
        <v>6.5849090266117125</v>
      </c>
      <c r="Q5" s="2">
        <v>4.8429359987126226</v>
      </c>
      <c r="R5" s="2">
        <v>5.6839897030623856</v>
      </c>
      <c r="S5" s="2">
        <v>2.5708290614095528</v>
      </c>
      <c r="T5" s="2">
        <v>-1.8263182804401603</v>
      </c>
      <c r="U5" s="23">
        <v>99.999999999999972</v>
      </c>
    </row>
    <row r="6" spans="1:23" x14ac:dyDescent="0.25">
      <c r="A6" s="95"/>
      <c r="B6" s="100"/>
      <c r="C6" s="16" t="s">
        <v>30</v>
      </c>
      <c r="D6" s="2">
        <v>7.6327883438656876</v>
      </c>
      <c r="E6" s="2">
        <v>0.71240958274170785</v>
      </c>
      <c r="F6" s="2">
        <v>41.05768854208619</v>
      </c>
      <c r="G6" s="2">
        <v>2.5406066502898725</v>
      </c>
      <c r="H6" s="2">
        <v>3.5192903288095803</v>
      </c>
      <c r="I6" s="2">
        <v>0.82954051619780789</v>
      </c>
      <c r="J6" s="2">
        <v>6.0449813175443587</v>
      </c>
      <c r="K6" s="2">
        <v>9.9134786492864713</v>
      </c>
      <c r="L6" s="2">
        <v>0.86466305307048363</v>
      </c>
      <c r="M6" s="2">
        <v>4.3086007119935044</v>
      </c>
      <c r="N6" s="2">
        <v>1.0165767103934356</v>
      </c>
      <c r="O6" s="2">
        <v>1.662255529438458</v>
      </c>
      <c r="P6" s="2">
        <v>7.5986284883819879</v>
      </c>
      <c r="Q6" s="2">
        <v>5.3249861481478113</v>
      </c>
      <c r="R6" s="2">
        <v>6.3001471843564003</v>
      </c>
      <c r="S6" s="2">
        <v>2.8316597402206156</v>
      </c>
      <c r="T6" s="2">
        <v>-2.158301496824361</v>
      </c>
      <c r="U6" s="23">
        <v>100.00000000000003</v>
      </c>
    </row>
    <row r="7" spans="1:23" x14ac:dyDescent="0.25">
      <c r="A7" s="95"/>
      <c r="B7" s="101"/>
      <c r="C7" s="28" t="s">
        <v>31</v>
      </c>
      <c r="D7" s="20">
        <v>4.2529522467983982</v>
      </c>
      <c r="E7" s="20">
        <v>1.1193893020713708</v>
      </c>
      <c r="F7" s="20">
        <v>37.407461292445241</v>
      </c>
      <c r="G7" s="20">
        <v>2.3751842957479834</v>
      </c>
      <c r="H7" s="20">
        <v>4.1543032005102498</v>
      </c>
      <c r="I7" s="20">
        <v>0.84649373561560604</v>
      </c>
      <c r="J7" s="20">
        <v>5.3314109310586222</v>
      </c>
      <c r="K7" s="20">
        <v>11.495208020307375</v>
      </c>
      <c r="L7" s="20">
        <v>0.93343194162859489</v>
      </c>
      <c r="M7" s="20">
        <v>3.7276185181160555</v>
      </c>
      <c r="N7" s="20">
        <v>1.0943624896439348</v>
      </c>
      <c r="O7" s="20">
        <v>1.8259631428261278</v>
      </c>
      <c r="P7" s="20">
        <v>12.283266428351519</v>
      </c>
      <c r="Q7" s="20">
        <v>5.2886279897905224</v>
      </c>
      <c r="R7" s="20">
        <v>7.2123308035055205</v>
      </c>
      <c r="S7" s="20">
        <v>3.5206962148081238</v>
      </c>
      <c r="T7" s="20">
        <v>-2.8687005532252248</v>
      </c>
      <c r="U7" s="24">
        <v>100.00000000000004</v>
      </c>
    </row>
    <row r="8" spans="1:23" x14ac:dyDescent="0.25">
      <c r="A8" s="95"/>
      <c r="B8" s="51"/>
      <c r="C8" s="49" t="s">
        <v>51</v>
      </c>
      <c r="D8" s="46">
        <v>9.0949516745534371</v>
      </c>
      <c r="E8" s="46">
        <v>0.90512517174050289</v>
      </c>
      <c r="F8" s="46">
        <v>35.665772756459482</v>
      </c>
      <c r="G8" s="46">
        <v>2.5642724586395018</v>
      </c>
      <c r="H8" s="46">
        <v>3.8851717253827895</v>
      </c>
      <c r="I8" s="46">
        <v>1.2387896407804897</v>
      </c>
      <c r="J8" s="46">
        <v>5.7238272319156822</v>
      </c>
      <c r="K8" s="46">
        <v>10.724385519650028</v>
      </c>
      <c r="L8" s="46">
        <v>0.81680567879435484</v>
      </c>
      <c r="M8" s="46">
        <v>4.4839453216435201</v>
      </c>
      <c r="N8" s="46">
        <v>0.99596848528528592</v>
      </c>
      <c r="O8" s="46">
        <v>1.6439081155157329</v>
      </c>
      <c r="P8" s="46">
        <v>10.528919816541258</v>
      </c>
      <c r="Q8" s="46">
        <v>4.4414959994329397</v>
      </c>
      <c r="R8" s="46">
        <v>7.0378548372375267</v>
      </c>
      <c r="S8" s="46">
        <v>3.4758322125570014</v>
      </c>
      <c r="T8" s="46">
        <v>-3.227026646129536</v>
      </c>
      <c r="U8" s="46">
        <v>100.00000000000001</v>
      </c>
    </row>
    <row r="9" spans="1:23" x14ac:dyDescent="0.25">
      <c r="A9" s="95"/>
      <c r="B9" s="99">
        <v>2003</v>
      </c>
      <c r="C9" s="27" t="s">
        <v>28</v>
      </c>
      <c r="D9" s="21">
        <v>11.202016325386909</v>
      </c>
      <c r="E9" s="21">
        <v>0.97562071086417135</v>
      </c>
      <c r="F9" s="21">
        <v>43.695310266529184</v>
      </c>
      <c r="G9" s="21">
        <v>2.0011535134895193</v>
      </c>
      <c r="H9" s="21">
        <v>3.4273586835520224</v>
      </c>
      <c r="I9" s="21">
        <v>1.1165804509437904</v>
      </c>
      <c r="J9" s="21">
        <v>6.1786367552855044</v>
      </c>
      <c r="K9" s="21">
        <v>7.9629942371077522</v>
      </c>
      <c r="L9" s="21">
        <v>0.36279190524590887</v>
      </c>
      <c r="M9" s="21">
        <v>2.9809421367989599</v>
      </c>
      <c r="N9" s="21">
        <v>1.0093910477119592</v>
      </c>
      <c r="O9" s="21">
        <v>1.5384329403117705</v>
      </c>
      <c r="P9" s="21">
        <v>8.1045829367033253</v>
      </c>
      <c r="Q9" s="21">
        <v>3.2791122875164449</v>
      </c>
      <c r="R9" s="21">
        <v>5.7718026659733237</v>
      </c>
      <c r="S9" s="21">
        <v>2.8797440890069335</v>
      </c>
      <c r="T9" s="21">
        <v>-2.486470952427474</v>
      </c>
      <c r="U9" s="22">
        <v>100</v>
      </c>
    </row>
    <row r="10" spans="1:23" x14ac:dyDescent="0.25">
      <c r="A10" s="95"/>
      <c r="B10" s="100"/>
      <c r="C10" s="16" t="s">
        <v>29</v>
      </c>
      <c r="D10" s="2">
        <v>14.660174127350928</v>
      </c>
      <c r="E10" s="2">
        <v>0.79505835868308983</v>
      </c>
      <c r="F10" s="2">
        <v>34.981474235742667</v>
      </c>
      <c r="G10" s="2">
        <v>2.3214720665080231</v>
      </c>
      <c r="H10" s="2">
        <v>3.6087155549315089</v>
      </c>
      <c r="I10" s="2">
        <v>1.2633121216514982</v>
      </c>
      <c r="J10" s="2">
        <v>5.4853079195998573</v>
      </c>
      <c r="K10" s="2">
        <v>9.868858857011789</v>
      </c>
      <c r="L10" s="2">
        <v>0.7774366956674833</v>
      </c>
      <c r="M10" s="2">
        <v>4.8400232789884221</v>
      </c>
      <c r="N10" s="2">
        <v>1.0329401343182343</v>
      </c>
      <c r="O10" s="2">
        <v>1.3494946227446858</v>
      </c>
      <c r="P10" s="2">
        <v>8.6081252519243776</v>
      </c>
      <c r="Q10" s="2">
        <v>3.406989363889172</v>
      </c>
      <c r="R10" s="2">
        <v>6.6985212097230074</v>
      </c>
      <c r="S10" s="2">
        <v>3.2053606139201816</v>
      </c>
      <c r="T10" s="2">
        <v>-2.9032644126549214</v>
      </c>
      <c r="U10" s="23">
        <v>100.00000000000001</v>
      </c>
    </row>
    <row r="11" spans="1:23" x14ac:dyDescent="0.25">
      <c r="A11" s="95"/>
      <c r="B11" s="100"/>
      <c r="C11" s="16" t="s">
        <v>30</v>
      </c>
      <c r="D11" s="2">
        <v>7.4781847009500799</v>
      </c>
      <c r="E11" s="2">
        <v>0.69117516754692909</v>
      </c>
      <c r="F11" s="2">
        <v>35.691395618400549</v>
      </c>
      <c r="G11" s="2">
        <v>3.3785703031613274</v>
      </c>
      <c r="H11" s="2">
        <v>3.741972039324732</v>
      </c>
      <c r="I11" s="2">
        <v>1.356139609822961</v>
      </c>
      <c r="J11" s="2">
        <v>5.865458955258509</v>
      </c>
      <c r="K11" s="2">
        <v>11.390069002890721</v>
      </c>
      <c r="L11" s="2">
        <v>0.94445769856758222</v>
      </c>
      <c r="M11" s="2">
        <v>5.0886035821558462</v>
      </c>
      <c r="N11" s="2">
        <v>0.95242092178991622</v>
      </c>
      <c r="O11" s="2">
        <v>1.6571223688058947</v>
      </c>
      <c r="P11" s="2">
        <v>9.5234329017427939</v>
      </c>
      <c r="Q11" s="2">
        <v>4.7871588155645917</v>
      </c>
      <c r="R11" s="2">
        <v>7.2500563296894667</v>
      </c>
      <c r="S11" s="2">
        <v>3.4143807562581374</v>
      </c>
      <c r="T11" s="2">
        <v>-3.210598771930028</v>
      </c>
      <c r="U11" s="23">
        <v>100.00000000000003</v>
      </c>
    </row>
    <row r="12" spans="1:23" x14ac:dyDescent="0.25">
      <c r="A12" s="95"/>
      <c r="B12" s="101"/>
      <c r="C12" s="28" t="s">
        <v>31</v>
      </c>
      <c r="D12" s="20">
        <v>4.7552281575536215</v>
      </c>
      <c r="E12" s="20">
        <v>1.1468275565537371</v>
      </c>
      <c r="F12" s="20">
        <v>30.857550437548319</v>
      </c>
      <c r="G12" s="20">
        <v>2.3698210344550912</v>
      </c>
      <c r="H12" s="20">
        <v>4.5446193490820175</v>
      </c>
      <c r="I12" s="20">
        <v>1.1903907834186513</v>
      </c>
      <c r="J12" s="20">
        <v>5.4800799469735582</v>
      </c>
      <c r="K12" s="20">
        <v>12.61938656634003</v>
      </c>
      <c r="L12" s="20">
        <v>1.0302362390437483</v>
      </c>
      <c r="M12" s="20">
        <v>4.6305901790453552</v>
      </c>
      <c r="N12" s="20">
        <v>0.99825040953928146</v>
      </c>
      <c r="O12" s="20">
        <v>1.9372485602464844</v>
      </c>
      <c r="P12" s="20">
        <v>14.618227575067646</v>
      </c>
      <c r="Q12" s="20">
        <v>5.7177145271678702</v>
      </c>
      <c r="R12" s="20">
        <v>7.9514421552421135</v>
      </c>
      <c r="S12" s="20">
        <v>4.1457371506081291</v>
      </c>
      <c r="T12" s="20">
        <v>-3.9933506278856634</v>
      </c>
      <c r="U12" s="24">
        <v>100</v>
      </c>
    </row>
    <row r="13" spans="1:23" x14ac:dyDescent="0.25">
      <c r="A13" s="95"/>
      <c r="B13" s="51"/>
      <c r="C13" s="49" t="s">
        <v>51</v>
      </c>
      <c r="D13" s="46">
        <v>9.5571613739164309</v>
      </c>
      <c r="E13" s="46">
        <v>0.80643007107617815</v>
      </c>
      <c r="F13" s="46">
        <v>36.409715032178838</v>
      </c>
      <c r="G13" s="46">
        <v>2.4179528600714861</v>
      </c>
      <c r="H13" s="46">
        <v>4.6791798467274566</v>
      </c>
      <c r="I13" s="46">
        <v>1.0878833312116079</v>
      </c>
      <c r="J13" s="46">
        <v>5.8398916712351507</v>
      </c>
      <c r="K13" s="46">
        <v>10.842021195905009</v>
      </c>
      <c r="L13" s="46">
        <v>0.65409358666451256</v>
      </c>
      <c r="M13" s="46">
        <v>4.1162266123053719</v>
      </c>
      <c r="N13" s="46">
        <v>0.76989702751609979</v>
      </c>
      <c r="O13" s="46">
        <v>1.641997187351411</v>
      </c>
      <c r="P13" s="46">
        <v>9.5089220832096064</v>
      </c>
      <c r="Q13" s="46">
        <v>5.6087912582141515</v>
      </c>
      <c r="R13" s="46">
        <v>6.4349729986169377</v>
      </c>
      <c r="S13" s="46">
        <v>3.2836050404193649</v>
      </c>
      <c r="T13" s="46">
        <v>-3.6587411766195834</v>
      </c>
      <c r="U13" s="46">
        <v>100.00000000000003</v>
      </c>
    </row>
    <row r="14" spans="1:23" x14ac:dyDescent="0.25">
      <c r="A14" s="95"/>
      <c r="B14" s="99">
        <v>2004</v>
      </c>
      <c r="C14" s="27" t="s">
        <v>28</v>
      </c>
      <c r="D14" s="21">
        <v>13.839503208698723</v>
      </c>
      <c r="E14" s="21">
        <v>1.0971447066804851</v>
      </c>
      <c r="F14" s="21">
        <v>41.415067973538619</v>
      </c>
      <c r="G14" s="21">
        <v>2.3417841566303044</v>
      </c>
      <c r="H14" s="21">
        <v>4.9360381477629138</v>
      </c>
      <c r="I14" s="21">
        <v>1.3113873417932713</v>
      </c>
      <c r="J14" s="21">
        <v>7.1560492792976635</v>
      </c>
      <c r="K14" s="21">
        <v>11.347053957377637</v>
      </c>
      <c r="L14" s="21">
        <v>0.37914434379967704</v>
      </c>
      <c r="M14" s="21">
        <v>3.9895478897858361</v>
      </c>
      <c r="N14" s="21">
        <v>0.78807700619038823</v>
      </c>
      <c r="O14" s="21">
        <v>1.8099774580265853</v>
      </c>
      <c r="P14" s="21">
        <v>10.423815956936904</v>
      </c>
      <c r="Q14" s="21">
        <v>6.4961391616757638</v>
      </c>
      <c r="R14" s="21">
        <v>8.0242651166088717</v>
      </c>
      <c r="S14" s="21">
        <v>3.5871852477070232</v>
      </c>
      <c r="T14" s="21">
        <v>-18.942180952510647</v>
      </c>
      <c r="U14" s="22">
        <v>100.00000000000003</v>
      </c>
    </row>
    <row r="15" spans="1:23" x14ac:dyDescent="0.25">
      <c r="A15" s="95"/>
      <c r="B15" s="100"/>
      <c r="C15" s="16" t="s">
        <v>29</v>
      </c>
      <c r="D15" s="2">
        <v>14.489767018515384</v>
      </c>
      <c r="E15" s="2">
        <v>0.68399865410020788</v>
      </c>
      <c r="F15" s="2">
        <v>32.482082208346377</v>
      </c>
      <c r="G15" s="2">
        <v>2.057553340424001</v>
      </c>
      <c r="H15" s="2">
        <v>4.4335509636379227</v>
      </c>
      <c r="I15" s="2">
        <v>1.1484683191236507</v>
      </c>
      <c r="J15" s="2">
        <v>5.3302496367409864</v>
      </c>
      <c r="K15" s="2">
        <v>10.13272066697148</v>
      </c>
      <c r="L15" s="2">
        <v>0.60874081905136479</v>
      </c>
      <c r="M15" s="2">
        <v>3.9851041295750922</v>
      </c>
      <c r="N15" s="2">
        <v>0.62546884495812072</v>
      </c>
      <c r="O15" s="2">
        <v>1.3183766543579427</v>
      </c>
      <c r="P15" s="2">
        <v>7.5680530578325813</v>
      </c>
      <c r="Q15" s="2">
        <v>5.6625771515696961</v>
      </c>
      <c r="R15" s="2">
        <v>6.4169441582997866</v>
      </c>
      <c r="S15" s="2">
        <v>3.2609093914360661</v>
      </c>
      <c r="T15" s="2">
        <v>-0.20456501494065457</v>
      </c>
      <c r="U15" s="23">
        <v>100.00000000000001</v>
      </c>
    </row>
    <row r="16" spans="1:23" x14ac:dyDescent="0.25">
      <c r="A16" s="95"/>
      <c r="B16" s="100"/>
      <c r="C16" s="16" t="s">
        <v>30</v>
      </c>
      <c r="D16" s="2">
        <v>7.6655968368214564</v>
      </c>
      <c r="E16" s="2">
        <v>0.5975886634673131</v>
      </c>
      <c r="F16" s="2">
        <v>36.706524039333146</v>
      </c>
      <c r="G16" s="2">
        <v>2.6438610146434436</v>
      </c>
      <c r="H16" s="2">
        <v>4.5092705904592343</v>
      </c>
      <c r="I16" s="2">
        <v>1.1727509358094179</v>
      </c>
      <c r="J16" s="2">
        <v>5.8630160619036653</v>
      </c>
      <c r="K16" s="2">
        <v>10.744658399314567</v>
      </c>
      <c r="L16" s="2">
        <v>0.72688101588627851</v>
      </c>
      <c r="M16" s="2">
        <v>4.4282465797516872</v>
      </c>
      <c r="N16" s="2">
        <v>0.67881547410077558</v>
      </c>
      <c r="O16" s="2">
        <v>1.6320296585481593</v>
      </c>
      <c r="P16" s="2">
        <v>8.5960417666146238</v>
      </c>
      <c r="Q16" s="2">
        <v>5.5650118679414087</v>
      </c>
      <c r="R16" s="2">
        <v>6.0060460072189761</v>
      </c>
      <c r="S16" s="2">
        <v>2.6570613175606925</v>
      </c>
      <c r="T16" s="2">
        <v>-0.193400229374842</v>
      </c>
      <c r="U16" s="23">
        <v>99.999999999999972</v>
      </c>
    </row>
    <row r="17" spans="1:21" x14ac:dyDescent="0.25">
      <c r="A17" s="95"/>
      <c r="B17" s="101"/>
      <c r="C17" s="28" t="s">
        <v>31</v>
      </c>
      <c r="D17" s="20">
        <v>4.5853342963173711</v>
      </c>
      <c r="E17" s="20">
        <v>0.91525629908391704</v>
      </c>
      <c r="F17" s="20">
        <v>36.275971085163434</v>
      </c>
      <c r="G17" s="20">
        <v>2.5567674802501967</v>
      </c>
      <c r="H17" s="20">
        <v>4.8746619016353048</v>
      </c>
      <c r="I17" s="20">
        <v>0.82454642965192859</v>
      </c>
      <c r="J17" s="20">
        <v>5.4260807333194343</v>
      </c>
      <c r="K17" s="20">
        <v>11.19894444582369</v>
      </c>
      <c r="L17" s="20">
        <v>0.79502850044666484</v>
      </c>
      <c r="M17" s="20">
        <v>4.0212114760286566</v>
      </c>
      <c r="N17" s="20">
        <v>0.95867192430951487</v>
      </c>
      <c r="O17" s="20">
        <v>1.81232643045304</v>
      </c>
      <c r="P17" s="20">
        <v>11.353628388108886</v>
      </c>
      <c r="Q17" s="20">
        <v>5.0580255987482978</v>
      </c>
      <c r="R17" s="20">
        <v>5.8569008052573732</v>
      </c>
      <c r="S17" s="20">
        <v>3.6780862410431157</v>
      </c>
      <c r="T17" s="20">
        <v>-0.19144203564084541</v>
      </c>
      <c r="U17" s="24">
        <v>99.999999999999972</v>
      </c>
    </row>
    <row r="18" spans="1:21" x14ac:dyDescent="0.25">
      <c r="A18" s="95"/>
      <c r="B18" s="51"/>
      <c r="C18" s="49" t="s">
        <v>51</v>
      </c>
      <c r="D18" s="46">
        <v>7.9056354289222819</v>
      </c>
      <c r="E18" s="46">
        <v>0.65973188789124881</v>
      </c>
      <c r="F18" s="46">
        <v>43.254972324203003</v>
      </c>
      <c r="G18" s="46">
        <v>2.2989753994945921</v>
      </c>
      <c r="H18" s="46">
        <v>3.8957819931381081</v>
      </c>
      <c r="I18" s="46">
        <v>0.69706981726805162</v>
      </c>
      <c r="J18" s="46">
        <v>6.0776960077578179</v>
      </c>
      <c r="K18" s="46">
        <v>9.9124439703621903</v>
      </c>
      <c r="L18" s="46">
        <v>0.72489688064679825</v>
      </c>
      <c r="M18" s="46">
        <v>3.5520019648696719</v>
      </c>
      <c r="N18" s="46">
        <v>1.292211214307577</v>
      </c>
      <c r="O18" s="46">
        <v>1.3904689137988331</v>
      </c>
      <c r="P18" s="46">
        <v>8.6443948982227479</v>
      </c>
      <c r="Q18" s="46">
        <v>4.0028407136917235</v>
      </c>
      <c r="R18" s="46">
        <v>5.8798702670822465</v>
      </c>
      <c r="S18" s="46">
        <v>2.6502903004021214</v>
      </c>
      <c r="T18" s="46">
        <v>-2.8392819820590325</v>
      </c>
      <c r="U18" s="46">
        <v>99.999999999999972</v>
      </c>
    </row>
    <row r="19" spans="1:21" x14ac:dyDescent="0.25">
      <c r="A19" s="95"/>
      <c r="B19" s="99">
        <v>2005</v>
      </c>
      <c r="C19" s="27" t="s">
        <v>28</v>
      </c>
      <c r="D19" s="21">
        <v>9.352324843838149</v>
      </c>
      <c r="E19" s="21">
        <v>0.67076268438771913</v>
      </c>
      <c r="F19" s="21">
        <v>43.230594393967621</v>
      </c>
      <c r="G19" s="21">
        <v>2.0841074193732054</v>
      </c>
      <c r="H19" s="21">
        <v>3.6750433854739772</v>
      </c>
      <c r="I19" s="21">
        <v>0.64205774198922538</v>
      </c>
      <c r="J19" s="21">
        <v>5.7917970876308296</v>
      </c>
      <c r="K19" s="21">
        <v>9.2513349555334905</v>
      </c>
      <c r="L19" s="21">
        <v>0.25677683679347424</v>
      </c>
      <c r="M19" s="21">
        <v>3.2830214306441112</v>
      </c>
      <c r="N19" s="21">
        <v>1.046204273825488</v>
      </c>
      <c r="O19" s="21">
        <v>1.33027209377099</v>
      </c>
      <c r="P19" s="21">
        <v>7.6843260857856546</v>
      </c>
      <c r="Q19" s="21">
        <v>4.2666207249844605</v>
      </c>
      <c r="R19" s="21">
        <v>5.1656103817035</v>
      </c>
      <c r="S19" s="21">
        <v>2.5645942395498591</v>
      </c>
      <c r="T19" s="21">
        <v>-0.29544857925173035</v>
      </c>
      <c r="U19" s="22">
        <v>100.00000000000004</v>
      </c>
    </row>
    <row r="20" spans="1:21" x14ac:dyDescent="0.25">
      <c r="A20" s="95"/>
      <c r="B20" s="100"/>
      <c r="C20" s="16" t="s">
        <v>29</v>
      </c>
      <c r="D20" s="2">
        <v>11.811412136063336</v>
      </c>
      <c r="E20" s="2">
        <v>0.53851457199477348</v>
      </c>
      <c r="F20" s="2">
        <v>40.477739839845007</v>
      </c>
      <c r="G20" s="2">
        <v>2.7295211497391993</v>
      </c>
      <c r="H20" s="2">
        <v>3.7697958881084106</v>
      </c>
      <c r="I20" s="2">
        <v>0.66577749396784314</v>
      </c>
      <c r="J20" s="2">
        <v>5.4555884925044058</v>
      </c>
      <c r="K20" s="2">
        <v>9.7276859482575642</v>
      </c>
      <c r="L20" s="2">
        <v>0.59535398873719114</v>
      </c>
      <c r="M20" s="2">
        <v>3.2790701721878603</v>
      </c>
      <c r="N20" s="2">
        <v>1.2411841032771223</v>
      </c>
      <c r="O20" s="2">
        <v>1.2003650705337803</v>
      </c>
      <c r="P20" s="2">
        <v>7.1202137292489462</v>
      </c>
      <c r="Q20" s="2">
        <v>4.0097180604570495</v>
      </c>
      <c r="R20" s="2">
        <v>5.2231391962828422</v>
      </c>
      <c r="S20" s="2">
        <v>2.4465941094538044</v>
      </c>
      <c r="T20" s="2">
        <v>-0.29167395065913465</v>
      </c>
      <c r="U20" s="23">
        <v>99.999999999999986</v>
      </c>
    </row>
    <row r="21" spans="1:21" x14ac:dyDescent="0.25">
      <c r="A21" s="95"/>
      <c r="B21" s="100"/>
      <c r="C21" s="16" t="s">
        <v>30</v>
      </c>
      <c r="D21" s="2">
        <v>6.3018535558742705</v>
      </c>
      <c r="E21" s="2">
        <v>0.48219644806937745</v>
      </c>
      <c r="F21" s="2">
        <v>46.107763493134954</v>
      </c>
      <c r="G21" s="2">
        <v>2.5236855420244959</v>
      </c>
      <c r="H21" s="2">
        <v>3.5518903564305786</v>
      </c>
      <c r="I21" s="2">
        <v>0.64570943960547078</v>
      </c>
      <c r="J21" s="2">
        <v>6.033194967270151</v>
      </c>
      <c r="K21" s="2">
        <v>9.503586159737818</v>
      </c>
      <c r="L21" s="2">
        <v>0.79059530391009991</v>
      </c>
      <c r="M21" s="2">
        <v>3.4788992755749621</v>
      </c>
      <c r="N21" s="2">
        <v>1.2212958592495662</v>
      </c>
      <c r="O21" s="2">
        <v>1.3438381942352438</v>
      </c>
      <c r="P21" s="2">
        <v>7.0681671693247443</v>
      </c>
      <c r="Q21" s="2">
        <v>3.6722926709041106</v>
      </c>
      <c r="R21" s="2">
        <v>5.3607158787694935</v>
      </c>
      <c r="S21" s="2">
        <v>2.1750251179192883</v>
      </c>
      <c r="T21" s="2">
        <v>-0.26070943203463065</v>
      </c>
      <c r="U21" s="23">
        <v>99.999999999999986</v>
      </c>
    </row>
    <row r="22" spans="1:21" x14ac:dyDescent="0.25">
      <c r="A22" s="95"/>
      <c r="B22" s="101"/>
      <c r="C22" s="28" t="s">
        <v>31</v>
      </c>
      <c r="D22" s="20">
        <v>4.5870627901398553</v>
      </c>
      <c r="E22" s="20">
        <v>0.96220763580546953</v>
      </c>
      <c r="F22" s="20">
        <v>42.841418214726836</v>
      </c>
      <c r="G22" s="20">
        <v>1.8263709210291388</v>
      </c>
      <c r="H22" s="20">
        <v>4.5918946523569186</v>
      </c>
      <c r="I22" s="20">
        <v>0.83278134028326889</v>
      </c>
      <c r="J22" s="20">
        <v>6.9847085320893658</v>
      </c>
      <c r="K22" s="20">
        <v>11.129261475869379</v>
      </c>
      <c r="L22" s="20">
        <v>1.1956566056878088</v>
      </c>
      <c r="M22" s="20">
        <v>4.1366224079345617</v>
      </c>
      <c r="N22" s="20">
        <v>1.6387204533161719</v>
      </c>
      <c r="O22" s="20">
        <v>1.6796541267398237</v>
      </c>
      <c r="P22" s="20">
        <v>12.70725197888884</v>
      </c>
      <c r="Q22" s="20">
        <v>4.1236617991928624</v>
      </c>
      <c r="R22" s="20">
        <v>7.7228280079333969</v>
      </c>
      <c r="S22" s="20">
        <v>3.4455314594401591</v>
      </c>
      <c r="T22" s="20">
        <v>-10.405632401433882</v>
      </c>
      <c r="U22" s="24">
        <v>99.999999999999972</v>
      </c>
    </row>
    <row r="23" spans="1:21" s="48" customFormat="1" x14ac:dyDescent="0.25">
      <c r="A23" s="95"/>
      <c r="B23" s="51"/>
      <c r="C23" s="49" t="s">
        <v>51</v>
      </c>
      <c r="D23" s="26">
        <v>7.6755859439021457</v>
      </c>
      <c r="E23" s="26">
        <v>0.76542303453061133</v>
      </c>
      <c r="F23" s="26">
        <v>40.409589612244929</v>
      </c>
      <c r="G23" s="26">
        <v>1.6294542266070633</v>
      </c>
      <c r="H23" s="26">
        <v>3.6618495999168243</v>
      </c>
      <c r="I23" s="26">
        <v>1.4227434736588731</v>
      </c>
      <c r="J23" s="26">
        <v>7.2550238829506242</v>
      </c>
      <c r="K23" s="26">
        <v>8.4345213333173454</v>
      </c>
      <c r="L23" s="26">
        <v>1.271146954845036</v>
      </c>
      <c r="M23" s="26">
        <v>3.6873932137093584</v>
      </c>
      <c r="N23" s="26">
        <v>1.3605698551773262</v>
      </c>
      <c r="O23" s="26">
        <v>1.3246376372964406</v>
      </c>
      <c r="P23" s="26">
        <v>8.6753761561310601</v>
      </c>
      <c r="Q23" s="26">
        <v>3.8628208753474995</v>
      </c>
      <c r="R23" s="26">
        <v>8.370265785390945</v>
      </c>
      <c r="S23" s="26">
        <v>2.6110541433065815</v>
      </c>
      <c r="T23" s="26">
        <v>-2.417455728332695</v>
      </c>
      <c r="U23" s="46">
        <v>99.999999999999972</v>
      </c>
    </row>
    <row r="24" spans="1:21" x14ac:dyDescent="0.25">
      <c r="A24" s="95"/>
      <c r="B24" s="99">
        <v>2006</v>
      </c>
      <c r="C24" s="27" t="s">
        <v>28</v>
      </c>
      <c r="D24" s="21">
        <v>9.0717190743888754</v>
      </c>
      <c r="E24" s="21">
        <v>0.76511258358385326</v>
      </c>
      <c r="F24" s="21">
        <v>42.699473452603591</v>
      </c>
      <c r="G24" s="21">
        <v>1.6891984043948816</v>
      </c>
      <c r="H24" s="21">
        <v>3.4614030439405816</v>
      </c>
      <c r="I24" s="21">
        <v>0.90075869180343449</v>
      </c>
      <c r="J24" s="21">
        <v>7.251449708989564</v>
      </c>
      <c r="K24" s="21">
        <v>8.3549363960116274</v>
      </c>
      <c r="L24" s="21">
        <v>0.41998130732911443</v>
      </c>
      <c r="M24" s="21">
        <v>3.2075148924780486</v>
      </c>
      <c r="N24" s="21">
        <v>1.2468063714067052</v>
      </c>
      <c r="O24" s="21">
        <v>1.0656702836933807</v>
      </c>
      <c r="P24" s="21">
        <v>7.2100300483579352</v>
      </c>
      <c r="Q24" s="21">
        <v>3.5869899163260874</v>
      </c>
      <c r="R24" s="21">
        <v>8.884409327516174</v>
      </c>
      <c r="S24" s="21">
        <v>2.07427814027904</v>
      </c>
      <c r="T24" s="21">
        <v>-1.8897316431029081</v>
      </c>
      <c r="U24" s="22">
        <v>99.999999999999986</v>
      </c>
    </row>
    <row r="25" spans="1:21" x14ac:dyDescent="0.25">
      <c r="A25" s="95"/>
      <c r="B25" s="100"/>
      <c r="C25" s="16" t="s">
        <v>29</v>
      </c>
      <c r="D25" s="2">
        <v>11.026951116602666</v>
      </c>
      <c r="E25" s="2">
        <v>0.61885146620425846</v>
      </c>
      <c r="F25" s="2">
        <v>41.150364518047674</v>
      </c>
      <c r="G25" s="2">
        <v>1.4510021486028573</v>
      </c>
      <c r="H25" s="2">
        <v>3.4353172386828676</v>
      </c>
      <c r="I25" s="2">
        <v>1.1200363921179068</v>
      </c>
      <c r="J25" s="2">
        <v>6.5389847535240975</v>
      </c>
      <c r="K25" s="2">
        <v>7.8620652450706059</v>
      </c>
      <c r="L25" s="2">
        <v>1.0228223799515543</v>
      </c>
      <c r="M25" s="2">
        <v>3.2715666544780775</v>
      </c>
      <c r="N25" s="2">
        <v>1.2597805221516096</v>
      </c>
      <c r="O25" s="2">
        <v>0.92319225919902259</v>
      </c>
      <c r="P25" s="2">
        <v>7.6325832861572973</v>
      </c>
      <c r="Q25" s="2">
        <v>3.5185193357453937</v>
      </c>
      <c r="R25" s="2">
        <v>8.8338467992235206</v>
      </c>
      <c r="S25" s="2">
        <v>2.0999503692434027</v>
      </c>
      <c r="T25" s="2">
        <v>-1.7658344850027916</v>
      </c>
      <c r="U25" s="23">
        <v>100.00000000000003</v>
      </c>
    </row>
    <row r="26" spans="1:21" x14ac:dyDescent="0.25">
      <c r="A26" s="95"/>
      <c r="B26" s="100"/>
      <c r="C26" s="16" t="s">
        <v>30</v>
      </c>
      <c r="D26" s="2">
        <v>6.4196692477711332</v>
      </c>
      <c r="E26" s="2">
        <v>0.62048134269289923</v>
      </c>
      <c r="F26" s="2">
        <v>41.622189596688862</v>
      </c>
      <c r="G26" s="2">
        <v>1.7641611108038</v>
      </c>
      <c r="H26" s="2">
        <v>3.6082996578449671</v>
      </c>
      <c r="I26" s="2">
        <v>1.5464706875732903</v>
      </c>
      <c r="J26" s="2">
        <v>7.8195503352731084</v>
      </c>
      <c r="K26" s="2">
        <v>8.4671001149678293</v>
      </c>
      <c r="L26" s="2">
        <v>1.5824957447003278</v>
      </c>
      <c r="M26" s="2">
        <v>3.9951015856651186</v>
      </c>
      <c r="N26" s="2">
        <v>1.3486896000326927</v>
      </c>
      <c r="O26" s="2">
        <v>1.2887977578144494</v>
      </c>
      <c r="P26" s="2">
        <v>7.1382157168899081</v>
      </c>
      <c r="Q26" s="2">
        <v>3.7427331990968886</v>
      </c>
      <c r="R26" s="2">
        <v>8.466081089566698</v>
      </c>
      <c r="S26" s="2">
        <v>2.60657830405605</v>
      </c>
      <c r="T26" s="2">
        <v>-2.0366150914380445</v>
      </c>
      <c r="U26" s="23">
        <v>99.999999999999972</v>
      </c>
    </row>
    <row r="27" spans="1:21" x14ac:dyDescent="0.25">
      <c r="A27" s="95"/>
      <c r="B27" s="101"/>
      <c r="C27" s="28" t="s">
        <v>31</v>
      </c>
      <c r="D27" s="20">
        <v>4.2102541724899716</v>
      </c>
      <c r="E27" s="20">
        <v>1.0594371781636331</v>
      </c>
      <c r="F27" s="20">
        <v>36.306780521270326</v>
      </c>
      <c r="G27" s="20">
        <v>1.6210636290496276</v>
      </c>
      <c r="H27" s="20">
        <v>4.1332065091851948</v>
      </c>
      <c r="I27" s="20">
        <v>2.0954242854339373</v>
      </c>
      <c r="J27" s="20">
        <v>7.4247709740263286</v>
      </c>
      <c r="K27" s="20">
        <v>9.0593281760124498</v>
      </c>
      <c r="L27" s="20">
        <v>2.0090404513007014</v>
      </c>
      <c r="M27" s="20">
        <v>4.2525235430364354</v>
      </c>
      <c r="N27" s="20">
        <v>1.5813495635638337</v>
      </c>
      <c r="O27" s="20">
        <v>2.0111345775545049</v>
      </c>
      <c r="P27" s="20">
        <v>12.638738042418149</v>
      </c>
      <c r="Q27" s="20">
        <v>4.5908653790980001</v>
      </c>
      <c r="R27" s="20">
        <v>7.3222638504904722</v>
      </c>
      <c r="S27" s="20">
        <v>3.6375503603708634</v>
      </c>
      <c r="T27" s="20">
        <v>-3.9537312134644607</v>
      </c>
      <c r="U27" s="24">
        <v>99.999999999999972</v>
      </c>
    </row>
    <row r="28" spans="1:21" x14ac:dyDescent="0.25">
      <c r="A28" s="95"/>
      <c r="B28" s="51"/>
      <c r="C28" s="49" t="s">
        <v>51</v>
      </c>
      <c r="D28" s="26">
        <v>7.8615465645326026</v>
      </c>
      <c r="E28" s="26">
        <v>0.75469385733294025</v>
      </c>
      <c r="F28" s="26">
        <v>43.496131258704082</v>
      </c>
      <c r="G28" s="26">
        <v>1.3674293048648443</v>
      </c>
      <c r="H28" s="26">
        <v>3.4426964925295276</v>
      </c>
      <c r="I28" s="26">
        <v>1.9061165377584608</v>
      </c>
      <c r="J28" s="26">
        <v>7.9022816938341593</v>
      </c>
      <c r="K28" s="26">
        <v>8.5171015277290589</v>
      </c>
      <c r="L28" s="26">
        <v>1.611339355784112</v>
      </c>
      <c r="M28" s="26">
        <v>4.105303467397337</v>
      </c>
      <c r="N28" s="26">
        <v>1.3739694131727258</v>
      </c>
      <c r="O28" s="26">
        <v>1.6183953700004354</v>
      </c>
      <c r="P28" s="26">
        <v>9.0021822709746484</v>
      </c>
      <c r="Q28" s="26">
        <v>3.9919300662111521</v>
      </c>
      <c r="R28" s="26">
        <v>3.6671837837894601</v>
      </c>
      <c r="S28" s="26">
        <v>2.9890496401420532</v>
      </c>
      <c r="T28" s="26">
        <v>-3.6073506047576074</v>
      </c>
      <c r="U28" s="47">
        <v>99.999999999999972</v>
      </c>
    </row>
    <row r="29" spans="1:21" x14ac:dyDescent="0.25">
      <c r="A29" s="95"/>
      <c r="B29" s="99">
        <v>2007</v>
      </c>
      <c r="C29" s="27" t="s">
        <v>28</v>
      </c>
      <c r="D29" s="21">
        <v>9.7466562301380506</v>
      </c>
      <c r="E29" s="21">
        <v>0.86573093176895854</v>
      </c>
      <c r="F29" s="21">
        <v>42.918912630979094</v>
      </c>
      <c r="G29" s="21">
        <v>1.3500979915679521</v>
      </c>
      <c r="H29" s="21">
        <v>3.3516026928898759</v>
      </c>
      <c r="I29" s="21">
        <v>1.1080732597167724</v>
      </c>
      <c r="J29" s="21">
        <v>7.7338133164815126</v>
      </c>
      <c r="K29" s="21">
        <v>8.4071173755508148</v>
      </c>
      <c r="L29" s="21">
        <v>0.68438703959449332</v>
      </c>
      <c r="M29" s="21">
        <v>3.6106500160149628</v>
      </c>
      <c r="N29" s="21">
        <v>1.3246123663173965</v>
      </c>
      <c r="O29" s="21">
        <v>1.3945830258335286</v>
      </c>
      <c r="P29" s="21">
        <v>8.2279889503686814</v>
      </c>
      <c r="Q29" s="21">
        <v>4.2666342651022502</v>
      </c>
      <c r="R29" s="21">
        <v>5.2125863895297844</v>
      </c>
      <c r="S29" s="21">
        <v>2.9326012905180079</v>
      </c>
      <c r="T29" s="21">
        <v>-3.1360477723721401</v>
      </c>
      <c r="U29" s="22">
        <v>100</v>
      </c>
    </row>
    <row r="30" spans="1:21" x14ac:dyDescent="0.25">
      <c r="A30" s="95"/>
      <c r="B30" s="100"/>
      <c r="C30" s="16" t="s">
        <v>29</v>
      </c>
      <c r="D30" s="2">
        <v>12.141424256686101</v>
      </c>
      <c r="E30" s="2">
        <v>0.66516369706023692</v>
      </c>
      <c r="F30" s="2">
        <v>40.169051093078899</v>
      </c>
      <c r="G30" s="2">
        <v>1.1250941055838311</v>
      </c>
      <c r="H30" s="2">
        <v>3.3590518807200311</v>
      </c>
      <c r="I30" s="2">
        <v>2.3831585853847299</v>
      </c>
      <c r="J30" s="2">
        <v>6.4066049195696859</v>
      </c>
      <c r="K30" s="2">
        <v>8.5473090254165385</v>
      </c>
      <c r="L30" s="2">
        <v>1.5223857507125764</v>
      </c>
      <c r="M30" s="2">
        <v>3.8875112378521126</v>
      </c>
      <c r="N30" s="2">
        <v>1.3426462177803686</v>
      </c>
      <c r="O30" s="2">
        <v>1.3320261357179679</v>
      </c>
      <c r="P30" s="2">
        <v>8.103807888322434</v>
      </c>
      <c r="Q30" s="2">
        <v>4.1946760641922136</v>
      </c>
      <c r="R30" s="2">
        <v>3.7504795273742122</v>
      </c>
      <c r="S30" s="2">
        <v>2.8272140160555415</v>
      </c>
      <c r="T30" s="2">
        <v>-1.7576044015075023</v>
      </c>
      <c r="U30" s="23">
        <v>99.999999999999957</v>
      </c>
    </row>
    <row r="31" spans="1:21" x14ac:dyDescent="0.25">
      <c r="A31" s="95"/>
      <c r="B31" s="100"/>
      <c r="C31" s="16" t="s">
        <v>30</v>
      </c>
      <c r="D31" s="2">
        <v>6.4204135915089031</v>
      </c>
      <c r="E31" s="2">
        <v>0.5679258985010468</v>
      </c>
      <c r="F31" s="2">
        <v>42.472168852778616</v>
      </c>
      <c r="G31" s="2">
        <v>1.2862258468812477</v>
      </c>
      <c r="H31" s="2">
        <v>3.2465759893074564</v>
      </c>
      <c r="I31" s="2">
        <v>2.0650853957127784</v>
      </c>
      <c r="J31" s="2">
        <v>8.5473481039880053</v>
      </c>
      <c r="K31" s="2">
        <v>8.4007910370038612</v>
      </c>
      <c r="L31" s="2">
        <v>1.8909893403661615</v>
      </c>
      <c r="M31" s="2">
        <v>4.2467660320470486</v>
      </c>
      <c r="N31" s="2">
        <v>1.2809352493773281</v>
      </c>
      <c r="O31" s="2">
        <v>1.6329664132569848</v>
      </c>
      <c r="P31" s="2">
        <v>8.2660357543255412</v>
      </c>
      <c r="Q31" s="2">
        <v>3.8751957886973409</v>
      </c>
      <c r="R31" s="2">
        <v>2.9633688307528185</v>
      </c>
      <c r="S31" s="2">
        <v>3.0298398453859012</v>
      </c>
      <c r="T31" s="2">
        <v>-0.19263196989102765</v>
      </c>
      <c r="U31" s="23">
        <v>100</v>
      </c>
    </row>
    <row r="32" spans="1:21" x14ac:dyDescent="0.25">
      <c r="A32" s="95"/>
      <c r="B32" s="101"/>
      <c r="C32" s="28" t="s">
        <v>31</v>
      </c>
      <c r="D32" s="20">
        <v>4.0045441655011134</v>
      </c>
      <c r="E32" s="20">
        <v>0.91927856888305937</v>
      </c>
      <c r="F32" s="20">
        <v>47.814311688147079</v>
      </c>
      <c r="G32" s="20">
        <v>1.6680477520292125</v>
      </c>
      <c r="H32" s="20">
        <v>3.7765724271884098</v>
      </c>
      <c r="I32" s="20">
        <v>1.9962814077900464</v>
      </c>
      <c r="J32" s="20">
        <v>8.7138597997967366</v>
      </c>
      <c r="K32" s="20">
        <v>8.6921023494721759</v>
      </c>
      <c r="L32" s="20">
        <v>2.1797677993929372</v>
      </c>
      <c r="M32" s="20">
        <v>4.5628896323508386</v>
      </c>
      <c r="N32" s="20">
        <v>1.5301767789626157</v>
      </c>
      <c r="O32" s="20">
        <v>2.0345524714457395</v>
      </c>
      <c r="P32" s="20">
        <v>11.113026130733619</v>
      </c>
      <c r="Q32" s="20">
        <v>3.7037324965467895</v>
      </c>
      <c r="R32" s="20">
        <v>3.0023390478369434</v>
      </c>
      <c r="S32" s="20">
        <v>3.1358349892892088</v>
      </c>
      <c r="T32" s="20">
        <v>-8.8473175053665241</v>
      </c>
      <c r="U32" s="24">
        <v>100</v>
      </c>
    </row>
    <row r="33" spans="1:21" x14ac:dyDescent="0.25">
      <c r="A33" s="95"/>
      <c r="B33" s="51"/>
      <c r="C33" s="49" t="s">
        <v>51</v>
      </c>
      <c r="D33" s="26">
        <v>7.0911679868149822</v>
      </c>
      <c r="E33" s="26">
        <v>0.72715004614296841</v>
      </c>
      <c r="F33" s="26">
        <v>43.598075193843385</v>
      </c>
      <c r="G33" s="26">
        <v>0.96544563207066891</v>
      </c>
      <c r="H33" s="26">
        <v>3.5323513964737567</v>
      </c>
      <c r="I33" s="26">
        <v>1.2379146607351892</v>
      </c>
      <c r="J33" s="26">
        <v>7.0440894402509073</v>
      </c>
      <c r="K33" s="26">
        <v>7.949556362112574</v>
      </c>
      <c r="L33" s="26">
        <v>1.6589151338295189</v>
      </c>
      <c r="M33" s="26">
        <v>4.8092468798273611</v>
      </c>
      <c r="N33" s="26">
        <v>1.5274641756161196</v>
      </c>
      <c r="O33" s="26">
        <v>1.6682902060098475</v>
      </c>
      <c r="P33" s="26">
        <v>9.5384920054828761</v>
      </c>
      <c r="Q33" s="26">
        <v>3.3905534311025254</v>
      </c>
      <c r="R33" s="26">
        <v>3.5087256792526222</v>
      </c>
      <c r="S33" s="26">
        <v>3.6136687799188572</v>
      </c>
      <c r="T33" s="26">
        <v>-1.8611070094841666</v>
      </c>
      <c r="U33" s="47">
        <v>99.999999999999986</v>
      </c>
    </row>
    <row r="34" spans="1:21" x14ac:dyDescent="0.25">
      <c r="A34" s="95"/>
      <c r="B34" s="99">
        <v>2008</v>
      </c>
      <c r="C34" s="27" t="s">
        <v>28</v>
      </c>
      <c r="D34" s="21">
        <v>8.329059125388202</v>
      </c>
      <c r="E34" s="21">
        <v>0.72880585652372676</v>
      </c>
      <c r="F34" s="21">
        <v>48.777643828226374</v>
      </c>
      <c r="G34" s="21">
        <v>1.2838188091605014</v>
      </c>
      <c r="H34" s="21">
        <v>3.0550949340344209</v>
      </c>
      <c r="I34" s="21">
        <v>1.6483407825850092</v>
      </c>
      <c r="J34" s="21">
        <v>7.6802834596511342</v>
      </c>
      <c r="K34" s="21">
        <v>7.3303628221028037</v>
      </c>
      <c r="L34" s="21">
        <v>0.67637209026252132</v>
      </c>
      <c r="M34" s="21">
        <v>4.0111355811479932</v>
      </c>
      <c r="N34" s="21">
        <v>1.3058597749145375</v>
      </c>
      <c r="O34" s="21">
        <v>1.4157792518354184</v>
      </c>
      <c r="P34" s="21">
        <v>6.3518784601491616</v>
      </c>
      <c r="Q34" s="21">
        <v>3.2947956100258367</v>
      </c>
      <c r="R34" s="21">
        <v>3.2259708635151991</v>
      </c>
      <c r="S34" s="21">
        <v>2.6803343803419915</v>
      </c>
      <c r="T34" s="21">
        <v>-1.7955356298648428</v>
      </c>
      <c r="U34" s="22">
        <v>99.999999999999972</v>
      </c>
    </row>
    <row r="35" spans="1:21" x14ac:dyDescent="0.25">
      <c r="A35" s="95"/>
      <c r="B35" s="100"/>
      <c r="C35" s="16" t="s">
        <v>29</v>
      </c>
      <c r="D35" s="2">
        <v>9.6078857892264491</v>
      </c>
      <c r="E35" s="2">
        <v>0.54812324250683109</v>
      </c>
      <c r="F35" s="2">
        <v>51.11123779568031</v>
      </c>
      <c r="G35" s="2">
        <v>0.99526238758690622</v>
      </c>
      <c r="H35" s="2">
        <v>2.9965813819906635</v>
      </c>
      <c r="I35" s="2">
        <v>0.93792049623478391</v>
      </c>
      <c r="J35" s="2">
        <v>5.6451968884264074</v>
      </c>
      <c r="K35" s="2">
        <v>6.8285418691199817</v>
      </c>
      <c r="L35" s="2">
        <v>1.3731987935153716</v>
      </c>
      <c r="M35" s="2">
        <v>4.0626837441656614</v>
      </c>
      <c r="N35" s="2">
        <v>1.298977998700251</v>
      </c>
      <c r="O35" s="2">
        <v>1.2628669126659584</v>
      </c>
      <c r="P35" s="2">
        <v>6.6736767713575587</v>
      </c>
      <c r="Q35" s="2">
        <v>3.0108265954921891</v>
      </c>
      <c r="R35" s="2">
        <v>3.0826985156296058</v>
      </c>
      <c r="S35" s="2">
        <v>3.2559778884356585</v>
      </c>
      <c r="T35" s="2">
        <v>-2.6916570707345748</v>
      </c>
      <c r="U35" s="23">
        <v>100.00000000000001</v>
      </c>
    </row>
    <row r="36" spans="1:21" x14ac:dyDescent="0.25">
      <c r="A36" s="95"/>
      <c r="B36" s="100"/>
      <c r="C36" s="16" t="s">
        <v>30</v>
      </c>
      <c r="D36" s="2">
        <v>5.5354668858134453</v>
      </c>
      <c r="E36" s="2">
        <v>0.55289435876601645</v>
      </c>
      <c r="F36" s="2">
        <v>46.121018311401826</v>
      </c>
      <c r="G36" s="2">
        <v>0.98658957794305313</v>
      </c>
      <c r="H36" s="2">
        <v>3.4062961452949683</v>
      </c>
      <c r="I36" s="2">
        <v>1.1797935003798787</v>
      </c>
      <c r="J36" s="2">
        <v>6.8302171178625137</v>
      </c>
      <c r="K36" s="2">
        <v>7.7801894341996842</v>
      </c>
      <c r="L36" s="2">
        <v>1.9406576739470554</v>
      </c>
      <c r="M36" s="2">
        <v>5.0736351405628275</v>
      </c>
      <c r="N36" s="2">
        <v>1.4582306021125464</v>
      </c>
      <c r="O36" s="2">
        <v>1.6151014709384479</v>
      </c>
      <c r="P36" s="2">
        <v>9.0931644936880751</v>
      </c>
      <c r="Q36" s="2">
        <v>3.2849203469148005</v>
      </c>
      <c r="R36" s="2">
        <v>3.4005179220016926</v>
      </c>
      <c r="S36" s="2">
        <v>3.9123397704964424</v>
      </c>
      <c r="T36" s="2">
        <v>-2.1710327523232911</v>
      </c>
      <c r="U36" s="23">
        <v>100</v>
      </c>
    </row>
    <row r="37" spans="1:21" x14ac:dyDescent="0.25">
      <c r="A37" s="95"/>
      <c r="B37" s="101"/>
      <c r="C37" s="28" t="s">
        <v>31</v>
      </c>
      <c r="D37" s="20">
        <v>4.3928163684000436</v>
      </c>
      <c r="E37" s="20">
        <v>1.1684572984108106</v>
      </c>
      <c r="F37" s="20">
        <v>25.09974213513604</v>
      </c>
      <c r="G37" s="20">
        <v>0.5463758143872649</v>
      </c>
      <c r="H37" s="20">
        <v>4.9057259780268323</v>
      </c>
      <c r="I37" s="20">
        <v>1.2361758337332436</v>
      </c>
      <c r="J37" s="20">
        <v>8.3902307127295703</v>
      </c>
      <c r="K37" s="20">
        <v>10.284446504914342</v>
      </c>
      <c r="L37" s="20">
        <v>2.7750165782747347</v>
      </c>
      <c r="M37" s="20">
        <v>6.3317430546194142</v>
      </c>
      <c r="N37" s="20">
        <v>2.1522810818189</v>
      </c>
      <c r="O37" s="20">
        <v>2.5346879241959228</v>
      </c>
      <c r="P37" s="20">
        <v>17.30916320334833</v>
      </c>
      <c r="Q37" s="20">
        <v>4.1135720187892115</v>
      </c>
      <c r="R37" s="20">
        <v>4.5027145630764958</v>
      </c>
      <c r="S37" s="20">
        <v>4.7464124153775309</v>
      </c>
      <c r="T37" s="20">
        <v>-0.48956148523869086</v>
      </c>
      <c r="U37" s="24">
        <v>100</v>
      </c>
    </row>
    <row r="38" spans="1:21" x14ac:dyDescent="0.25">
      <c r="A38" s="95"/>
      <c r="B38" s="51"/>
      <c r="C38" s="49" t="s">
        <v>51</v>
      </c>
      <c r="D38" s="26">
        <v>9.4112387107767042</v>
      </c>
      <c r="E38" s="26">
        <v>0.95490874652338664</v>
      </c>
      <c r="F38" s="26">
        <v>23.710435707092252</v>
      </c>
      <c r="G38" s="26">
        <v>0.61277343360455272</v>
      </c>
      <c r="H38" s="26">
        <v>4.9754530946028197</v>
      </c>
      <c r="I38" s="26">
        <v>1.5064299642723009</v>
      </c>
      <c r="J38" s="26">
        <v>10.374639143248402</v>
      </c>
      <c r="K38" s="26">
        <v>10.940867011015978</v>
      </c>
      <c r="L38" s="26">
        <v>2.3139242782866742</v>
      </c>
      <c r="M38" s="26">
        <v>6.1845779357914941</v>
      </c>
      <c r="N38" s="26">
        <v>2.1164525892322246</v>
      </c>
      <c r="O38" s="26">
        <v>2.247527247246305</v>
      </c>
      <c r="P38" s="26">
        <v>13.302120141010192</v>
      </c>
      <c r="Q38" s="26">
        <v>4.6772936684712922</v>
      </c>
      <c r="R38" s="26">
        <v>4.6670450823776557</v>
      </c>
      <c r="S38" s="26">
        <v>4.1327640064119304</v>
      </c>
      <c r="T38" s="26">
        <v>-2.1284507599641778</v>
      </c>
      <c r="U38" s="47">
        <v>100</v>
      </c>
    </row>
    <row r="39" spans="1:21" x14ac:dyDescent="0.25">
      <c r="A39" s="95"/>
      <c r="B39" s="99">
        <v>2009</v>
      </c>
      <c r="C39" s="27" t="s">
        <v>28</v>
      </c>
      <c r="D39" s="21">
        <v>11.88843016747192</v>
      </c>
      <c r="E39" s="21">
        <v>1.0738013918374116</v>
      </c>
      <c r="F39" s="21">
        <v>19.68773593288546</v>
      </c>
      <c r="G39" s="21">
        <v>0.53336747499655568</v>
      </c>
      <c r="H39" s="21">
        <v>4.8550022017274497</v>
      </c>
      <c r="I39" s="21">
        <v>1.3305450584721323</v>
      </c>
      <c r="J39" s="21">
        <v>11.501637514955814</v>
      </c>
      <c r="K39" s="21">
        <v>11.005620056719787</v>
      </c>
      <c r="L39" s="21">
        <v>1.1067071359352165</v>
      </c>
      <c r="M39" s="21">
        <v>6.1708199622343098</v>
      </c>
      <c r="N39" s="21">
        <v>2.1951963804824888</v>
      </c>
      <c r="O39" s="21">
        <v>2.1418244302756779</v>
      </c>
      <c r="P39" s="21">
        <v>12.41055867783361</v>
      </c>
      <c r="Q39" s="21">
        <v>4.2740231311856718</v>
      </c>
      <c r="R39" s="21">
        <v>5.2685188027417249</v>
      </c>
      <c r="S39" s="21">
        <v>5.2352138005751367</v>
      </c>
      <c r="T39" s="21">
        <v>-0.67900212033035146</v>
      </c>
      <c r="U39" s="22">
        <v>100</v>
      </c>
    </row>
    <row r="40" spans="1:21" x14ac:dyDescent="0.25">
      <c r="A40" s="95"/>
      <c r="B40" s="100"/>
      <c r="C40" s="16" t="s">
        <v>29</v>
      </c>
      <c r="D40" s="2">
        <v>13.970343140357947</v>
      </c>
      <c r="E40" s="2">
        <v>0.82611612426261083</v>
      </c>
      <c r="F40" s="2">
        <v>21.865707931158155</v>
      </c>
      <c r="G40" s="2">
        <v>0.63457059552713702</v>
      </c>
      <c r="H40" s="2">
        <v>4.8087087879621668</v>
      </c>
      <c r="I40" s="2">
        <v>1.5784990802353676</v>
      </c>
      <c r="J40" s="2">
        <v>9.8870548422917857</v>
      </c>
      <c r="K40" s="2">
        <v>10.555393916690621</v>
      </c>
      <c r="L40" s="2">
        <v>2.2080859020163297</v>
      </c>
      <c r="M40" s="2">
        <v>5.9410672976211023</v>
      </c>
      <c r="N40" s="2">
        <v>2.1053989894813516</v>
      </c>
      <c r="O40" s="2">
        <v>1.8521043088498845</v>
      </c>
      <c r="P40" s="2">
        <v>11.789901979699444</v>
      </c>
      <c r="Q40" s="2">
        <v>4.8481023623090991</v>
      </c>
      <c r="R40" s="2">
        <v>4.6246378066288436</v>
      </c>
      <c r="S40" s="2">
        <v>3.694448942368727</v>
      </c>
      <c r="T40" s="2">
        <v>-1.1901420074605722</v>
      </c>
      <c r="U40" s="23">
        <v>100.00000000000003</v>
      </c>
    </row>
    <row r="41" spans="1:21" x14ac:dyDescent="0.25">
      <c r="A41" s="95"/>
      <c r="B41" s="100"/>
      <c r="C41" s="16" t="s">
        <v>30</v>
      </c>
      <c r="D41" s="2">
        <v>7.8261174155057605</v>
      </c>
      <c r="E41" s="2">
        <v>0.75231178562593581</v>
      </c>
      <c r="F41" s="2">
        <v>24.034948139986916</v>
      </c>
      <c r="G41" s="2">
        <v>0.60333122685690443</v>
      </c>
      <c r="H41" s="2">
        <v>4.986115743652288</v>
      </c>
      <c r="I41" s="2">
        <v>1.5859689317929921</v>
      </c>
      <c r="J41" s="2">
        <v>10.687352482244192</v>
      </c>
      <c r="K41" s="2">
        <v>11.19338615605643</v>
      </c>
      <c r="L41" s="2">
        <v>2.7559695169313114</v>
      </c>
      <c r="M41" s="2">
        <v>6.5261042737889037</v>
      </c>
      <c r="N41" s="2">
        <v>2.0710395035169262</v>
      </c>
      <c r="O41" s="2">
        <v>2.6338392116784592</v>
      </c>
      <c r="P41" s="2">
        <v>11.727366850560749</v>
      </c>
      <c r="Q41" s="2">
        <v>5.042563403987832</v>
      </c>
      <c r="R41" s="2">
        <v>4.4999254982085226</v>
      </c>
      <c r="S41" s="2">
        <v>4.2087618924327517</v>
      </c>
      <c r="T41" s="2">
        <v>-1.1351020328268973</v>
      </c>
      <c r="U41" s="23">
        <v>100</v>
      </c>
    </row>
    <row r="42" spans="1:21" x14ac:dyDescent="0.25">
      <c r="A42" s="95"/>
      <c r="B42" s="101"/>
      <c r="C42" s="28" t="s">
        <v>31</v>
      </c>
      <c r="D42" s="20">
        <v>4.8719577572916437</v>
      </c>
      <c r="E42" s="20">
        <v>1.1579951434074762</v>
      </c>
      <c r="F42" s="20">
        <v>28.219537001794343</v>
      </c>
      <c r="G42" s="20">
        <v>0.66482631143103454</v>
      </c>
      <c r="H42" s="20">
        <v>5.2078926980738416</v>
      </c>
      <c r="I42" s="20">
        <v>1.5097908987879132</v>
      </c>
      <c r="J42" s="20">
        <v>9.6311082762579847</v>
      </c>
      <c r="K42" s="20">
        <v>11.000794722579109</v>
      </c>
      <c r="L42" s="20">
        <v>2.960337026360977</v>
      </c>
      <c r="M42" s="20">
        <v>6.1007850607077883</v>
      </c>
      <c r="N42" s="20">
        <v>2.1051301628877894</v>
      </c>
      <c r="O42" s="20">
        <v>2.3296860800434831</v>
      </c>
      <c r="P42" s="20">
        <v>16.765190877830229</v>
      </c>
      <c r="Q42" s="20">
        <v>4.5144570527906813</v>
      </c>
      <c r="R42" s="20">
        <v>4.3807294282527369</v>
      </c>
      <c r="S42" s="20">
        <v>3.5795644996917506</v>
      </c>
      <c r="T42" s="20">
        <v>-4.9997829981887554</v>
      </c>
      <c r="U42" s="24">
        <v>100.00000000000003</v>
      </c>
    </row>
    <row r="43" spans="1:21" x14ac:dyDescent="0.25">
      <c r="A43" s="95"/>
      <c r="B43" s="51"/>
      <c r="C43" s="49" t="s">
        <v>51</v>
      </c>
      <c r="D43" s="26">
        <v>9.2514260335750738</v>
      </c>
      <c r="E43" s="26">
        <v>0.8398808252902864</v>
      </c>
      <c r="F43" s="26">
        <v>32.854110474524042</v>
      </c>
      <c r="G43" s="26">
        <v>0.75943886328431032</v>
      </c>
      <c r="H43" s="26">
        <v>4.4872288556216642</v>
      </c>
      <c r="I43" s="26">
        <v>1.221808309453714</v>
      </c>
      <c r="J43" s="26">
        <v>9.39620787277887</v>
      </c>
      <c r="K43" s="26">
        <v>10.197684811450051</v>
      </c>
      <c r="L43" s="26">
        <v>2.2935634597015624</v>
      </c>
      <c r="M43" s="26">
        <v>5.382289553358274</v>
      </c>
      <c r="N43" s="26">
        <v>1.6826217698703176</v>
      </c>
      <c r="O43" s="26">
        <v>1.9218979100061964</v>
      </c>
      <c r="P43" s="26">
        <v>10.445629009504305</v>
      </c>
      <c r="Q43" s="26">
        <v>4.0008895585751807</v>
      </c>
      <c r="R43" s="26">
        <v>4.3126637471598395</v>
      </c>
      <c r="S43" s="26">
        <v>3.3577219397052458</v>
      </c>
      <c r="T43" s="26">
        <v>-2.405062993858913</v>
      </c>
      <c r="U43" s="47">
        <v>100.00000000000001</v>
      </c>
    </row>
    <row r="44" spans="1:21" x14ac:dyDescent="0.25">
      <c r="A44" s="95"/>
      <c r="B44" s="99">
        <v>2010</v>
      </c>
      <c r="C44" s="27" t="s">
        <v>28</v>
      </c>
      <c r="D44" s="21">
        <v>11.227491631728695</v>
      </c>
      <c r="E44" s="21">
        <v>0.85291958611204022</v>
      </c>
      <c r="F44" s="21">
        <v>32.481504569556598</v>
      </c>
      <c r="G44" s="21">
        <v>0.650644492659604</v>
      </c>
      <c r="H44" s="21">
        <v>4.0999022914310812</v>
      </c>
      <c r="I44" s="21">
        <v>1.372040822363338</v>
      </c>
      <c r="J44" s="21">
        <v>10.185496696465583</v>
      </c>
      <c r="K44" s="21">
        <v>9.4737153615439293</v>
      </c>
      <c r="L44" s="21">
        <v>0.97337302184060581</v>
      </c>
      <c r="M44" s="21">
        <v>4.9844807466560637</v>
      </c>
      <c r="N44" s="21">
        <v>1.5638300242060137</v>
      </c>
      <c r="O44" s="21">
        <v>1.8762435017258674</v>
      </c>
      <c r="P44" s="21">
        <v>9.33607138051112</v>
      </c>
      <c r="Q44" s="21">
        <v>4.0254939418253883</v>
      </c>
      <c r="R44" s="21">
        <v>4.3095959786582965</v>
      </c>
      <c r="S44" s="21">
        <v>2.6990022052700549</v>
      </c>
      <c r="T44" s="21">
        <v>-0.1118062525542794</v>
      </c>
      <c r="U44" s="22">
        <v>99.999999999999972</v>
      </c>
    </row>
    <row r="45" spans="1:21" x14ac:dyDescent="0.25">
      <c r="A45" s="95"/>
      <c r="B45" s="100"/>
      <c r="C45" s="16" t="s">
        <v>29</v>
      </c>
      <c r="D45" s="2">
        <v>13.507798219269182</v>
      </c>
      <c r="E45" s="2">
        <v>0.67760756612088158</v>
      </c>
      <c r="F45" s="2">
        <v>32.007947835759282</v>
      </c>
      <c r="G45" s="2">
        <v>0.69629646407783219</v>
      </c>
      <c r="H45" s="2">
        <v>4.1672049235956177</v>
      </c>
      <c r="I45" s="2">
        <v>1.114960684762873</v>
      </c>
      <c r="J45" s="2">
        <v>8.6425306884300515</v>
      </c>
      <c r="K45" s="2">
        <v>9.3173885529173308</v>
      </c>
      <c r="L45" s="2">
        <v>2.0438752856465507</v>
      </c>
      <c r="M45" s="2">
        <v>4.8189230306959061</v>
      </c>
      <c r="N45" s="2">
        <v>1.4639255988388828</v>
      </c>
      <c r="O45" s="2">
        <v>1.6267405271998012</v>
      </c>
      <c r="P45" s="2">
        <v>9.3371463777517452</v>
      </c>
      <c r="Q45" s="2">
        <v>3.960027448827641</v>
      </c>
      <c r="R45" s="2">
        <v>4.0668519510943275</v>
      </c>
      <c r="S45" s="2">
        <v>2.90430315474087</v>
      </c>
      <c r="T45" s="2">
        <v>-0.35352830972874083</v>
      </c>
      <c r="U45" s="23">
        <v>100.00000000000003</v>
      </c>
    </row>
    <row r="46" spans="1:21" x14ac:dyDescent="0.25">
      <c r="A46" s="95"/>
      <c r="B46" s="100"/>
      <c r="C46" s="16" t="s">
        <v>30</v>
      </c>
      <c r="D46" s="2">
        <v>7.4947715112077153</v>
      </c>
      <c r="E46" s="2">
        <v>0.65824214901718103</v>
      </c>
      <c r="F46" s="2">
        <v>32.283427537719106</v>
      </c>
      <c r="G46" s="2">
        <v>0.76761040960626692</v>
      </c>
      <c r="H46" s="2">
        <v>4.4157493149299221</v>
      </c>
      <c r="I46" s="2">
        <v>1.1459674290741344</v>
      </c>
      <c r="J46" s="2">
        <v>9.673525858984771</v>
      </c>
      <c r="K46" s="2">
        <v>10.28931677327739</v>
      </c>
      <c r="L46" s="2">
        <v>2.7038384972239911</v>
      </c>
      <c r="M46" s="2">
        <v>5.6166188851363366</v>
      </c>
      <c r="N46" s="2">
        <v>1.5593344086671546</v>
      </c>
      <c r="O46" s="2">
        <v>1.7255260394372554</v>
      </c>
      <c r="P46" s="2">
        <v>9.892793074902718</v>
      </c>
      <c r="Q46" s="2">
        <v>4.0416425364230344</v>
      </c>
      <c r="R46" s="2">
        <v>4.1968371630511685</v>
      </c>
      <c r="S46" s="2">
        <v>3.7546052407185559</v>
      </c>
      <c r="T46" s="2">
        <v>-0.21980682937673313</v>
      </c>
      <c r="U46" s="23">
        <v>99.999999999999986</v>
      </c>
    </row>
    <row r="47" spans="1:21" x14ac:dyDescent="0.25">
      <c r="A47" s="95"/>
      <c r="B47" s="101"/>
      <c r="C47" s="28" t="s">
        <v>31</v>
      </c>
      <c r="D47" s="20">
        <v>4.9773446268886756</v>
      </c>
      <c r="E47" s="20">
        <v>1.1740062996239948</v>
      </c>
      <c r="F47" s="20">
        <v>34.615261360109059</v>
      </c>
      <c r="G47" s="20">
        <v>0.91297128415486628</v>
      </c>
      <c r="H47" s="20">
        <v>5.2307565013949651</v>
      </c>
      <c r="I47" s="20">
        <v>1.2691818894523135</v>
      </c>
      <c r="J47" s="20">
        <v>9.154466885598147</v>
      </c>
      <c r="K47" s="20">
        <v>11.642041967026769</v>
      </c>
      <c r="L47" s="20">
        <v>3.325399476556421</v>
      </c>
      <c r="M47" s="20">
        <v>6.0696755405308274</v>
      </c>
      <c r="N47" s="20">
        <v>2.1337186238221997</v>
      </c>
      <c r="O47" s="20">
        <v>2.4570664397359701</v>
      </c>
      <c r="P47" s="20">
        <v>13.119214920103342</v>
      </c>
      <c r="Q47" s="20">
        <v>3.9782759780646773</v>
      </c>
      <c r="R47" s="20">
        <v>4.6784468891556932</v>
      </c>
      <c r="S47" s="20">
        <v>4.00731339400153</v>
      </c>
      <c r="T47" s="20">
        <v>-8.7451420762194374</v>
      </c>
      <c r="U47" s="24">
        <v>100.00000000000001</v>
      </c>
    </row>
    <row r="48" spans="1:21" x14ac:dyDescent="0.25">
      <c r="A48" s="95"/>
      <c r="B48" s="51"/>
      <c r="C48" s="49" t="s">
        <v>51</v>
      </c>
      <c r="D48" s="26">
        <v>8.7088244526897753</v>
      </c>
      <c r="E48" s="26">
        <v>0.84748156947465758</v>
      </c>
      <c r="F48" s="26">
        <v>37.968037244931601</v>
      </c>
      <c r="G48" s="26">
        <v>0.71021788048642398</v>
      </c>
      <c r="H48" s="26">
        <v>4.1780850578871735</v>
      </c>
      <c r="I48" s="26">
        <v>0.94115556373139453</v>
      </c>
      <c r="J48" s="26">
        <v>8.5034204387259997</v>
      </c>
      <c r="K48" s="26">
        <v>9.6855674143260266</v>
      </c>
      <c r="L48" s="26">
        <v>2.2411903839281346</v>
      </c>
      <c r="M48" s="26">
        <v>4.7167221932259187</v>
      </c>
      <c r="N48" s="26">
        <v>2.3435644746776134</v>
      </c>
      <c r="O48" s="26">
        <v>1.7349033682640413</v>
      </c>
      <c r="P48" s="26">
        <v>9.8091713057179639</v>
      </c>
      <c r="Q48" s="26">
        <v>3.2088343679732811</v>
      </c>
      <c r="R48" s="26">
        <v>3.9576085994884354</v>
      </c>
      <c r="S48" s="26">
        <v>2.6319072542767534</v>
      </c>
      <c r="T48" s="26">
        <v>-2.1866915698052054</v>
      </c>
      <c r="U48" s="47">
        <v>99.999999999999986</v>
      </c>
    </row>
    <row r="49" spans="1:21" x14ac:dyDescent="0.25">
      <c r="A49" s="95"/>
      <c r="B49" s="99">
        <v>2011</v>
      </c>
      <c r="C49" s="27" t="s">
        <v>28</v>
      </c>
      <c r="D49" s="21">
        <v>10.596626145276066</v>
      </c>
      <c r="E49" s="21">
        <v>0.85856055154036548</v>
      </c>
      <c r="F49" s="21">
        <v>37.335249112226407</v>
      </c>
      <c r="G49" s="21">
        <v>0.69669326679953414</v>
      </c>
      <c r="H49" s="21">
        <v>3.8964155776274323</v>
      </c>
      <c r="I49" s="21">
        <v>1.0886897295118956</v>
      </c>
      <c r="J49" s="21">
        <v>8.6737386370285865</v>
      </c>
      <c r="K49" s="21">
        <v>9.2824771698789004</v>
      </c>
      <c r="L49" s="21">
        <v>1.0419546446859229</v>
      </c>
      <c r="M49" s="21">
        <v>4.4297346249830367</v>
      </c>
      <c r="N49" s="21">
        <v>1.8965046739724001</v>
      </c>
      <c r="O49" s="21">
        <v>1.8672731977469281</v>
      </c>
      <c r="P49" s="21">
        <v>8.4960806941623552</v>
      </c>
      <c r="Q49" s="21">
        <v>3.2611953874052144</v>
      </c>
      <c r="R49" s="21">
        <v>4.1605457969438993</v>
      </c>
      <c r="S49" s="21">
        <v>2.5408104458786736</v>
      </c>
      <c r="T49" s="21">
        <v>-0.12254965566760119</v>
      </c>
      <c r="U49" s="22">
        <v>100.00000000000001</v>
      </c>
    </row>
    <row r="50" spans="1:21" x14ac:dyDescent="0.25">
      <c r="A50" s="95"/>
      <c r="B50" s="100"/>
      <c r="C50" s="16" t="s">
        <v>29</v>
      </c>
      <c r="D50" s="2">
        <v>13.044117729722871</v>
      </c>
      <c r="E50" s="2">
        <v>0.72507433364075213</v>
      </c>
      <c r="F50" s="2">
        <v>35.926981607602407</v>
      </c>
      <c r="G50" s="2">
        <v>0.78019083401298117</v>
      </c>
      <c r="H50" s="2">
        <v>4.0617044328217267</v>
      </c>
      <c r="I50" s="2">
        <v>0.96515203405586791</v>
      </c>
      <c r="J50" s="2">
        <v>7.5147483679704692</v>
      </c>
      <c r="K50" s="2">
        <v>9.293282238388203</v>
      </c>
      <c r="L50" s="2">
        <v>2.1597840248077729</v>
      </c>
      <c r="M50" s="2">
        <v>4.3566154898734304</v>
      </c>
      <c r="N50" s="2">
        <v>2.2192740272503197</v>
      </c>
      <c r="O50" s="2">
        <v>1.2754675782008487</v>
      </c>
      <c r="P50" s="2">
        <v>8.0043150642568648</v>
      </c>
      <c r="Q50" s="2">
        <v>3.1540356407456769</v>
      </c>
      <c r="R50" s="2">
        <v>3.8956281623542699</v>
      </c>
      <c r="S50" s="2">
        <v>2.7336079359345939</v>
      </c>
      <c r="T50" s="2">
        <v>-0.10997950163909286</v>
      </c>
      <c r="U50" s="23">
        <v>100</v>
      </c>
    </row>
    <row r="51" spans="1:21" x14ac:dyDescent="0.25">
      <c r="A51" s="95"/>
      <c r="B51" s="100"/>
      <c r="C51" s="16" t="s">
        <v>30</v>
      </c>
      <c r="D51" s="2">
        <v>6.9500670490770675</v>
      </c>
      <c r="E51" s="2">
        <v>0.66498197433134743</v>
      </c>
      <c r="F51" s="2">
        <v>38.232535632005138</v>
      </c>
      <c r="G51" s="2">
        <v>0.69798320516777279</v>
      </c>
      <c r="H51" s="2">
        <v>4.0963109991007336</v>
      </c>
      <c r="I51" s="2">
        <v>0.86807795388907127</v>
      </c>
      <c r="J51" s="2">
        <v>8.6211402114293936</v>
      </c>
      <c r="K51" s="2">
        <v>9.6415033757417152</v>
      </c>
      <c r="L51" s="2">
        <v>2.6274632580567241</v>
      </c>
      <c r="M51" s="2">
        <v>4.8744438690119534</v>
      </c>
      <c r="N51" s="2">
        <v>2.3648670826330109</v>
      </c>
      <c r="O51" s="2">
        <v>1.8156722004439088</v>
      </c>
      <c r="P51" s="2">
        <v>9.2517610781268793</v>
      </c>
      <c r="Q51" s="2">
        <v>3.1439100780246054</v>
      </c>
      <c r="R51" s="2">
        <v>3.7600633740640004</v>
      </c>
      <c r="S51" s="2">
        <v>2.5971587577878141</v>
      </c>
      <c r="T51" s="2">
        <v>-0.20794009889113946</v>
      </c>
      <c r="U51" s="23">
        <v>100</v>
      </c>
    </row>
    <row r="52" spans="1:21" x14ac:dyDescent="0.25">
      <c r="A52" s="95"/>
      <c r="B52" s="101"/>
      <c r="C52" s="28" t="s">
        <v>31</v>
      </c>
      <c r="D52" s="20">
        <v>4.6420114833340627</v>
      </c>
      <c r="E52" s="20">
        <v>1.1388237722745833</v>
      </c>
      <c r="F52" s="20">
        <v>40.222543488144808</v>
      </c>
      <c r="G52" s="20">
        <v>0.6674120053239746</v>
      </c>
      <c r="H52" s="20">
        <v>4.62238614491568</v>
      </c>
      <c r="I52" s="20">
        <v>0.86059679119645482</v>
      </c>
      <c r="J52" s="20">
        <v>9.1822225063683263</v>
      </c>
      <c r="K52" s="20">
        <v>10.464543986029867</v>
      </c>
      <c r="L52" s="20">
        <v>2.9961080395203532</v>
      </c>
      <c r="M52" s="20">
        <v>5.1584994034473581</v>
      </c>
      <c r="N52" s="20">
        <v>2.8386544668761582</v>
      </c>
      <c r="O52" s="20">
        <v>1.9768059307848016</v>
      </c>
      <c r="P52" s="20">
        <v>13.269042194327138</v>
      </c>
      <c r="Q52" s="20">
        <v>3.2802488387908215</v>
      </c>
      <c r="R52" s="20">
        <v>4.035623442604499</v>
      </c>
      <c r="S52" s="20">
        <v>2.6502571099772809</v>
      </c>
      <c r="T52" s="20">
        <v>-8.0057796039161655</v>
      </c>
      <c r="U52" s="24">
        <v>100.00000000000001</v>
      </c>
    </row>
    <row r="53" spans="1:21" s="48" customFormat="1" x14ac:dyDescent="0.25">
      <c r="A53" s="95"/>
      <c r="B53" s="51"/>
      <c r="C53" s="49" t="s">
        <v>51</v>
      </c>
      <c r="D53" s="26">
        <v>8.7431056528905415</v>
      </c>
      <c r="E53" s="26">
        <v>0.95387367077552854</v>
      </c>
      <c r="F53" s="26">
        <v>36.479792609544106</v>
      </c>
      <c r="G53" s="26">
        <v>0.59664251608939201</v>
      </c>
      <c r="H53" s="26">
        <v>4.3619180251915104</v>
      </c>
      <c r="I53" s="26">
        <v>0.8894116851400905</v>
      </c>
      <c r="J53" s="26">
        <v>11.156754361431878</v>
      </c>
      <c r="K53" s="26">
        <v>10.024801158746486</v>
      </c>
      <c r="L53" s="26">
        <v>2.0474392689585263</v>
      </c>
      <c r="M53" s="26">
        <v>4.6159463591684213</v>
      </c>
      <c r="N53" s="26">
        <v>2.2142325780713632</v>
      </c>
      <c r="O53" s="26">
        <v>1.6968744309435058</v>
      </c>
      <c r="P53" s="26">
        <v>9.969092294306396</v>
      </c>
      <c r="Q53" s="26">
        <v>3.5000726059845451</v>
      </c>
      <c r="R53" s="26">
        <v>3.9610203862129976</v>
      </c>
      <c r="S53" s="26">
        <v>2.3059236146766171</v>
      </c>
      <c r="T53" s="26">
        <v>-3.5169012181318773</v>
      </c>
      <c r="U53" s="47">
        <v>100.00000000000001</v>
      </c>
    </row>
    <row r="54" spans="1:21" x14ac:dyDescent="0.25">
      <c r="A54" s="95"/>
      <c r="B54" s="99">
        <v>2012</v>
      </c>
      <c r="C54" s="27" t="s">
        <v>28</v>
      </c>
      <c r="D54" s="21">
        <v>9.0386451486748864</v>
      </c>
      <c r="E54" s="21">
        <v>0.80060563000807317</v>
      </c>
      <c r="F54" s="21">
        <v>40.03705833169456</v>
      </c>
      <c r="G54" s="21">
        <v>0.61650333397296331</v>
      </c>
      <c r="H54" s="21">
        <v>3.4287793289061388</v>
      </c>
      <c r="I54" s="21">
        <v>0.93626787874024409</v>
      </c>
      <c r="J54" s="21">
        <v>10.021882929748156</v>
      </c>
      <c r="K54" s="21">
        <v>9.2480642134959901</v>
      </c>
      <c r="L54" s="21">
        <v>0.89228016939320276</v>
      </c>
      <c r="M54" s="21">
        <v>4.2293350195235933</v>
      </c>
      <c r="N54" s="21">
        <v>2.128958294011809</v>
      </c>
      <c r="O54" s="21">
        <v>1.5596610992375066</v>
      </c>
      <c r="P54" s="21">
        <v>8.0095212613927398</v>
      </c>
      <c r="Q54" s="21">
        <v>3.2507722293322709</v>
      </c>
      <c r="R54" s="21">
        <v>3.9986434347274447</v>
      </c>
      <c r="S54" s="21">
        <v>2.00795094965794</v>
      </c>
      <c r="T54" s="21">
        <v>-0.20492925251752472</v>
      </c>
      <c r="U54" s="22">
        <v>99.999999999999972</v>
      </c>
    </row>
    <row r="55" spans="1:21" x14ac:dyDescent="0.25">
      <c r="A55" s="95"/>
      <c r="B55" s="100"/>
      <c r="C55" s="16" t="s">
        <v>29</v>
      </c>
      <c r="D55" s="2">
        <v>12.425409886529234</v>
      </c>
      <c r="E55" s="2">
        <v>0.72143018190299257</v>
      </c>
      <c r="F55" s="2">
        <v>34.525890719591303</v>
      </c>
      <c r="G55" s="2">
        <v>0.61230712910616547</v>
      </c>
      <c r="H55" s="2">
        <v>3.8514517122895615</v>
      </c>
      <c r="I55" s="2">
        <v>0.9085448716810014</v>
      </c>
      <c r="J55" s="2">
        <v>10.218175485439335</v>
      </c>
      <c r="K55" s="2">
        <v>9.6583657360151509</v>
      </c>
      <c r="L55" s="2">
        <v>1.9082269867414785</v>
      </c>
      <c r="M55" s="2">
        <v>4.4196702622368615</v>
      </c>
      <c r="N55" s="2">
        <v>2.1257268752261655</v>
      </c>
      <c r="O55" s="2">
        <v>1.4226682562686332</v>
      </c>
      <c r="P55" s="2">
        <v>7.654975488722422</v>
      </c>
      <c r="Q55" s="2">
        <v>3.4656879653972386</v>
      </c>
      <c r="R55" s="2">
        <v>3.9143758986168784</v>
      </c>
      <c r="S55" s="2">
        <v>2.385879955921911</v>
      </c>
      <c r="T55" s="2">
        <v>-0.21878741168636409</v>
      </c>
      <c r="U55" s="23">
        <v>99.999999999999986</v>
      </c>
    </row>
    <row r="56" spans="1:21" x14ac:dyDescent="0.25">
      <c r="A56" s="95"/>
      <c r="B56" s="100"/>
      <c r="C56" s="16" t="s">
        <v>30</v>
      </c>
      <c r="D56" s="2">
        <v>7.4884051068931869</v>
      </c>
      <c r="E56" s="2">
        <v>0.74358243152216486</v>
      </c>
      <c r="F56" s="2">
        <v>33.745558289735797</v>
      </c>
      <c r="G56" s="2">
        <v>0.51811688387472699</v>
      </c>
      <c r="H56" s="2">
        <v>4.3171572258494075</v>
      </c>
      <c r="I56" s="2">
        <v>0.83768643731545722</v>
      </c>
      <c r="J56" s="2">
        <v>11.953694455651402</v>
      </c>
      <c r="K56" s="2">
        <v>9.9984187625864553</v>
      </c>
      <c r="L56" s="2">
        <v>2.3775698310260869</v>
      </c>
      <c r="M56" s="2">
        <v>4.8451504175568818</v>
      </c>
      <c r="N56" s="2">
        <v>2.0564158581518601</v>
      </c>
      <c r="O56" s="2">
        <v>1.9764470565449297</v>
      </c>
      <c r="P56" s="2">
        <v>9.9165195689212897</v>
      </c>
      <c r="Q56" s="2">
        <v>3.5244616489989387</v>
      </c>
      <c r="R56" s="2">
        <v>3.76006592130679</v>
      </c>
      <c r="S56" s="2">
        <v>2.1771909197042136</v>
      </c>
      <c r="T56" s="2">
        <v>-0.23644081563957217</v>
      </c>
      <c r="U56" s="23">
        <v>100.00000000000003</v>
      </c>
    </row>
    <row r="57" spans="1:21" x14ac:dyDescent="0.25">
      <c r="A57" s="95"/>
      <c r="B57" s="101"/>
      <c r="C57" s="28" t="s">
        <v>31</v>
      </c>
      <c r="D57" s="20">
        <v>5.9509265627449723</v>
      </c>
      <c r="E57" s="20">
        <v>1.5769429888166506</v>
      </c>
      <c r="F57" s="20">
        <v>37.760488780010434</v>
      </c>
      <c r="G57" s="20">
        <v>0.64356413531356527</v>
      </c>
      <c r="H57" s="20">
        <v>5.8999263502403814</v>
      </c>
      <c r="I57" s="20">
        <v>0.87641159180398065</v>
      </c>
      <c r="J57" s="20">
        <v>12.450583456496956</v>
      </c>
      <c r="K57" s="20">
        <v>11.232716931688007</v>
      </c>
      <c r="L57" s="20">
        <v>3.0290914909054756</v>
      </c>
      <c r="M57" s="20">
        <v>4.9735163028025067</v>
      </c>
      <c r="N57" s="20">
        <v>2.5619660487577409</v>
      </c>
      <c r="O57" s="20">
        <v>1.8251100879013156</v>
      </c>
      <c r="P57" s="20">
        <v>14.444802595008616</v>
      </c>
      <c r="Q57" s="20">
        <v>3.7663375629279141</v>
      </c>
      <c r="R57" s="20">
        <v>4.1847583756113593</v>
      </c>
      <c r="S57" s="20">
        <v>2.6665912417932378</v>
      </c>
      <c r="T57" s="20">
        <v>-13.843734502823125</v>
      </c>
      <c r="U57" s="24">
        <v>99.999999999999986</v>
      </c>
    </row>
    <row r="58" spans="1:21" s="48" customFormat="1" x14ac:dyDescent="0.25">
      <c r="A58" s="95"/>
      <c r="B58" s="51"/>
      <c r="C58" s="49" t="s">
        <v>51</v>
      </c>
      <c r="D58" s="26">
        <v>9.2997946670009135</v>
      </c>
      <c r="E58" s="26">
        <v>1.0297560364395386</v>
      </c>
      <c r="F58" s="26">
        <v>31.681251282120726</v>
      </c>
      <c r="G58" s="26">
        <v>0.59085048798252471</v>
      </c>
      <c r="H58" s="26">
        <v>4.779643733540909</v>
      </c>
      <c r="I58" s="26">
        <v>1.0252136547314716</v>
      </c>
      <c r="J58" s="26">
        <v>12.440718577593618</v>
      </c>
      <c r="K58" s="26">
        <v>10.750961174830145</v>
      </c>
      <c r="L58" s="26">
        <v>2.476105306986621</v>
      </c>
      <c r="M58" s="26">
        <v>4.6498672018884637</v>
      </c>
      <c r="N58" s="26">
        <v>2.3995607307982154</v>
      </c>
      <c r="O58" s="26">
        <v>1.6321190398894427</v>
      </c>
      <c r="P58" s="26">
        <v>10.787669412060279</v>
      </c>
      <c r="Q58" s="26">
        <v>3.5464965621669577</v>
      </c>
      <c r="R58" s="26">
        <v>4.1159613295501609</v>
      </c>
      <c r="S58" s="26">
        <v>2.5196013415991017</v>
      </c>
      <c r="T58" s="26">
        <v>-3.7255705391791163</v>
      </c>
      <c r="U58" s="47">
        <v>100</v>
      </c>
    </row>
    <row r="59" spans="1:21" x14ac:dyDescent="0.25">
      <c r="A59" s="95"/>
      <c r="B59" s="99">
        <v>2013</v>
      </c>
      <c r="C59" s="27" t="s">
        <v>28</v>
      </c>
      <c r="D59" s="21">
        <v>10.480520179078145</v>
      </c>
      <c r="E59" s="21">
        <v>0.92773781349723938</v>
      </c>
      <c r="F59" s="21">
        <v>32.792400429537388</v>
      </c>
      <c r="G59" s="21">
        <v>0.53401838583061023</v>
      </c>
      <c r="H59" s="21">
        <v>3.7697547893621528</v>
      </c>
      <c r="I59" s="21">
        <v>1.0319311885222771</v>
      </c>
      <c r="J59" s="21">
        <v>12.202780954228469</v>
      </c>
      <c r="K59" s="21">
        <v>9.745464936748073</v>
      </c>
      <c r="L59" s="21">
        <v>1.0167411052781896</v>
      </c>
      <c r="M59" s="21">
        <v>4.8026589081560136</v>
      </c>
      <c r="N59" s="21">
        <v>2.1270015885920417</v>
      </c>
      <c r="O59" s="21">
        <v>1.3264545342253542</v>
      </c>
      <c r="P59" s="21">
        <v>9.6632161676603197</v>
      </c>
      <c r="Q59" s="21">
        <v>3.4963712245735321</v>
      </c>
      <c r="R59" s="21">
        <v>4.0669547425848505</v>
      </c>
      <c r="S59" s="21">
        <v>2.2351660704960823</v>
      </c>
      <c r="T59" s="21">
        <v>-0.21917301837070646</v>
      </c>
      <c r="U59" s="22">
        <v>100.00000000000004</v>
      </c>
    </row>
    <row r="60" spans="1:21" x14ac:dyDescent="0.25">
      <c r="A60" s="95"/>
      <c r="B60" s="100"/>
      <c r="C60" s="16" t="s">
        <v>29</v>
      </c>
      <c r="D60" s="2">
        <v>14.134959169658501</v>
      </c>
      <c r="E60" s="2">
        <v>0.86475652442401363</v>
      </c>
      <c r="F60" s="2">
        <v>29.326812963709315</v>
      </c>
      <c r="G60" s="2">
        <v>0.57551563009128581</v>
      </c>
      <c r="H60" s="2">
        <v>4.4655024309979527</v>
      </c>
      <c r="I60" s="2">
        <v>1.0660127629147225</v>
      </c>
      <c r="J60" s="2">
        <v>11.070457652959194</v>
      </c>
      <c r="K60" s="2">
        <v>9.9447317280100442</v>
      </c>
      <c r="L60" s="2">
        <v>2.3083659573463642</v>
      </c>
      <c r="M60" s="2">
        <v>4.8663161625527689</v>
      </c>
      <c r="N60" s="2">
        <v>2.2436626619230351</v>
      </c>
      <c r="O60" s="2">
        <v>1.3346273727882245</v>
      </c>
      <c r="P60" s="2">
        <v>8.8749188063587088</v>
      </c>
      <c r="Q60" s="2">
        <v>3.4612001582658007</v>
      </c>
      <c r="R60" s="2">
        <v>3.9053356423736307</v>
      </c>
      <c r="S60" s="2">
        <v>2.2842507341799148</v>
      </c>
      <c r="T60" s="2">
        <v>-0.72742635855346716</v>
      </c>
      <c r="U60" s="23">
        <v>100</v>
      </c>
    </row>
    <row r="61" spans="1:21" x14ac:dyDescent="0.25">
      <c r="A61" s="95"/>
      <c r="B61" s="100"/>
      <c r="C61" s="16" t="s">
        <v>30</v>
      </c>
      <c r="D61" s="2">
        <v>8.1487611086760356</v>
      </c>
      <c r="E61" s="2">
        <v>0.93586027360616164</v>
      </c>
      <c r="F61" s="2">
        <v>34.91086694721843</v>
      </c>
      <c r="G61" s="2">
        <v>0.66705390561395816</v>
      </c>
      <c r="H61" s="2">
        <v>5.3847914662978438</v>
      </c>
      <c r="I61" s="2">
        <v>0.97559265313950838</v>
      </c>
      <c r="J61" s="2">
        <v>14.097559278721485</v>
      </c>
      <c r="K61" s="2">
        <v>11.816632600427097</v>
      </c>
      <c r="L61" s="2">
        <v>3.2906304137025852</v>
      </c>
      <c r="M61" s="2">
        <v>5.1638168085576792</v>
      </c>
      <c r="N61" s="2">
        <v>2.5534885452435909</v>
      </c>
      <c r="O61" s="2">
        <v>2.0451406698285344</v>
      </c>
      <c r="P61" s="2">
        <v>11.004859980888549</v>
      </c>
      <c r="Q61" s="2">
        <v>3.8370836771131365</v>
      </c>
      <c r="R61" s="2">
        <v>4.312977337709528</v>
      </c>
      <c r="S61" s="2">
        <v>2.5908296872825041</v>
      </c>
      <c r="T61" s="2">
        <v>-11.735945354026633</v>
      </c>
      <c r="U61" s="23">
        <v>100.00000000000003</v>
      </c>
    </row>
    <row r="62" spans="1:21" x14ac:dyDescent="0.25">
      <c r="A62" s="95"/>
      <c r="B62" s="101"/>
      <c r="C62" s="28" t="s">
        <v>31</v>
      </c>
      <c r="D62" s="20">
        <v>4.3339469967167341</v>
      </c>
      <c r="E62" s="20">
        <v>1.3807091980838597</v>
      </c>
      <c r="F62" s="20">
        <v>30.024705480185997</v>
      </c>
      <c r="G62" s="20">
        <v>0.59213907390171139</v>
      </c>
      <c r="H62" s="20">
        <v>5.5272199436556217</v>
      </c>
      <c r="I62" s="20">
        <v>1.0228526523916961</v>
      </c>
      <c r="J62" s="20">
        <v>12.5408632770284</v>
      </c>
      <c r="K62" s="20">
        <v>11.569637931680186</v>
      </c>
      <c r="L62" s="20">
        <v>3.3230396957945878</v>
      </c>
      <c r="M62" s="20">
        <v>3.8147828678320588</v>
      </c>
      <c r="N62" s="20">
        <v>2.6814534556905461</v>
      </c>
      <c r="O62" s="20">
        <v>1.8525332123717135</v>
      </c>
      <c r="P62" s="20">
        <v>13.609157096025855</v>
      </c>
      <c r="Q62" s="20">
        <v>3.4162237311621899</v>
      </c>
      <c r="R62" s="20">
        <v>4.1960222263792151</v>
      </c>
      <c r="S62" s="20">
        <v>2.9684005697674265</v>
      </c>
      <c r="T62" s="20">
        <v>-2.853687408667763</v>
      </c>
      <c r="U62" s="24">
        <v>100.00000000000004</v>
      </c>
    </row>
    <row r="63" spans="1:21" x14ac:dyDescent="0.25">
      <c r="A63" s="95"/>
      <c r="B63" s="51"/>
      <c r="C63" s="49" t="s">
        <v>51</v>
      </c>
      <c r="D63" s="26">
        <v>10.150373258084816</v>
      </c>
      <c r="E63" s="26">
        <v>1.3278426349260861</v>
      </c>
      <c r="F63" s="26">
        <v>24.713739007704056</v>
      </c>
      <c r="G63" s="26">
        <v>0.60700605676157027</v>
      </c>
      <c r="H63" s="26">
        <v>4.7261809242758064</v>
      </c>
      <c r="I63" s="26">
        <v>0.97122784649448912</v>
      </c>
      <c r="J63" s="26">
        <v>13.113970826076523</v>
      </c>
      <c r="K63" s="26">
        <v>13.783809632941136</v>
      </c>
      <c r="L63" s="26">
        <v>2.1257580562488334</v>
      </c>
      <c r="M63" s="26">
        <v>4.8698420962873818</v>
      </c>
      <c r="N63" s="26">
        <v>2.4202748033091344</v>
      </c>
      <c r="O63" s="26">
        <v>1.4548752156922815</v>
      </c>
      <c r="P63" s="26">
        <v>11.248424413719249</v>
      </c>
      <c r="Q63" s="26">
        <v>3.3699075849745497</v>
      </c>
      <c r="R63" s="26">
        <v>4.6448536463815255</v>
      </c>
      <c r="S63" s="26">
        <v>2.6636114999672293</v>
      </c>
      <c r="T63" s="26">
        <v>-2.1916975038446234</v>
      </c>
      <c r="U63" s="47">
        <v>100.00000000000006</v>
      </c>
    </row>
    <row r="64" spans="1:21" x14ac:dyDescent="0.25">
      <c r="A64" s="95"/>
      <c r="B64" s="99">
        <v>2014</v>
      </c>
      <c r="C64" s="27" t="s">
        <v>28</v>
      </c>
      <c r="D64" s="21">
        <v>13.244830158375315</v>
      </c>
      <c r="E64" s="21">
        <v>1.7435836230449056</v>
      </c>
      <c r="F64" s="21">
        <v>26.551359509147105</v>
      </c>
      <c r="G64" s="21">
        <v>0.54139360262443148</v>
      </c>
      <c r="H64" s="21">
        <v>4.730536769316191</v>
      </c>
      <c r="I64" s="21">
        <v>1.0788615572492837</v>
      </c>
      <c r="J64" s="21">
        <v>13.13703155026775</v>
      </c>
      <c r="K64" s="21">
        <v>12.120193910497184</v>
      </c>
      <c r="L64" s="21">
        <v>1.4399189199802476</v>
      </c>
      <c r="M64" s="21">
        <v>5.2277996855869482</v>
      </c>
      <c r="N64" s="21">
        <v>2.3230179123067827</v>
      </c>
      <c r="O64" s="21">
        <v>1.3147575147709936</v>
      </c>
      <c r="P64" s="21">
        <v>9.5226017558990144</v>
      </c>
      <c r="Q64" s="21">
        <v>3.5092680648359886</v>
      </c>
      <c r="R64" s="21">
        <v>4.7829436226485074</v>
      </c>
      <c r="S64" s="21">
        <v>2.6332322186568846</v>
      </c>
      <c r="T64" s="21">
        <v>-3.9013303752075448</v>
      </c>
      <c r="U64" s="22">
        <v>99.999999999999972</v>
      </c>
    </row>
    <row r="65" spans="1:21" x14ac:dyDescent="0.25">
      <c r="A65" s="95"/>
      <c r="B65" s="100"/>
      <c r="C65" s="16" t="s">
        <v>29</v>
      </c>
      <c r="D65" s="2">
        <v>14.892543821110712</v>
      </c>
      <c r="E65" s="2">
        <v>1.0986626009647404</v>
      </c>
      <c r="F65" s="2">
        <v>26.950960179793761</v>
      </c>
      <c r="G65" s="2">
        <v>0.65673300547349667</v>
      </c>
      <c r="H65" s="2">
        <v>4.3984750010030753</v>
      </c>
      <c r="I65" s="2">
        <v>0.87961521371152951</v>
      </c>
      <c r="J65" s="2">
        <v>9.1937983742338858</v>
      </c>
      <c r="K65" s="2">
        <v>12.641638529740145</v>
      </c>
      <c r="L65" s="2">
        <v>3.109375772946279</v>
      </c>
      <c r="M65" s="2">
        <v>5.2986133741537591</v>
      </c>
      <c r="N65" s="2">
        <v>2.2801548914737055</v>
      </c>
      <c r="O65" s="2">
        <v>1.2963830176198767</v>
      </c>
      <c r="P65" s="2">
        <v>9.2259483786673862</v>
      </c>
      <c r="Q65" s="2">
        <v>3.4082945707741659</v>
      </c>
      <c r="R65" s="2">
        <v>4.6945591896673928</v>
      </c>
      <c r="S65" s="2">
        <v>3.049577988579053</v>
      </c>
      <c r="T65" s="2">
        <v>-3.0753339099129313</v>
      </c>
      <c r="U65" s="23">
        <v>100.00000000000003</v>
      </c>
    </row>
    <row r="66" spans="1:21" x14ac:dyDescent="0.25">
      <c r="A66" s="95"/>
      <c r="B66" s="100"/>
      <c r="C66" s="16" t="s">
        <v>30</v>
      </c>
      <c r="D66" s="2">
        <v>7.7703024618480487</v>
      </c>
      <c r="E66" s="2">
        <v>0.96643474574342259</v>
      </c>
      <c r="F66" s="2">
        <v>25.827597504449844</v>
      </c>
      <c r="G66" s="2">
        <v>0.64067832057298391</v>
      </c>
      <c r="H66" s="2">
        <v>4.3257495451749941</v>
      </c>
      <c r="I66" s="2">
        <v>0.87356846835511448</v>
      </c>
      <c r="J66" s="2">
        <v>14.848861336007632</v>
      </c>
      <c r="K66" s="2">
        <v>14.203592563810657</v>
      </c>
      <c r="L66" s="2">
        <v>1.8161017658912753</v>
      </c>
      <c r="M66" s="2">
        <v>4.8979366065612862</v>
      </c>
      <c r="N66" s="2">
        <v>2.4423688900504543</v>
      </c>
      <c r="O66" s="2">
        <v>1.1865963603331164</v>
      </c>
      <c r="P66" s="2">
        <v>10.666087913773199</v>
      </c>
      <c r="Q66" s="2">
        <v>3.3368664007965503</v>
      </c>
      <c r="R66" s="2">
        <v>4.4333322881117487</v>
      </c>
      <c r="S66" s="2">
        <v>2.9999695301487819</v>
      </c>
      <c r="T66" s="2">
        <v>-1.2360447016291258</v>
      </c>
      <c r="U66" s="23">
        <v>99.999999999999986</v>
      </c>
    </row>
    <row r="67" spans="1:21" x14ac:dyDescent="0.25">
      <c r="A67" s="95"/>
      <c r="B67" s="101"/>
      <c r="C67" s="28" t="s">
        <v>31</v>
      </c>
      <c r="D67" s="20">
        <v>4.8609542039522546</v>
      </c>
      <c r="E67" s="20">
        <v>1.5192164674223045</v>
      </c>
      <c r="F67" s="20">
        <v>19.612653115982052</v>
      </c>
      <c r="G67" s="20">
        <v>0.58677596047693759</v>
      </c>
      <c r="H67" s="20">
        <v>5.4490543639604256</v>
      </c>
      <c r="I67" s="20">
        <v>1.0569316442029555</v>
      </c>
      <c r="J67" s="20">
        <v>15.244531888818615</v>
      </c>
      <c r="K67" s="20">
        <v>16.092375318111298</v>
      </c>
      <c r="L67" s="20">
        <v>2.1173250015632341</v>
      </c>
      <c r="M67" s="20">
        <v>4.0726039347647545</v>
      </c>
      <c r="N67" s="20">
        <v>2.630525230748415</v>
      </c>
      <c r="O67" s="20">
        <v>2.0157188841796319</v>
      </c>
      <c r="P67" s="20">
        <v>15.495931548381552</v>
      </c>
      <c r="Q67" s="20">
        <v>3.231281561721242</v>
      </c>
      <c r="R67" s="20">
        <v>4.6752230729088442</v>
      </c>
      <c r="S67" s="20">
        <v>1.9721071456613564</v>
      </c>
      <c r="T67" s="20">
        <v>-0.6332093428558766</v>
      </c>
      <c r="U67" s="24">
        <v>100</v>
      </c>
    </row>
    <row r="68" spans="1:21" x14ac:dyDescent="0.25">
      <c r="A68" s="95"/>
      <c r="B68" s="51"/>
      <c r="C68" s="49" t="s">
        <v>51</v>
      </c>
      <c r="D68" s="26">
        <v>12.018810272101724</v>
      </c>
      <c r="E68" s="26">
        <v>1.6449620558778584</v>
      </c>
      <c r="F68" s="26">
        <v>16.498643462602924</v>
      </c>
      <c r="G68" s="26">
        <v>0.5892668394655235</v>
      </c>
      <c r="H68" s="26">
        <v>5.2405155964762562</v>
      </c>
      <c r="I68" s="26">
        <v>1.1546922972119606</v>
      </c>
      <c r="J68" s="26">
        <v>13.411848090683643</v>
      </c>
      <c r="K68" s="26">
        <v>14.869857031961001</v>
      </c>
      <c r="L68" s="26">
        <v>2.4326160707071143</v>
      </c>
      <c r="M68" s="26">
        <v>5.4605529738697003</v>
      </c>
      <c r="N68" s="26">
        <v>2.486249906588283</v>
      </c>
      <c r="O68" s="26">
        <v>1.8712995939598405</v>
      </c>
      <c r="P68" s="26">
        <v>12.228590373019639</v>
      </c>
      <c r="Q68" s="26">
        <v>3.7628119915359859</v>
      </c>
      <c r="R68" s="26">
        <v>4.7688705636341204</v>
      </c>
      <c r="S68" s="26">
        <v>2.9799952635587506</v>
      </c>
      <c r="T68" s="26">
        <v>-1.4195823832543428</v>
      </c>
      <c r="U68" s="47">
        <v>99.999999999999986</v>
      </c>
    </row>
    <row r="69" spans="1:21" x14ac:dyDescent="0.25">
      <c r="A69" s="95"/>
      <c r="B69" s="99">
        <v>2015</v>
      </c>
      <c r="C69" s="27" t="s">
        <v>28</v>
      </c>
      <c r="D69" s="21">
        <v>14.47763922106849</v>
      </c>
      <c r="E69" s="21">
        <v>1.8905872123631529</v>
      </c>
      <c r="F69" s="21">
        <v>16.013208793059967</v>
      </c>
      <c r="G69" s="21">
        <v>0.5851493364904895</v>
      </c>
      <c r="H69" s="21">
        <v>5.4253650798890476</v>
      </c>
      <c r="I69" s="21">
        <v>1.2869109046892309</v>
      </c>
      <c r="J69" s="21">
        <v>12.024255759498175</v>
      </c>
      <c r="K69" s="21">
        <v>15.048520655669847</v>
      </c>
      <c r="L69" s="21">
        <v>1.7864224075526922</v>
      </c>
      <c r="M69" s="21">
        <v>6.1802183656152563</v>
      </c>
      <c r="N69" s="21">
        <v>2.4256180443701374</v>
      </c>
      <c r="O69" s="21">
        <v>2.0636104123185763</v>
      </c>
      <c r="P69" s="21">
        <v>11.391802124125364</v>
      </c>
      <c r="Q69" s="21">
        <v>3.7577297273311814</v>
      </c>
      <c r="R69" s="21">
        <v>5.727990904940647</v>
      </c>
      <c r="S69" s="21">
        <v>2.9420289052189412</v>
      </c>
      <c r="T69" s="21">
        <v>-3.0270578542012223</v>
      </c>
      <c r="U69" s="22">
        <v>99.999999999999986</v>
      </c>
    </row>
    <row r="70" spans="1:21" x14ac:dyDescent="0.25">
      <c r="A70" s="95"/>
      <c r="B70" s="100"/>
      <c r="C70" s="16" t="s">
        <v>29</v>
      </c>
      <c r="D70" s="2">
        <v>17.385177371632036</v>
      </c>
      <c r="E70" s="2">
        <v>1.1341612036402919</v>
      </c>
      <c r="F70" s="2">
        <v>17.932472732392153</v>
      </c>
      <c r="G70" s="2">
        <v>0.53108806142135534</v>
      </c>
      <c r="H70" s="2">
        <v>4.6635059093444262</v>
      </c>
      <c r="I70" s="2">
        <v>1.0741676186624136</v>
      </c>
      <c r="J70" s="2">
        <v>9.9490457799770198</v>
      </c>
      <c r="K70" s="2">
        <v>13.453529465918429</v>
      </c>
      <c r="L70" s="2">
        <v>3.6160404814687839</v>
      </c>
      <c r="M70" s="2">
        <v>5.6243281330473938</v>
      </c>
      <c r="N70" s="2">
        <v>2.2907010351312946</v>
      </c>
      <c r="O70" s="2">
        <v>1.7283989073047832</v>
      </c>
      <c r="P70" s="2">
        <v>10.951716364306971</v>
      </c>
      <c r="Q70" s="2">
        <v>3.4545562926697304</v>
      </c>
      <c r="R70" s="2">
        <v>4.5038892173802525</v>
      </c>
      <c r="S70" s="2">
        <v>2.1322117026822007</v>
      </c>
      <c r="T70" s="2">
        <v>-0.42499027697954433</v>
      </c>
      <c r="U70" s="23">
        <v>100</v>
      </c>
    </row>
    <row r="71" spans="1:21" x14ac:dyDescent="0.25">
      <c r="A71" s="95"/>
      <c r="B71" s="100"/>
      <c r="C71" s="16" t="s">
        <v>30</v>
      </c>
      <c r="D71" s="2">
        <v>9.7023483254146416</v>
      </c>
      <c r="E71" s="2">
        <v>1.4381251349397035</v>
      </c>
      <c r="F71" s="2">
        <v>16.774454659273683</v>
      </c>
      <c r="G71" s="2">
        <v>0.56321682634347392</v>
      </c>
      <c r="H71" s="2">
        <v>4.7683908660408258</v>
      </c>
      <c r="I71" s="2">
        <v>1.0538359822399395</v>
      </c>
      <c r="J71" s="2">
        <v>16.247181117438306</v>
      </c>
      <c r="K71" s="2">
        <v>14.671973242665084</v>
      </c>
      <c r="L71" s="2">
        <v>2.1720059790795783</v>
      </c>
      <c r="M71" s="2">
        <v>6.0032069700825401</v>
      </c>
      <c r="N71" s="2">
        <v>2.4718726093194507</v>
      </c>
      <c r="O71" s="2">
        <v>1.8664892015481251</v>
      </c>
      <c r="P71" s="2">
        <v>11.870703032003833</v>
      </c>
      <c r="Q71" s="2">
        <v>3.8046943836463467</v>
      </c>
      <c r="R71" s="2">
        <v>4.4016117069552125</v>
      </c>
      <c r="S71" s="2">
        <v>2.3675073764335743</v>
      </c>
      <c r="T71" s="2">
        <v>-0.17761741342432247</v>
      </c>
      <c r="U71" s="23">
        <v>99.999999999999986</v>
      </c>
    </row>
    <row r="72" spans="1:21" x14ac:dyDescent="0.25">
      <c r="A72" s="95"/>
      <c r="B72" s="101"/>
      <c r="C72" s="28" t="s">
        <v>31</v>
      </c>
      <c r="D72" s="20">
        <v>6.497289404206068</v>
      </c>
      <c r="E72" s="20">
        <v>2.1611288913166193</v>
      </c>
      <c r="F72" s="20">
        <v>15.17110937943821</v>
      </c>
      <c r="G72" s="20">
        <v>0.68036297663454748</v>
      </c>
      <c r="H72" s="20">
        <v>6.1525177689041524</v>
      </c>
      <c r="I72" s="20">
        <v>1.2188972949007011</v>
      </c>
      <c r="J72" s="20">
        <v>15.423989584532286</v>
      </c>
      <c r="K72" s="20">
        <v>16.384236505097022</v>
      </c>
      <c r="L72" s="20">
        <v>2.0622354441535937</v>
      </c>
      <c r="M72" s="20">
        <v>4.0690902270959883</v>
      </c>
      <c r="N72" s="20">
        <v>2.7612606134258111</v>
      </c>
      <c r="O72" s="20">
        <v>1.8469998390709137</v>
      </c>
      <c r="P72" s="20">
        <v>14.702292498260828</v>
      </c>
      <c r="Q72" s="20">
        <v>4.046614862627087</v>
      </c>
      <c r="R72" s="20">
        <v>4.5301587651759325</v>
      </c>
      <c r="S72" s="20">
        <v>4.5243488916328731</v>
      </c>
      <c r="T72" s="20">
        <v>-2.2325329464726211</v>
      </c>
      <c r="U72" s="24">
        <v>100</v>
      </c>
    </row>
    <row r="73" spans="1:21" s="48" customFormat="1" x14ac:dyDescent="0.25">
      <c r="A73" s="95"/>
      <c r="B73" s="51"/>
      <c r="C73" s="49" t="s">
        <v>51</v>
      </c>
      <c r="D73" s="26">
        <v>12.702665861555065</v>
      </c>
      <c r="E73" s="26">
        <v>1.7531765755776381</v>
      </c>
      <c r="F73" s="26">
        <v>15.229624245855405</v>
      </c>
      <c r="G73" s="26">
        <v>0.66341789055538025</v>
      </c>
      <c r="H73" s="26">
        <v>5.7827889948142177</v>
      </c>
      <c r="I73" s="26">
        <v>1.2452163372850333</v>
      </c>
      <c r="J73" s="26">
        <v>14.098716290080604</v>
      </c>
      <c r="K73" s="26">
        <v>15.023985814107203</v>
      </c>
      <c r="L73" s="26">
        <v>1.8313969401700543</v>
      </c>
      <c r="M73" s="26">
        <v>5.0943589477847144</v>
      </c>
      <c r="N73" s="26">
        <v>1.9575906204414757</v>
      </c>
      <c r="O73" s="26">
        <v>1.9362986564880582</v>
      </c>
      <c r="P73" s="26">
        <v>10.510284189885585</v>
      </c>
      <c r="Q73" s="26">
        <v>4.3470393695587868</v>
      </c>
      <c r="R73" s="26">
        <v>5.1623521314914402</v>
      </c>
      <c r="S73" s="26">
        <v>3.0343395735696523</v>
      </c>
      <c r="T73" s="26">
        <v>-0.37325243922028639</v>
      </c>
      <c r="U73" s="47">
        <v>100.00000000000004</v>
      </c>
    </row>
    <row r="74" spans="1:21" x14ac:dyDescent="0.25">
      <c r="A74" s="95"/>
      <c r="B74" s="99">
        <v>2016</v>
      </c>
      <c r="C74" s="27" t="s">
        <v>28</v>
      </c>
      <c r="D74" s="21">
        <v>14.822721787387936</v>
      </c>
      <c r="E74" s="21">
        <v>1.4259922068438833</v>
      </c>
      <c r="F74" s="21">
        <v>12.550875260015278</v>
      </c>
      <c r="G74" s="21">
        <v>0.72009625413700595</v>
      </c>
      <c r="H74" s="21">
        <v>5.5622223486234272</v>
      </c>
      <c r="I74" s="21">
        <v>1.4759498026216944</v>
      </c>
      <c r="J74" s="21">
        <v>14.393763184503088</v>
      </c>
      <c r="K74" s="21">
        <v>15.424607855010439</v>
      </c>
      <c r="L74" s="21">
        <v>1.543978037960241</v>
      </c>
      <c r="M74" s="21">
        <v>5.1803635500458407</v>
      </c>
      <c r="N74" s="21">
        <v>2.0873266174581442</v>
      </c>
      <c r="O74" s="21">
        <v>2.0454207391804267</v>
      </c>
      <c r="P74" s="21">
        <v>10.628099970413562</v>
      </c>
      <c r="Q74" s="21">
        <v>4.1838564666599618</v>
      </c>
      <c r="R74" s="21">
        <v>5.4566444385969612</v>
      </c>
      <c r="S74" s="21">
        <v>2.6272530777193763</v>
      </c>
      <c r="T74" s="21">
        <v>-0.12917159717723367</v>
      </c>
      <c r="U74" s="22">
        <v>100.00000000000003</v>
      </c>
    </row>
    <row r="75" spans="1:21" x14ac:dyDescent="0.25">
      <c r="A75" s="95"/>
      <c r="B75" s="100"/>
      <c r="C75" s="16" t="s">
        <v>29</v>
      </c>
      <c r="D75" s="2">
        <v>18.481636839969163</v>
      </c>
      <c r="E75" s="2">
        <v>1.1654589347799471</v>
      </c>
      <c r="F75" s="2">
        <v>15.904763950717268</v>
      </c>
      <c r="G75" s="2">
        <v>0.5468773988178337</v>
      </c>
      <c r="H75" s="2">
        <v>4.6858756704988824</v>
      </c>
      <c r="I75" s="2">
        <v>1.2154556977462565</v>
      </c>
      <c r="J75" s="2">
        <v>11.408699215914233</v>
      </c>
      <c r="K75" s="2">
        <v>14.015683530377936</v>
      </c>
      <c r="L75" s="2">
        <v>2.5220971766543454</v>
      </c>
      <c r="M75" s="2">
        <v>5.3819644843810721</v>
      </c>
      <c r="N75" s="2">
        <v>1.8717409642013083</v>
      </c>
      <c r="O75" s="2">
        <v>1.8911084790236325</v>
      </c>
      <c r="P75" s="2">
        <v>9.5737576818860628</v>
      </c>
      <c r="Q75" s="2">
        <v>4.4016638687725695</v>
      </c>
      <c r="R75" s="2">
        <v>4.7056728953058409</v>
      </c>
      <c r="S75" s="2">
        <v>2.682183062444186</v>
      </c>
      <c r="T75" s="2">
        <v>-0.45463985149052333</v>
      </c>
      <c r="U75" s="23">
        <v>100</v>
      </c>
    </row>
    <row r="76" spans="1:21" x14ac:dyDescent="0.25">
      <c r="A76" s="95"/>
      <c r="B76" s="100"/>
      <c r="C76" s="16" t="s">
        <v>30</v>
      </c>
      <c r="D76" s="2">
        <v>11.24017592580255</v>
      </c>
      <c r="E76" s="2">
        <v>1.7550054118245906</v>
      </c>
      <c r="F76" s="2">
        <v>16.135694650780103</v>
      </c>
      <c r="G76" s="2">
        <v>0.7374325594503911</v>
      </c>
      <c r="H76" s="2">
        <v>5.8242606485883952</v>
      </c>
      <c r="I76" s="2">
        <v>1.1174745711200302</v>
      </c>
      <c r="J76" s="2">
        <v>13.859358969024765</v>
      </c>
      <c r="K76" s="2">
        <v>15.284128489267548</v>
      </c>
      <c r="L76" s="2">
        <v>1.5167342867306433</v>
      </c>
      <c r="M76" s="2">
        <v>6.0571469713133022</v>
      </c>
      <c r="N76" s="2">
        <v>1.8592246061041917</v>
      </c>
      <c r="O76" s="2">
        <v>1.9364064680231694</v>
      </c>
      <c r="P76" s="2">
        <v>10.585616090708594</v>
      </c>
      <c r="Q76" s="2">
        <v>4.5219559004179226</v>
      </c>
      <c r="R76" s="2">
        <v>4.9877773938523644</v>
      </c>
      <c r="S76" s="2">
        <v>3.0044654022830861</v>
      </c>
      <c r="T76" s="2">
        <v>-0.42285834529165667</v>
      </c>
      <c r="U76" s="23">
        <v>99.999999999999986</v>
      </c>
    </row>
    <row r="77" spans="1:21" x14ac:dyDescent="0.25">
      <c r="A77" s="95"/>
      <c r="B77" s="101"/>
      <c r="C77" s="28" t="s">
        <v>31</v>
      </c>
      <c r="D77" s="20">
        <v>6.7499962944869267</v>
      </c>
      <c r="E77" s="20">
        <v>2.5965145881302005</v>
      </c>
      <c r="F77" s="20">
        <v>16.00727718082738</v>
      </c>
      <c r="G77" s="20">
        <v>0.65496159232636852</v>
      </c>
      <c r="H77" s="20">
        <v>6.9847853258280495</v>
      </c>
      <c r="I77" s="20">
        <v>1.1990536642974101</v>
      </c>
      <c r="J77" s="20">
        <v>16.657967639366277</v>
      </c>
      <c r="K77" s="20">
        <v>15.395686637630272</v>
      </c>
      <c r="L77" s="20">
        <v>1.7199158746985916</v>
      </c>
      <c r="M77" s="20">
        <v>3.8133150773898832</v>
      </c>
      <c r="N77" s="20">
        <v>2.023624715489603</v>
      </c>
      <c r="O77" s="20">
        <v>1.8857909620733773</v>
      </c>
      <c r="P77" s="20">
        <v>11.234861532726118</v>
      </c>
      <c r="Q77" s="20">
        <v>4.265672876739572</v>
      </c>
      <c r="R77" s="20">
        <v>5.5165313051362102</v>
      </c>
      <c r="S77" s="20">
        <v>3.750958171203953</v>
      </c>
      <c r="T77" s="20">
        <v>-0.45691343835018733</v>
      </c>
      <c r="U77" s="24">
        <v>100</v>
      </c>
    </row>
    <row r="78" spans="1:21" x14ac:dyDescent="0.25">
      <c r="A78" s="95"/>
      <c r="B78" s="51"/>
      <c r="C78" s="49" t="s">
        <v>51</v>
      </c>
      <c r="D78" s="26">
        <v>12.972430710537655</v>
      </c>
      <c r="E78" s="26">
        <v>1.7375109779759323</v>
      </c>
      <c r="F78" s="26">
        <v>15.56791912406727</v>
      </c>
      <c r="G78" s="26">
        <v>0.53932523950379985</v>
      </c>
      <c r="H78" s="26">
        <v>5.7289694447968289</v>
      </c>
      <c r="I78" s="26">
        <v>1.0059741430738174</v>
      </c>
      <c r="J78" s="26">
        <v>13.854741963403244</v>
      </c>
      <c r="K78" s="26">
        <v>16.188295945078341</v>
      </c>
      <c r="L78" s="26">
        <v>1.8787455435306026</v>
      </c>
      <c r="M78" s="26">
        <v>4.6096192818891506</v>
      </c>
      <c r="N78" s="26">
        <v>1.6356836736671936</v>
      </c>
      <c r="O78" s="26">
        <v>1.8437470337538171</v>
      </c>
      <c r="P78" s="26">
        <v>9.6300243208305787</v>
      </c>
      <c r="Q78" s="26">
        <v>3.9656569204087098</v>
      </c>
      <c r="R78" s="26">
        <v>6.0445316110160201</v>
      </c>
      <c r="S78" s="26">
        <v>3.0247996947754507</v>
      </c>
      <c r="T78" s="26">
        <v>-0.22797562830839452</v>
      </c>
      <c r="U78" s="47">
        <v>99.999999999999986</v>
      </c>
    </row>
    <row r="79" spans="1:21" x14ac:dyDescent="0.25">
      <c r="A79" s="95"/>
      <c r="B79" s="99">
        <v>2017</v>
      </c>
      <c r="C79" s="27" t="s">
        <v>28</v>
      </c>
      <c r="D79" s="21">
        <v>16.148848992754594</v>
      </c>
      <c r="E79" s="21">
        <v>1.6190577397000461</v>
      </c>
      <c r="F79" s="21">
        <v>15.778524073836186</v>
      </c>
      <c r="G79" s="21">
        <v>0.55756369612555634</v>
      </c>
      <c r="H79" s="21">
        <v>6.0765427071887483</v>
      </c>
      <c r="I79" s="21">
        <v>1.0440703708871486</v>
      </c>
      <c r="J79" s="21">
        <v>11.671864109986458</v>
      </c>
      <c r="K79" s="21">
        <v>15.579172643561739</v>
      </c>
      <c r="L79" s="21">
        <v>1.1879131554232032</v>
      </c>
      <c r="M79" s="21">
        <v>4.8634200587067156</v>
      </c>
      <c r="N79" s="21">
        <v>1.7109557137114022</v>
      </c>
      <c r="O79" s="21">
        <v>1.8668951070601625</v>
      </c>
      <c r="P79" s="21">
        <v>8.7096040568119584</v>
      </c>
      <c r="Q79" s="21">
        <v>4.072033374833822</v>
      </c>
      <c r="R79" s="21">
        <v>6.2059720691375571</v>
      </c>
      <c r="S79" s="21">
        <v>2.9815486568059022</v>
      </c>
      <c r="T79" s="21">
        <v>-7.3986526531207839E-2</v>
      </c>
      <c r="U79" s="22">
        <v>99.999999999999986</v>
      </c>
    </row>
    <row r="80" spans="1:21" x14ac:dyDescent="0.25">
      <c r="A80" s="95"/>
      <c r="B80" s="100"/>
      <c r="C80" s="16" t="s">
        <v>29</v>
      </c>
      <c r="D80" s="2">
        <v>18.863425395992717</v>
      </c>
      <c r="E80" s="2">
        <v>1.3263788986104743</v>
      </c>
      <c r="F80" s="2">
        <v>14.649970120136274</v>
      </c>
      <c r="G80" s="2">
        <v>0.53594123656940074</v>
      </c>
      <c r="H80" s="2">
        <v>4.6652657175177454</v>
      </c>
      <c r="I80" s="2">
        <v>0.92195090830459459</v>
      </c>
      <c r="J80" s="2">
        <v>10.108595312460714</v>
      </c>
      <c r="K80" s="2">
        <v>16.427543665825098</v>
      </c>
      <c r="L80" s="2">
        <v>2.7656949100990396</v>
      </c>
      <c r="M80" s="2">
        <v>4.4498474253448093</v>
      </c>
      <c r="N80" s="2">
        <v>1.6663577411580144</v>
      </c>
      <c r="O80" s="2">
        <v>1.5976594676921003</v>
      </c>
      <c r="P80" s="2">
        <v>8.9345141159967305</v>
      </c>
      <c r="Q80" s="2">
        <v>4.0815960853643878</v>
      </c>
      <c r="R80" s="2">
        <v>5.9851624894014437</v>
      </c>
      <c r="S80" s="2">
        <v>3.3326534857961394</v>
      </c>
      <c r="T80" s="2">
        <v>-0.31255697626965279</v>
      </c>
      <c r="U80" s="23">
        <v>100.00000000000004</v>
      </c>
    </row>
    <row r="81" spans="1:21" x14ac:dyDescent="0.25">
      <c r="A81" s="95"/>
      <c r="B81" s="100"/>
      <c r="C81" s="16" t="s">
        <v>30</v>
      </c>
      <c r="D81" s="2">
        <v>11.220340034740889</v>
      </c>
      <c r="E81" s="2">
        <v>1.8535743457701588</v>
      </c>
      <c r="F81" s="2">
        <v>15.023555769474465</v>
      </c>
      <c r="G81" s="2">
        <v>0.46189092174353613</v>
      </c>
      <c r="H81" s="2">
        <v>5.5177198267375962</v>
      </c>
      <c r="I81" s="2">
        <v>0.93765192404565023</v>
      </c>
      <c r="J81" s="2">
        <v>16.801669989082558</v>
      </c>
      <c r="K81" s="2">
        <v>16.106131916054693</v>
      </c>
      <c r="L81" s="2">
        <v>1.6524378743867225</v>
      </c>
      <c r="M81" s="2">
        <v>5.6844693311641983</v>
      </c>
      <c r="N81" s="2">
        <v>1.6024450527463985</v>
      </c>
      <c r="O81" s="2">
        <v>1.8399705372621371</v>
      </c>
      <c r="P81" s="2">
        <v>8.9701778118630173</v>
      </c>
      <c r="Q81" s="2">
        <v>3.8115444076056311</v>
      </c>
      <c r="R81" s="2">
        <v>5.875453505052838</v>
      </c>
      <c r="S81" s="2">
        <v>2.9943261471929099</v>
      </c>
      <c r="T81" s="2">
        <v>-0.35335939492339108</v>
      </c>
      <c r="U81" s="23">
        <v>100.00000000000001</v>
      </c>
    </row>
    <row r="82" spans="1:21" x14ac:dyDescent="0.25">
      <c r="A82" s="95"/>
      <c r="B82" s="101"/>
      <c r="C82" s="28" t="s">
        <v>31</v>
      </c>
      <c r="D82" s="20">
        <v>6.4312179729993355</v>
      </c>
      <c r="E82" s="20">
        <v>2.1069390435179827</v>
      </c>
      <c r="F82" s="20">
        <v>16.755363917334208</v>
      </c>
      <c r="G82" s="20">
        <v>0.60224263935713374</v>
      </c>
      <c r="H82" s="20">
        <v>6.5981717369527626</v>
      </c>
      <c r="I82" s="20">
        <v>1.1158935866770536</v>
      </c>
      <c r="J82" s="20">
        <v>16.355992000161628</v>
      </c>
      <c r="K82" s="20">
        <v>16.599938250499171</v>
      </c>
      <c r="L82" s="20">
        <v>1.912526071159153</v>
      </c>
      <c r="M82" s="20">
        <v>3.4680245403662076</v>
      </c>
      <c r="N82" s="20">
        <v>1.5723514364526685</v>
      </c>
      <c r="O82" s="20">
        <v>2.0521136575796124</v>
      </c>
      <c r="P82" s="20">
        <v>11.748566275961119</v>
      </c>
      <c r="Q82" s="20">
        <v>3.9151697500465037</v>
      </c>
      <c r="R82" s="20">
        <v>6.1197456282935363</v>
      </c>
      <c r="S82" s="20">
        <v>2.8117143926212944</v>
      </c>
      <c r="T82" s="20">
        <v>-0.16597089997936937</v>
      </c>
      <c r="U82" s="24">
        <v>99.999999999999986</v>
      </c>
    </row>
    <row r="83" spans="1:21" x14ac:dyDescent="0.25">
      <c r="A83" s="95"/>
      <c r="B83" s="51"/>
      <c r="C83" s="16"/>
      <c r="D83" s="26">
        <v>11.759758178883965</v>
      </c>
      <c r="E83" s="26">
        <v>1.4336335495186199</v>
      </c>
      <c r="F83" s="26">
        <v>22.523758467724132</v>
      </c>
      <c r="G83" s="26">
        <v>0.76860741319176729</v>
      </c>
      <c r="H83" s="26">
        <v>5.3407462949565243</v>
      </c>
      <c r="I83" s="26">
        <v>1.1814629566548771</v>
      </c>
      <c r="J83" s="26">
        <v>11.087777981090335</v>
      </c>
      <c r="K83" s="26">
        <v>15.588279270371277</v>
      </c>
      <c r="L83" s="26">
        <v>1.8088486526148302</v>
      </c>
      <c r="M83" s="26">
        <v>3.9627008815533418</v>
      </c>
      <c r="N83" s="26">
        <v>1.3301903759512961</v>
      </c>
      <c r="O83" s="26">
        <v>2.3238864464064997</v>
      </c>
      <c r="P83" s="26">
        <v>8.0658794276544334</v>
      </c>
      <c r="Q83" s="26">
        <v>3.7308213263232735</v>
      </c>
      <c r="R83" s="26">
        <v>6.0400561490648084</v>
      </c>
      <c r="S83" s="26">
        <v>3.2186042883961195</v>
      </c>
      <c r="T83" s="26">
        <v>-0.16501166035610806</v>
      </c>
      <c r="U83" s="47">
        <v>100</v>
      </c>
    </row>
    <row r="84" spans="1:21" x14ac:dyDescent="0.25">
      <c r="A84" s="95"/>
      <c r="B84" s="99">
        <v>2018</v>
      </c>
      <c r="C84" s="27" t="s">
        <v>28</v>
      </c>
      <c r="D84" s="21">
        <v>15.124044445385943</v>
      </c>
      <c r="E84" s="21">
        <v>1.5410983475812809</v>
      </c>
      <c r="F84" s="21">
        <v>19.835982460024532</v>
      </c>
      <c r="G84" s="21">
        <v>0.55879846547898926</v>
      </c>
      <c r="H84" s="21">
        <v>5.7952676646594306</v>
      </c>
      <c r="I84" s="21">
        <v>1.2623297291799702</v>
      </c>
      <c r="J84" s="21">
        <v>7.3318040506612991</v>
      </c>
      <c r="K84" s="21">
        <v>16.587454356902374</v>
      </c>
      <c r="L84" s="21">
        <v>1.3377402373785687</v>
      </c>
      <c r="M84" s="21">
        <v>4.4604090884265855</v>
      </c>
      <c r="N84" s="21">
        <v>1.4233491744242872</v>
      </c>
      <c r="O84" s="21">
        <v>2.0660346412224131</v>
      </c>
      <c r="P84" s="21">
        <v>8.2752800803185487</v>
      </c>
      <c r="Q84" s="21">
        <v>3.9670528928507038</v>
      </c>
      <c r="R84" s="21">
        <v>7.0200892261266992</v>
      </c>
      <c r="S84" s="21">
        <v>3.4132804789302806</v>
      </c>
      <c r="T84" s="21">
        <v>-1.5339551929904154E-5</v>
      </c>
      <c r="U84" s="22">
        <v>99.999999999999972</v>
      </c>
    </row>
    <row r="85" spans="1:21" x14ac:dyDescent="0.25">
      <c r="A85" s="95"/>
      <c r="B85" s="100"/>
      <c r="C85" s="16" t="s">
        <v>29</v>
      </c>
      <c r="D85" s="2">
        <v>17.873753643694108</v>
      </c>
      <c r="E85" s="2">
        <v>1.3671878933729114</v>
      </c>
      <c r="F85" s="2">
        <v>22.097168247832773</v>
      </c>
      <c r="G85" s="2">
        <v>0.66214924742553649</v>
      </c>
      <c r="H85" s="2">
        <v>4.5560137245787695</v>
      </c>
      <c r="I85" s="2">
        <v>1.1717496424085305</v>
      </c>
      <c r="J85" s="2">
        <v>7.5207050225634902</v>
      </c>
      <c r="K85" s="2">
        <v>14.76326164364489</v>
      </c>
      <c r="L85" s="2">
        <v>2.69398216184964</v>
      </c>
      <c r="M85" s="2">
        <v>4.172362331404333</v>
      </c>
      <c r="N85" s="2">
        <v>1.3633421864167476</v>
      </c>
      <c r="O85" s="2">
        <v>2.130910506356805</v>
      </c>
      <c r="P85" s="2">
        <v>7.5274790952473563</v>
      </c>
      <c r="Q85" s="2">
        <v>3.6839860914887841</v>
      </c>
      <c r="R85" s="2">
        <v>5.4352106206828319</v>
      </c>
      <c r="S85" s="2">
        <v>3.1001903489893423</v>
      </c>
      <c r="T85" s="2">
        <v>-0.11945240795684683</v>
      </c>
      <c r="U85" s="23">
        <v>100.00000000000001</v>
      </c>
    </row>
    <row r="86" spans="1:21" x14ac:dyDescent="0.25">
      <c r="A86" s="95"/>
      <c r="B86" s="100"/>
      <c r="C86" s="16" t="s">
        <v>30</v>
      </c>
      <c r="D86" s="2">
        <v>9.4171994395976864</v>
      </c>
      <c r="E86" s="2">
        <v>1.263474041562243</v>
      </c>
      <c r="F86" s="2">
        <v>24.33377456990771</v>
      </c>
      <c r="G86" s="2">
        <v>0.70345563335839278</v>
      </c>
      <c r="H86" s="2">
        <v>4.7684153475565392</v>
      </c>
      <c r="I86" s="2">
        <v>1.0657937258116592</v>
      </c>
      <c r="J86" s="2">
        <v>13.071383092918735</v>
      </c>
      <c r="K86" s="2">
        <v>15.05338934647822</v>
      </c>
      <c r="L86" s="2">
        <v>1.529088327894697</v>
      </c>
      <c r="M86" s="2">
        <v>4.5250225845308103</v>
      </c>
      <c r="N86" s="2">
        <v>1.4287081913145823</v>
      </c>
      <c r="O86" s="2">
        <v>2.255835245780959</v>
      </c>
      <c r="P86" s="2">
        <v>7.9256389454128451</v>
      </c>
      <c r="Q86" s="2">
        <v>3.6958500820246925</v>
      </c>
      <c r="R86" s="2">
        <v>5.9538852545316541</v>
      </c>
      <c r="S86" s="2">
        <v>3.068833568272757</v>
      </c>
      <c r="T86" s="2">
        <v>-5.9747396954193066E-2</v>
      </c>
      <c r="U86" s="23">
        <v>99.999999999999986</v>
      </c>
    </row>
    <row r="87" spans="1:21" x14ac:dyDescent="0.25">
      <c r="A87" s="95"/>
      <c r="B87" s="101"/>
      <c r="C87" s="28" t="s">
        <v>31</v>
      </c>
      <c r="D87" s="20">
        <v>5.512159837635985</v>
      </c>
      <c r="E87" s="20">
        <v>1.569073666128644</v>
      </c>
      <c r="F87" s="20">
        <v>23.431226584678079</v>
      </c>
      <c r="G87" s="20">
        <v>1.1061308442910782</v>
      </c>
      <c r="H87" s="20">
        <v>6.2398751267328949</v>
      </c>
      <c r="I87" s="20">
        <v>1.2340298922412216</v>
      </c>
      <c r="J87" s="20">
        <v>15.642227470392935</v>
      </c>
      <c r="K87" s="20">
        <v>16.032236381438231</v>
      </c>
      <c r="L87" s="20">
        <v>1.6504367789376857</v>
      </c>
      <c r="M87" s="20">
        <v>2.8094087808467947</v>
      </c>
      <c r="N87" s="20">
        <v>1.1264659536491231</v>
      </c>
      <c r="O87" s="20">
        <v>2.7848792544852263</v>
      </c>
      <c r="P87" s="20">
        <v>8.5256824820543109</v>
      </c>
      <c r="Q87" s="20">
        <v>3.6099775801725005</v>
      </c>
      <c r="R87" s="20">
        <v>5.8635604430949693</v>
      </c>
      <c r="S87" s="20">
        <v>3.3096093942308067</v>
      </c>
      <c r="T87" s="20">
        <v>-0.44698047101048194</v>
      </c>
      <c r="U87" s="24">
        <v>100</v>
      </c>
    </row>
    <row r="88" spans="1:21" x14ac:dyDescent="0.25">
      <c r="A88" s="95"/>
      <c r="B88" s="51"/>
      <c r="C88" s="49" t="s">
        <v>51</v>
      </c>
      <c r="D88" s="26">
        <v>11.105768786578473</v>
      </c>
      <c r="E88" s="26">
        <v>1.2152820375353721</v>
      </c>
      <c r="F88" s="26">
        <v>23.487029544029816</v>
      </c>
      <c r="G88" s="26">
        <v>0.96315124922170514</v>
      </c>
      <c r="H88" s="26">
        <v>5.4114487722618758</v>
      </c>
      <c r="I88" s="26">
        <v>1.3159347567437312</v>
      </c>
      <c r="J88" s="26">
        <v>10.99266955790484</v>
      </c>
      <c r="K88" s="26">
        <v>15.682426628646597</v>
      </c>
      <c r="L88" s="26">
        <v>1.7938111907909777</v>
      </c>
      <c r="M88" s="26">
        <v>3.7445011533373824</v>
      </c>
      <c r="N88" s="26">
        <v>1.0988368270267985</v>
      </c>
      <c r="O88" s="26">
        <v>2.1100380905239762</v>
      </c>
      <c r="P88" s="26">
        <v>9.2032765272446433</v>
      </c>
      <c r="Q88" s="26">
        <v>3.6907287502308983</v>
      </c>
      <c r="R88" s="26">
        <v>5.9443416106762577</v>
      </c>
      <c r="S88" s="26">
        <v>2.3438303777887075</v>
      </c>
      <c r="T88" s="26">
        <v>-0.10307586054205625</v>
      </c>
      <c r="U88" s="47">
        <v>99.999999999999986</v>
      </c>
    </row>
    <row r="89" spans="1:21" x14ac:dyDescent="0.25">
      <c r="A89" s="95"/>
      <c r="B89" s="99">
        <v>2019</v>
      </c>
      <c r="C89" s="27" t="s">
        <v>28</v>
      </c>
      <c r="D89" s="21">
        <v>13.659599661448127</v>
      </c>
      <c r="E89" s="21">
        <v>1.4680521671901874</v>
      </c>
      <c r="F89" s="21">
        <v>21.986752178778286</v>
      </c>
      <c r="G89" s="21">
        <v>0.91628812740603571</v>
      </c>
      <c r="H89" s="21">
        <v>5.1507588648521656</v>
      </c>
      <c r="I89" s="21">
        <v>1.3422914765804155</v>
      </c>
      <c r="J89" s="21">
        <v>10.442561483809916</v>
      </c>
      <c r="K89" s="21">
        <v>16.364367392241995</v>
      </c>
      <c r="L89" s="21">
        <v>1.3218519308640775</v>
      </c>
      <c r="M89" s="21">
        <v>3.8769973951709078</v>
      </c>
      <c r="N89" s="21">
        <v>1.1985472730033839</v>
      </c>
      <c r="O89" s="21">
        <v>1.57267809287014</v>
      </c>
      <c r="P89" s="21">
        <v>8.725769169453935</v>
      </c>
      <c r="Q89" s="21">
        <v>3.7498926169590456</v>
      </c>
      <c r="R89" s="21">
        <v>6.1688771020244451</v>
      </c>
      <c r="S89" s="21">
        <v>2.0547276703339854</v>
      </c>
      <c r="T89" s="21">
        <v>-1.260298706168649E-5</v>
      </c>
      <c r="U89" s="22">
        <v>99.999999999999972</v>
      </c>
    </row>
    <row r="90" spans="1:21" x14ac:dyDescent="0.25">
      <c r="A90" s="95"/>
      <c r="B90" s="100"/>
      <c r="C90" s="16" t="s">
        <v>29</v>
      </c>
      <c r="D90" s="2">
        <v>17.506277909059744</v>
      </c>
      <c r="E90" s="2">
        <v>1.0946211414543983</v>
      </c>
      <c r="F90" s="2">
        <v>24.059871862969405</v>
      </c>
      <c r="G90" s="2">
        <v>0.91153123964103788</v>
      </c>
      <c r="H90" s="2">
        <v>4.9993416849657084</v>
      </c>
      <c r="I90" s="2">
        <v>1.2294271823758456</v>
      </c>
      <c r="J90" s="2">
        <v>6.4381214181297945</v>
      </c>
      <c r="K90" s="2">
        <v>15.639176164876995</v>
      </c>
      <c r="L90" s="2">
        <v>2.6924160686503349</v>
      </c>
      <c r="M90" s="2">
        <v>3.7069257118405461</v>
      </c>
      <c r="N90" s="2">
        <v>1.1583599610167623</v>
      </c>
      <c r="O90" s="2">
        <v>1.516734291830764</v>
      </c>
      <c r="P90" s="2">
        <v>7.5465278788539258</v>
      </c>
      <c r="Q90" s="2">
        <v>3.7865316480151407</v>
      </c>
      <c r="R90" s="2">
        <v>5.9283826079747035</v>
      </c>
      <c r="S90" s="2">
        <v>1.9830666649035231</v>
      </c>
      <c r="T90" s="2">
        <v>-0.19731343655862948</v>
      </c>
      <c r="U90" s="23">
        <v>99.999999999999957</v>
      </c>
    </row>
    <row r="91" spans="1:21" x14ac:dyDescent="0.25">
      <c r="A91" s="95"/>
      <c r="B91" s="100"/>
      <c r="C91" s="16" t="s">
        <v>30</v>
      </c>
      <c r="D91" s="2">
        <v>9.4613059426659039</v>
      </c>
      <c r="E91" s="2">
        <v>0.99976776498854636</v>
      </c>
      <c r="F91" s="2">
        <v>22.203075470349209</v>
      </c>
      <c r="G91" s="2">
        <v>0.96209548123637645</v>
      </c>
      <c r="H91" s="2">
        <v>5.162988767725369</v>
      </c>
      <c r="I91" s="2">
        <v>1.2849521200589731</v>
      </c>
      <c r="J91" s="2">
        <v>13.475276836826891</v>
      </c>
      <c r="K91" s="2">
        <v>16.018544597923448</v>
      </c>
      <c r="L91" s="2">
        <v>1.5848432798355336</v>
      </c>
      <c r="M91" s="2">
        <v>4.1589294186154246</v>
      </c>
      <c r="N91" s="2">
        <v>1.2158469714670728</v>
      </c>
      <c r="O91" s="2">
        <v>1.4353625724652319</v>
      </c>
      <c r="P91" s="2">
        <v>10.222489196542856</v>
      </c>
      <c r="Q91" s="2">
        <v>3.8769800672829131</v>
      </c>
      <c r="R91" s="2">
        <v>6.1051851366462122</v>
      </c>
      <c r="S91" s="2">
        <v>2.0306380312834036</v>
      </c>
      <c r="T91" s="2">
        <v>-0.19828165591334895</v>
      </c>
      <c r="U91" s="23">
        <v>100.00000000000003</v>
      </c>
    </row>
    <row r="92" spans="1:21" x14ac:dyDescent="0.25">
      <c r="A92" s="95"/>
      <c r="B92" s="101"/>
      <c r="C92" s="28" t="s">
        <v>31</v>
      </c>
      <c r="D92" s="20">
        <v>5.06746640619017</v>
      </c>
      <c r="E92" s="20">
        <v>1.3022258762051551</v>
      </c>
      <c r="F92" s="20">
        <v>25.330231012698494</v>
      </c>
      <c r="G92" s="20">
        <v>1.0454866034216965</v>
      </c>
      <c r="H92" s="20">
        <v>6.1870686363938177</v>
      </c>
      <c r="I92" s="20">
        <v>1.3950234163392219</v>
      </c>
      <c r="J92" s="20">
        <v>13.123961650203665</v>
      </c>
      <c r="K92" s="20">
        <v>14.876862553981848</v>
      </c>
      <c r="L92" s="20">
        <v>1.5951842682490909</v>
      </c>
      <c r="M92" s="20">
        <v>3.3078596938517633</v>
      </c>
      <c r="N92" s="20">
        <v>0.86604533721780452</v>
      </c>
      <c r="O92" s="20">
        <v>3.633829337050968</v>
      </c>
      <c r="P92" s="20">
        <v>10.100345666589462</v>
      </c>
      <c r="Q92" s="20">
        <v>3.3993891322158132</v>
      </c>
      <c r="R92" s="20">
        <v>5.6367494867855008</v>
      </c>
      <c r="S92" s="20">
        <v>3.1553595012079119</v>
      </c>
      <c r="T92" s="20">
        <v>-2.3088578602385609E-2</v>
      </c>
      <c r="U92" s="24">
        <v>100</v>
      </c>
    </row>
    <row r="93" spans="1:21" x14ac:dyDescent="0.25">
      <c r="A93" s="95"/>
      <c r="B93" s="51"/>
      <c r="C93" s="16"/>
      <c r="D93" s="26">
        <v>13.758985205754422</v>
      </c>
      <c r="E93" s="26">
        <v>1.3507822611743914</v>
      </c>
      <c r="F93" s="26">
        <v>19.844921392856467</v>
      </c>
      <c r="G93" s="26">
        <v>1.6156190097722338</v>
      </c>
      <c r="H93" s="26">
        <v>6.0974571817369458</v>
      </c>
      <c r="I93" s="26">
        <v>1.5347434077062203</v>
      </c>
      <c r="J93" s="26">
        <v>8.0453224505225176</v>
      </c>
      <c r="K93" s="26">
        <v>18.046524169463382</v>
      </c>
      <c r="L93" s="26">
        <v>2.0121987959945038</v>
      </c>
      <c r="M93" s="26">
        <v>2.3149613343667044</v>
      </c>
      <c r="N93" s="26">
        <v>0.8998252526118603</v>
      </c>
      <c r="O93" s="26">
        <v>2.2551096259546335</v>
      </c>
      <c r="P93" s="26">
        <v>9.746250177872632</v>
      </c>
      <c r="Q93" s="26">
        <v>3.5580034222227908</v>
      </c>
      <c r="R93" s="26">
        <v>6.5578950854063622</v>
      </c>
      <c r="S93" s="26">
        <v>3.8274536134817545</v>
      </c>
      <c r="T93" s="26">
        <v>-1.4660523868978153</v>
      </c>
      <c r="U93" s="47">
        <v>100</v>
      </c>
    </row>
    <row r="94" spans="1:21" x14ac:dyDescent="0.25">
      <c r="A94" s="95"/>
      <c r="B94" s="99">
        <v>2020</v>
      </c>
      <c r="C94" s="27" t="s">
        <v>28</v>
      </c>
      <c r="D94" s="21">
        <v>14.760185277078254</v>
      </c>
      <c r="E94" s="21">
        <v>1.5334489670646985</v>
      </c>
      <c r="F94" s="21">
        <v>22.140513257368205</v>
      </c>
      <c r="G94" s="21">
        <v>1.5867994978108833</v>
      </c>
      <c r="H94" s="21">
        <v>5.5323057111784184</v>
      </c>
      <c r="I94" s="21">
        <v>1.5232729263059304</v>
      </c>
      <c r="J94" s="21">
        <v>7.7697639792390598</v>
      </c>
      <c r="K94" s="21">
        <v>16.521557767158448</v>
      </c>
      <c r="L94" s="21">
        <v>1.3069842911987046</v>
      </c>
      <c r="M94" s="21">
        <v>3.3217903112440661</v>
      </c>
      <c r="N94" s="21">
        <v>0.88132475155873446</v>
      </c>
      <c r="O94" s="21">
        <v>1.9373186040597064</v>
      </c>
      <c r="P94" s="21">
        <v>8.7541588978161382</v>
      </c>
      <c r="Q94" s="21">
        <v>3.7397138828895899</v>
      </c>
      <c r="R94" s="21">
        <v>7.1053333842262507</v>
      </c>
      <c r="S94" s="21">
        <v>3.4447324844827265</v>
      </c>
      <c r="T94" s="21">
        <v>-1.8592039906797915</v>
      </c>
      <c r="U94" s="22">
        <v>100.00000000000004</v>
      </c>
    </row>
    <row r="95" spans="1:21" x14ac:dyDescent="0.25">
      <c r="A95" s="95"/>
      <c r="B95" s="100"/>
      <c r="C95" s="16" t="s">
        <v>29</v>
      </c>
      <c r="D95" s="2">
        <v>22.789246484395576</v>
      </c>
      <c r="E95" s="2">
        <v>1.166617731480027</v>
      </c>
      <c r="F95" s="2">
        <v>15.068836639378553</v>
      </c>
      <c r="G95" s="2">
        <v>1.4817812920163167</v>
      </c>
      <c r="H95" s="2">
        <v>5.538561118883325</v>
      </c>
      <c r="I95" s="2">
        <v>1.7263813851211074</v>
      </c>
      <c r="J95" s="2">
        <v>5.0706977713675263</v>
      </c>
      <c r="K95" s="2">
        <v>16.694053545168771</v>
      </c>
      <c r="L95" s="2">
        <v>3.3748874413499932</v>
      </c>
      <c r="M95" s="2">
        <v>0.85516674753207123</v>
      </c>
      <c r="N95" s="2">
        <v>1.0419422361066946</v>
      </c>
      <c r="O95" s="2">
        <v>2.5987567861080341</v>
      </c>
      <c r="P95" s="2">
        <v>10.149234088223666</v>
      </c>
      <c r="Q95" s="2">
        <v>3.5115311691965458</v>
      </c>
      <c r="R95" s="2">
        <v>5.7921420192472421</v>
      </c>
      <c r="S95" s="2">
        <v>4.0473792653873062</v>
      </c>
      <c r="T95" s="2">
        <v>-0.90721572096276337</v>
      </c>
      <c r="U95" s="23">
        <v>99.999999999999986</v>
      </c>
    </row>
    <row r="96" spans="1:21" x14ac:dyDescent="0.25">
      <c r="A96" s="95"/>
      <c r="B96" s="100"/>
      <c r="C96" s="16" t="s">
        <v>30</v>
      </c>
      <c r="D96" s="2">
        <v>11.914758544664386</v>
      </c>
      <c r="E96" s="2">
        <v>0.98392512558569056</v>
      </c>
      <c r="F96" s="2">
        <v>21.201738818554695</v>
      </c>
      <c r="G96" s="2">
        <v>1.7014752355409946</v>
      </c>
      <c r="H96" s="2">
        <v>5.7936394546609584</v>
      </c>
      <c r="I96" s="2">
        <v>1.4051296783249976</v>
      </c>
      <c r="J96" s="2">
        <v>9.1185502722574761</v>
      </c>
      <c r="K96" s="2">
        <v>18.112485601839385</v>
      </c>
      <c r="L96" s="2">
        <v>1.7678422849959314</v>
      </c>
      <c r="M96" s="2">
        <v>1.3406495006106351</v>
      </c>
      <c r="N96" s="2">
        <v>0.94064916167162904</v>
      </c>
      <c r="O96" s="2">
        <v>2.2536927456859113</v>
      </c>
      <c r="P96" s="2">
        <v>10.553963379785694</v>
      </c>
      <c r="Q96" s="2">
        <v>3.4554157392878397</v>
      </c>
      <c r="R96" s="2">
        <v>6.9101013272720095</v>
      </c>
      <c r="S96" s="2">
        <v>3.9775402301396383</v>
      </c>
      <c r="T96" s="2">
        <v>-1.4315571008778691</v>
      </c>
      <c r="U96" s="23">
        <v>100.00000000000003</v>
      </c>
    </row>
    <row r="97" spans="1:21" x14ac:dyDescent="0.25">
      <c r="A97" s="95"/>
      <c r="B97" s="101"/>
      <c r="C97" s="28" t="s">
        <v>31</v>
      </c>
      <c r="D97" s="20">
        <v>7.5563455162221143</v>
      </c>
      <c r="E97" s="20">
        <v>1.6591828034882523</v>
      </c>
      <c r="F97" s="20">
        <v>20.261464706140472</v>
      </c>
      <c r="G97" s="20">
        <v>1.6674800950745243</v>
      </c>
      <c r="H97" s="20">
        <v>7.3057441420070202</v>
      </c>
      <c r="I97" s="20">
        <v>1.513551636712241</v>
      </c>
      <c r="J97" s="20">
        <v>9.6219262408389969</v>
      </c>
      <c r="K97" s="20">
        <v>20.391545925174761</v>
      </c>
      <c r="L97" s="20">
        <v>1.8100156794214963</v>
      </c>
      <c r="M97" s="20">
        <v>3.4170596640315671</v>
      </c>
      <c r="N97" s="20">
        <v>0.77006964976834213</v>
      </c>
      <c r="O97" s="20">
        <v>2.2749746263878841</v>
      </c>
      <c r="P97" s="20">
        <v>9.5956886388103886</v>
      </c>
      <c r="Q97" s="20">
        <v>3.5237736537174396</v>
      </c>
      <c r="R97" s="20">
        <v>6.3436555147305782</v>
      </c>
      <c r="S97" s="20">
        <v>3.8646639169544756</v>
      </c>
      <c r="T97" s="20">
        <v>-1.5771424094805326</v>
      </c>
      <c r="U97" s="24">
        <v>100.00000000000003</v>
      </c>
    </row>
    <row r="98" spans="1:21" x14ac:dyDescent="0.25">
      <c r="A98" s="95"/>
      <c r="B98" s="51"/>
      <c r="C98" s="49" t="s">
        <v>51</v>
      </c>
      <c r="D98" s="26">
        <v>14.918172940309503</v>
      </c>
      <c r="E98" s="26">
        <v>1.9136238593931048</v>
      </c>
      <c r="F98" s="26">
        <v>23.832323006391629</v>
      </c>
      <c r="G98" s="26">
        <v>1.2753756468051021</v>
      </c>
      <c r="H98" s="26">
        <v>6.1937375600934921</v>
      </c>
      <c r="I98" s="26">
        <v>1.4327134368024372</v>
      </c>
      <c r="J98" s="26">
        <v>6.2604191169259682</v>
      </c>
      <c r="K98" s="26">
        <v>18.823889651703141</v>
      </c>
      <c r="L98" s="26">
        <v>1.3877333988527929</v>
      </c>
      <c r="M98" s="26">
        <v>2.5454551643712793</v>
      </c>
      <c r="N98" s="26">
        <v>0.66530446252833375</v>
      </c>
      <c r="O98" s="26">
        <v>1.6618979579911783</v>
      </c>
      <c r="P98" s="26">
        <v>8.5261006014526473</v>
      </c>
      <c r="Q98" s="26">
        <v>2.9850727718738166</v>
      </c>
      <c r="R98" s="26">
        <v>6.4811256404410145</v>
      </c>
      <c r="S98" s="26">
        <v>3.4838799063876364</v>
      </c>
      <c r="T98" s="26">
        <v>-2.3868251223230588</v>
      </c>
      <c r="U98" s="47">
        <v>100.00000000000001</v>
      </c>
    </row>
    <row r="99" spans="1:21" x14ac:dyDescent="0.25">
      <c r="A99" s="95"/>
      <c r="B99" s="99">
        <v>2021</v>
      </c>
      <c r="C99" s="27" t="s">
        <v>28</v>
      </c>
      <c r="D99" s="21">
        <v>15.183687690436315</v>
      </c>
      <c r="E99" s="21">
        <v>2.1976065609346733</v>
      </c>
      <c r="F99" s="21">
        <v>23.892752490080188</v>
      </c>
      <c r="G99" s="21">
        <v>1.8503213135594376</v>
      </c>
      <c r="H99" s="21">
        <v>5.7768558311670084</v>
      </c>
      <c r="I99" s="21">
        <v>1.5706951896482377</v>
      </c>
      <c r="J99" s="21">
        <v>5.6863708466458922</v>
      </c>
      <c r="K99" s="21">
        <v>16.389272918830113</v>
      </c>
      <c r="L99" s="21">
        <v>1.3460684678123775</v>
      </c>
      <c r="M99" s="21">
        <v>3.0198517748395224</v>
      </c>
      <c r="N99" s="21">
        <v>0.70508555747332735</v>
      </c>
      <c r="O99" s="21">
        <v>1.9787090421400306</v>
      </c>
      <c r="P99" s="21">
        <v>8.543264742466274</v>
      </c>
      <c r="Q99" s="21">
        <v>3.4119608584323293</v>
      </c>
      <c r="R99" s="21">
        <v>6.9305437987598975</v>
      </c>
      <c r="S99" s="21">
        <v>3.5398548074989198</v>
      </c>
      <c r="T99" s="21">
        <v>-2.0229018907245306</v>
      </c>
      <c r="U99" s="22">
        <v>100.00000000000001</v>
      </c>
    </row>
    <row r="100" spans="1:21" x14ac:dyDescent="0.25">
      <c r="A100" s="95"/>
      <c r="B100" s="100"/>
      <c r="C100" s="16" t="s">
        <v>29</v>
      </c>
      <c r="D100" s="2">
        <v>23.472719937220699</v>
      </c>
      <c r="E100" s="2">
        <v>1.7124449147549059</v>
      </c>
      <c r="F100" s="2">
        <v>24.836431857458049</v>
      </c>
      <c r="G100" s="2">
        <v>0.92384650489724962</v>
      </c>
      <c r="H100" s="2">
        <v>5.0335323407722905</v>
      </c>
      <c r="I100" s="2">
        <v>1.4671791297579313</v>
      </c>
      <c r="J100" s="2">
        <v>2.5719374241172854</v>
      </c>
      <c r="K100" s="2">
        <v>15.12514443750495</v>
      </c>
      <c r="L100" s="2">
        <v>2.4578874817928029</v>
      </c>
      <c r="M100" s="2">
        <v>1.0646489449209411</v>
      </c>
      <c r="N100" s="2">
        <v>0.73856539492870488</v>
      </c>
      <c r="O100" s="2">
        <v>1.7365300499150522</v>
      </c>
      <c r="P100" s="2">
        <v>8.3374258818112637</v>
      </c>
      <c r="Q100" s="2">
        <v>2.6355059667275214</v>
      </c>
      <c r="R100" s="2">
        <v>6.5917768530013428</v>
      </c>
      <c r="S100" s="2">
        <v>3.764050443323407</v>
      </c>
      <c r="T100" s="2">
        <v>-2.4696275629043947</v>
      </c>
      <c r="U100" s="23">
        <v>100.00000000000003</v>
      </c>
    </row>
    <row r="101" spans="1:21" x14ac:dyDescent="0.25">
      <c r="A101" s="95"/>
      <c r="B101" s="100"/>
      <c r="C101" s="16" t="s">
        <v>30</v>
      </c>
      <c r="D101" s="2">
        <v>13.41529282199914</v>
      </c>
      <c r="E101" s="2">
        <v>1.6942969360470141</v>
      </c>
      <c r="F101" s="2">
        <v>25.144655906515716</v>
      </c>
      <c r="G101" s="2">
        <v>1.0206121223027818</v>
      </c>
      <c r="H101" s="2">
        <v>6.4374396682133979</v>
      </c>
      <c r="I101" s="2">
        <v>1.3362075858648543</v>
      </c>
      <c r="J101" s="2">
        <v>6.8643338733427166</v>
      </c>
      <c r="K101" s="2">
        <v>20.533045265046415</v>
      </c>
      <c r="L101" s="2">
        <v>0.77842573078580002</v>
      </c>
      <c r="M101" s="2">
        <v>1.9485742195886895</v>
      </c>
      <c r="N101" s="2">
        <v>0.73740483644935151</v>
      </c>
      <c r="O101" s="2">
        <v>1.4776913760653365</v>
      </c>
      <c r="P101" s="2">
        <v>8.3754390204047606</v>
      </c>
      <c r="Q101" s="2">
        <v>2.9378337279454336</v>
      </c>
      <c r="R101" s="2">
        <v>6.315540196170506</v>
      </c>
      <c r="S101" s="2">
        <v>3.5467253241014594</v>
      </c>
      <c r="T101" s="2">
        <v>-2.5635186108433663</v>
      </c>
      <c r="U101" s="23">
        <v>100.00000000000001</v>
      </c>
    </row>
    <row r="102" spans="1:21" x14ac:dyDescent="0.25">
      <c r="A102" s="95"/>
      <c r="B102" s="101"/>
      <c r="C102" s="28" t="s">
        <v>31</v>
      </c>
      <c r="D102" s="20">
        <v>8.9538506631744319</v>
      </c>
      <c r="E102" s="20">
        <v>2.0514177432043432</v>
      </c>
      <c r="F102" s="20">
        <v>21.823455147648346</v>
      </c>
      <c r="G102" s="20">
        <v>1.3447750706364436</v>
      </c>
      <c r="H102" s="20">
        <v>7.2602094890241053</v>
      </c>
      <c r="I102" s="20">
        <v>1.3818663407513059</v>
      </c>
      <c r="J102" s="20">
        <v>9.2225148399825905</v>
      </c>
      <c r="K102" s="20">
        <v>22.265982147207243</v>
      </c>
      <c r="L102" s="20">
        <v>1.0630504281352653</v>
      </c>
      <c r="M102" s="20">
        <v>3.9194504159733419</v>
      </c>
      <c r="N102" s="20">
        <v>0.51204902501646488</v>
      </c>
      <c r="O102" s="20">
        <v>1.5165730156558663</v>
      </c>
      <c r="P102" s="20">
        <v>8.7988178939980948</v>
      </c>
      <c r="Q102" s="20">
        <v>2.9870570984104048</v>
      </c>
      <c r="R102" s="20">
        <v>6.1883161029048743</v>
      </c>
      <c r="S102" s="20">
        <v>3.1554607768336478</v>
      </c>
      <c r="T102" s="20">
        <v>-2.444846198556752</v>
      </c>
      <c r="U102" s="24">
        <v>100.00000000000003</v>
      </c>
    </row>
    <row r="103" spans="1:21" x14ac:dyDescent="0.25">
      <c r="A103" s="95"/>
      <c r="B103" s="51"/>
      <c r="C103" s="49" t="s">
        <v>51</v>
      </c>
      <c r="D103" s="26">
        <v>17.27798893844642</v>
      </c>
      <c r="E103" s="26">
        <v>2.1521280794192834</v>
      </c>
      <c r="F103" s="26">
        <v>20.633357682515786</v>
      </c>
      <c r="G103" s="26">
        <v>1.1994877257199164</v>
      </c>
      <c r="H103" s="26">
        <v>6.7164781373949403</v>
      </c>
      <c r="I103" s="26">
        <v>1.513553517748186</v>
      </c>
      <c r="J103" s="26">
        <v>5.8844441125586444</v>
      </c>
      <c r="K103" s="26">
        <v>19.082991093045941</v>
      </c>
      <c r="L103" s="26">
        <v>1.4476918596759396</v>
      </c>
      <c r="M103" s="26">
        <v>2.9912010195075291</v>
      </c>
      <c r="N103" s="26">
        <v>0.51831812221445994</v>
      </c>
      <c r="O103" s="26">
        <v>1.5460945207248669</v>
      </c>
      <c r="P103" s="26">
        <v>9.2501366651237014</v>
      </c>
      <c r="Q103" s="26">
        <v>3.0791160041854519</v>
      </c>
      <c r="R103" s="26">
        <v>6.5656777262528543</v>
      </c>
      <c r="S103" s="26">
        <v>3.2463582288975701</v>
      </c>
      <c r="T103" s="26">
        <v>-3.1050234334314704</v>
      </c>
      <c r="U103" s="47">
        <v>100.00000000000004</v>
      </c>
    </row>
    <row r="104" spans="1:21" x14ac:dyDescent="0.25">
      <c r="A104" s="95"/>
      <c r="B104" s="99">
        <v>2022</v>
      </c>
      <c r="C104" s="27" t="s">
        <v>28</v>
      </c>
      <c r="D104" s="21">
        <v>15.8753738844084</v>
      </c>
      <c r="E104" s="21">
        <v>2.4146159344124167</v>
      </c>
      <c r="F104" s="21">
        <v>24.92581194601706</v>
      </c>
      <c r="G104" s="21">
        <v>1.6305055748455803</v>
      </c>
      <c r="H104" s="21">
        <v>6.6222430874639624</v>
      </c>
      <c r="I104" s="21">
        <v>1.5348806929588132</v>
      </c>
      <c r="J104" s="21">
        <v>4.9558742337294044</v>
      </c>
      <c r="K104" s="21">
        <v>17.714320328928984</v>
      </c>
      <c r="L104" s="21">
        <v>1.366943731010086</v>
      </c>
      <c r="M104" s="21">
        <v>3.4927111342673642</v>
      </c>
      <c r="N104" s="21">
        <v>0.52780778735962686</v>
      </c>
      <c r="O104" s="21">
        <v>1.4880322800090764</v>
      </c>
      <c r="P104" s="21">
        <v>8.0318893298777638</v>
      </c>
      <c r="Q104" s="21">
        <v>3.3222760939706006</v>
      </c>
      <c r="R104" s="21">
        <v>6.0184073859048155</v>
      </c>
      <c r="S104" s="21">
        <v>2.9119190521284399</v>
      </c>
      <c r="T104" s="21">
        <v>-2.8336124772924016</v>
      </c>
      <c r="U104" s="22">
        <v>100</v>
      </c>
    </row>
    <row r="105" spans="1:21" x14ac:dyDescent="0.25">
      <c r="A105" s="95"/>
      <c r="B105" s="100"/>
      <c r="C105" s="16" t="s">
        <v>29</v>
      </c>
      <c r="D105" s="2">
        <v>29.928513038321757</v>
      </c>
      <c r="E105" s="2">
        <v>1.8029836389683036</v>
      </c>
      <c r="F105" s="2">
        <v>20.18246319880673</v>
      </c>
      <c r="G105" s="2">
        <v>1.1848231310766633</v>
      </c>
      <c r="H105" s="2">
        <v>5.1279117138740702</v>
      </c>
      <c r="I105" s="2">
        <v>1.3592813948593785</v>
      </c>
      <c r="J105" s="2">
        <v>2.3435915667059328</v>
      </c>
      <c r="K105" s="2">
        <v>17.262927062992858</v>
      </c>
      <c r="L105" s="2">
        <v>2.2556454441594047</v>
      </c>
      <c r="M105" s="2">
        <v>1.1603893611919338</v>
      </c>
      <c r="N105" s="2">
        <v>0.51303344088060743</v>
      </c>
      <c r="O105" s="2">
        <v>1.3742804864533515</v>
      </c>
      <c r="P105" s="2">
        <v>7.5676755334873587</v>
      </c>
      <c r="Q105" s="2">
        <v>2.5042074143210962</v>
      </c>
      <c r="R105" s="2">
        <v>6.0269001180003832</v>
      </c>
      <c r="S105" s="2">
        <v>2.7576932141095813</v>
      </c>
      <c r="T105" s="2">
        <v>-3.3523197582093989</v>
      </c>
      <c r="U105" s="23">
        <v>100.00000000000001</v>
      </c>
    </row>
    <row r="106" spans="1:21" x14ac:dyDescent="0.25">
      <c r="A106" s="95"/>
      <c r="B106" s="100"/>
      <c r="C106" s="16" t="s">
        <v>30</v>
      </c>
      <c r="D106" s="2">
        <v>13.397693970963074</v>
      </c>
      <c r="E106" s="2">
        <v>1.8521681701937933</v>
      </c>
      <c r="F106" s="2">
        <v>21.554792113061566</v>
      </c>
      <c r="G106" s="2">
        <v>0.85109869107090752</v>
      </c>
      <c r="H106" s="2">
        <v>7.2475735472585345</v>
      </c>
      <c r="I106" s="2">
        <v>1.5253318897593717</v>
      </c>
      <c r="J106" s="2">
        <v>6.2946210181700755</v>
      </c>
      <c r="K106" s="2">
        <v>19.920024183954009</v>
      </c>
      <c r="L106" s="2">
        <v>0.89317570020378212</v>
      </c>
      <c r="M106" s="2">
        <v>2.3569906370709339</v>
      </c>
      <c r="N106" s="2">
        <v>0.62367341073286231</v>
      </c>
      <c r="O106" s="2">
        <v>1.8010436912372023</v>
      </c>
      <c r="P106" s="2">
        <v>11.330154294407203</v>
      </c>
      <c r="Q106" s="2">
        <v>3.3114817004370569</v>
      </c>
      <c r="R106" s="2">
        <v>7.1942839543550159</v>
      </c>
      <c r="S106" s="2">
        <v>3.3841636585498271</v>
      </c>
      <c r="T106" s="2">
        <v>-3.5382706314251999</v>
      </c>
      <c r="U106" s="23">
        <v>100.00000000000001</v>
      </c>
    </row>
    <row r="107" spans="1:21" x14ac:dyDescent="0.25">
      <c r="A107" s="95"/>
      <c r="B107" s="101"/>
      <c r="C107" s="28" t="s">
        <v>31</v>
      </c>
      <c r="D107" s="20">
        <v>9.289837183006517</v>
      </c>
      <c r="E107" s="20">
        <v>2.5302539049635531</v>
      </c>
      <c r="F107" s="20">
        <v>16.554698463490784</v>
      </c>
      <c r="G107" s="20">
        <v>1.1409099484724812</v>
      </c>
      <c r="H107" s="20">
        <v>7.9165639557669465</v>
      </c>
      <c r="I107" s="20">
        <v>1.638041780536579</v>
      </c>
      <c r="J107" s="20">
        <v>9.8528116046338745</v>
      </c>
      <c r="K107" s="20">
        <v>21.355625105484503</v>
      </c>
      <c r="L107" s="20">
        <v>1.1951131524795058</v>
      </c>
      <c r="M107" s="20">
        <v>4.9221956729032925</v>
      </c>
      <c r="N107" s="20">
        <v>0.4241932905289027</v>
      </c>
      <c r="O107" s="20">
        <v>1.5466469076033327</v>
      </c>
      <c r="P107" s="20">
        <v>10.180294674033391</v>
      </c>
      <c r="Q107" s="20">
        <v>3.2377982663186069</v>
      </c>
      <c r="R107" s="20">
        <v>7.0325003404846225</v>
      </c>
      <c r="S107" s="20">
        <v>3.903022171301429</v>
      </c>
      <c r="T107" s="20">
        <v>-2.7205064220083073</v>
      </c>
      <c r="U107" s="24">
        <v>100</v>
      </c>
    </row>
    <row r="108" spans="1:21" x14ac:dyDescent="0.25">
      <c r="A108" s="95"/>
      <c r="B108" s="51"/>
      <c r="C108" s="49" t="s">
        <v>51</v>
      </c>
      <c r="D108" s="26">
        <v>18.675468523956308</v>
      </c>
      <c r="E108" s="26">
        <v>2.2338684187876114</v>
      </c>
      <c r="F108" s="26">
        <v>20.317414991837584</v>
      </c>
      <c r="G108" s="26">
        <v>1.2741609980080821</v>
      </c>
      <c r="H108" s="26">
        <v>7.4006662444105435</v>
      </c>
      <c r="I108" s="26">
        <v>1.6349610628820443</v>
      </c>
      <c r="J108" s="26">
        <v>5.0740437073866174</v>
      </c>
      <c r="K108" s="26">
        <v>18.412989119736608</v>
      </c>
      <c r="L108" s="26">
        <v>1.3349491869007108</v>
      </c>
      <c r="M108" s="26">
        <v>2.5512025339590769</v>
      </c>
      <c r="N108" s="26">
        <v>0.47405730892342707</v>
      </c>
      <c r="O108" s="26">
        <v>1.3825144694822367</v>
      </c>
      <c r="P108" s="26">
        <v>10.202856293966283</v>
      </c>
      <c r="Q108" s="26">
        <v>2.7949099184369963</v>
      </c>
      <c r="R108" s="26">
        <v>6.4009369957090891</v>
      </c>
      <c r="S108" s="26">
        <v>2.8302774330881939</v>
      </c>
      <c r="T108" s="26">
        <v>-2.99527720747139</v>
      </c>
      <c r="U108" s="47">
        <v>100.00000000000001</v>
      </c>
    </row>
    <row r="109" spans="1:21" x14ac:dyDescent="0.25">
      <c r="A109" s="95"/>
      <c r="B109" s="99">
        <v>2023</v>
      </c>
      <c r="C109" s="27" t="s">
        <v>28</v>
      </c>
      <c r="D109" s="21">
        <v>18.473630486560001</v>
      </c>
      <c r="E109" s="21">
        <v>2.8843022871642878</v>
      </c>
      <c r="F109" s="21">
        <v>16.632132595605576</v>
      </c>
      <c r="G109" s="21">
        <v>1.0105155418339096</v>
      </c>
      <c r="H109" s="21">
        <v>7.9371334872874382</v>
      </c>
      <c r="I109" s="21">
        <v>1.9002832214088703</v>
      </c>
      <c r="J109" s="21">
        <v>4.603674954975026</v>
      </c>
      <c r="K109" s="21">
        <v>18.690186472650975</v>
      </c>
      <c r="L109" s="21">
        <v>1.4008596407770957</v>
      </c>
      <c r="M109" s="21">
        <v>3.9638596808528201</v>
      </c>
      <c r="N109" s="21">
        <v>0.55390772334772254</v>
      </c>
      <c r="O109" s="21">
        <v>1.3757021676671972</v>
      </c>
      <c r="P109" s="21">
        <v>10.350034345626609</v>
      </c>
      <c r="Q109" s="21">
        <v>3.5282603798876786</v>
      </c>
      <c r="R109" s="21">
        <v>6.9642096921303454</v>
      </c>
      <c r="S109" s="21">
        <v>2.8239424099107788</v>
      </c>
      <c r="T109" s="21">
        <v>-3.0926350876863462</v>
      </c>
      <c r="U109" s="22">
        <v>100</v>
      </c>
    </row>
    <row r="110" spans="1:21" x14ac:dyDescent="0.25">
      <c r="A110" s="95"/>
      <c r="B110" s="100"/>
      <c r="C110" s="16" t="s">
        <v>29</v>
      </c>
      <c r="D110" s="2">
        <v>32.223242399861377</v>
      </c>
      <c r="E110" s="2">
        <v>1.8776488548768893</v>
      </c>
      <c r="F110" s="2">
        <v>15.257448936186305</v>
      </c>
      <c r="G110" s="2">
        <v>0.80421203084341653</v>
      </c>
      <c r="H110" s="2">
        <v>5.9147554758305878</v>
      </c>
      <c r="I110" s="2">
        <v>1.4645080822469125</v>
      </c>
      <c r="J110" s="2">
        <v>3.0554526072019828</v>
      </c>
      <c r="K110" s="2">
        <v>16.090803147118297</v>
      </c>
      <c r="L110" s="2">
        <v>1.8455105648501939</v>
      </c>
      <c r="M110" s="2">
        <v>0.95133196642581153</v>
      </c>
      <c r="N110" s="2">
        <v>0.45467444679258917</v>
      </c>
      <c r="O110" s="2">
        <v>1.2006791693863375</v>
      </c>
      <c r="P110" s="2">
        <v>8.8858894733017255</v>
      </c>
      <c r="Q110" s="2">
        <v>2.2404262285910796</v>
      </c>
      <c r="R110" s="2">
        <v>6.4700691700251527</v>
      </c>
      <c r="S110" s="2">
        <v>2.4791632188280461</v>
      </c>
      <c r="T110" s="2">
        <v>-1.2158157723666856</v>
      </c>
      <c r="U110" s="23">
        <v>100.00000000000003</v>
      </c>
    </row>
    <row r="111" spans="1:21" x14ac:dyDescent="0.25">
      <c r="A111" s="95"/>
      <c r="B111" s="100"/>
      <c r="C111" s="16" t="s">
        <v>30</v>
      </c>
      <c r="D111" s="2">
        <v>13.20350576696935</v>
      </c>
      <c r="E111" s="2">
        <v>1.8841791329079833</v>
      </c>
      <c r="F111" s="2">
        <v>25.992628897578356</v>
      </c>
      <c r="G111" s="2">
        <v>1.9819616765495023</v>
      </c>
      <c r="H111" s="2">
        <v>7.2768723997333211</v>
      </c>
      <c r="I111" s="2">
        <v>1.5015154851539299</v>
      </c>
      <c r="J111" s="2">
        <v>6.3712605455815554</v>
      </c>
      <c r="K111" s="2">
        <v>17.528888326012972</v>
      </c>
      <c r="L111" s="2">
        <v>0.80639034232528506</v>
      </c>
      <c r="M111" s="2">
        <v>1.7990746576910361</v>
      </c>
      <c r="N111" s="2">
        <v>0.49984108643229508</v>
      </c>
      <c r="O111" s="2">
        <v>1.6975740827015615</v>
      </c>
      <c r="P111" s="2">
        <v>10.684848957863396</v>
      </c>
      <c r="Q111" s="2">
        <v>2.6768453840898143</v>
      </c>
      <c r="R111" s="2">
        <v>6.2159892819434459</v>
      </c>
      <c r="S111" s="2">
        <v>3.0555863789412996</v>
      </c>
      <c r="T111" s="2">
        <v>-3.1769624024751217</v>
      </c>
      <c r="U111" s="23">
        <v>99.999999999999986</v>
      </c>
    </row>
    <row r="112" spans="1:21" x14ac:dyDescent="0.25">
      <c r="A112" s="95"/>
      <c r="B112" s="101"/>
      <c r="C112" s="28" t="s">
        <v>31</v>
      </c>
      <c r="D112" s="20">
        <v>10.671223505597085</v>
      </c>
      <c r="E112" s="20">
        <v>2.4126452883085925</v>
      </c>
      <c r="F112" s="20">
        <v>22.786832081816197</v>
      </c>
      <c r="G112" s="20">
        <v>1.2745980067253004</v>
      </c>
      <c r="H112" s="20">
        <v>8.5620656634280401</v>
      </c>
      <c r="I112" s="20">
        <v>1.723924683322009</v>
      </c>
      <c r="J112" s="20">
        <v>6.1987080612869283</v>
      </c>
      <c r="K112" s="20">
        <v>21.302038350759403</v>
      </c>
      <c r="L112" s="20">
        <v>1.2783153976639279</v>
      </c>
      <c r="M112" s="20">
        <v>3.7419495861963097</v>
      </c>
      <c r="N112" s="20">
        <v>0.40795213442389522</v>
      </c>
      <c r="O112" s="20">
        <v>1.271468146393445</v>
      </c>
      <c r="P112" s="20">
        <v>10.930147889752035</v>
      </c>
      <c r="Q112" s="20">
        <v>2.8881421883339238</v>
      </c>
      <c r="R112" s="20">
        <v>6.0757104548930592</v>
      </c>
      <c r="S112" s="20">
        <v>2.9685460130109269</v>
      </c>
      <c r="T112" s="20">
        <v>-4.4942674519110382</v>
      </c>
      <c r="U112" s="24">
        <v>100.00000000000003</v>
      </c>
    </row>
    <row r="113" spans="1:21" x14ac:dyDescent="0.25">
      <c r="A113" s="95"/>
      <c r="B113" s="51"/>
      <c r="C113" s="49" t="s">
        <v>51</v>
      </c>
      <c r="D113" s="26">
        <v>19.421472034254442</v>
      </c>
      <c r="E113" s="26">
        <v>2.1311989540326688</v>
      </c>
      <c r="F113" s="26">
        <v>19.092579375658826</v>
      </c>
      <c r="G113" s="26">
        <v>2.2994756518948578</v>
      </c>
      <c r="H113" s="26">
        <v>6.5761625979485663</v>
      </c>
      <c r="I113" s="26">
        <v>1.5521817210633635</v>
      </c>
      <c r="J113" s="26">
        <v>4.3638290821721331</v>
      </c>
      <c r="K113" s="26">
        <v>18.573439262165092</v>
      </c>
      <c r="L113" s="26">
        <v>1.3989232388596495</v>
      </c>
      <c r="M113" s="26">
        <v>2.5013065251754352</v>
      </c>
      <c r="N113" s="26">
        <v>0.43785452463787405</v>
      </c>
      <c r="O113" s="26">
        <v>1.5150092514033344</v>
      </c>
      <c r="P113" s="26">
        <v>10.992306323500815</v>
      </c>
      <c r="Q113" s="26">
        <v>2.6552817886894413</v>
      </c>
      <c r="R113" s="26">
        <v>6.5334363633321759</v>
      </c>
      <c r="S113" s="26">
        <v>2.5190696955178913</v>
      </c>
      <c r="T113" s="26">
        <v>-2.5635263903065644</v>
      </c>
      <c r="U113" s="47">
        <v>99.999999999999972</v>
      </c>
    </row>
    <row r="114" spans="1:21" x14ac:dyDescent="0.25">
      <c r="A114" s="95"/>
      <c r="B114" s="99">
        <v>2024</v>
      </c>
      <c r="C114" s="27" t="s">
        <v>28</v>
      </c>
      <c r="D114" s="21">
        <v>18.312749197580917</v>
      </c>
      <c r="E114" s="21">
        <v>2.2956886185968028</v>
      </c>
      <c r="F114" s="21">
        <v>21.446387031063885</v>
      </c>
      <c r="G114" s="21">
        <v>1.3952233666188165</v>
      </c>
      <c r="H114" s="21">
        <v>6.887517000710246</v>
      </c>
      <c r="I114" s="21">
        <v>1.7995111005612197</v>
      </c>
      <c r="J114" s="21">
        <v>3.6946815427113102</v>
      </c>
      <c r="K114" s="21">
        <v>17.778689884616693</v>
      </c>
      <c r="L114" s="21">
        <v>1.3176821773868002</v>
      </c>
      <c r="M114" s="21">
        <v>3.9376536601933583</v>
      </c>
      <c r="N114" s="21">
        <v>0.38909000153465284</v>
      </c>
      <c r="O114" s="21">
        <v>1.698397003827713</v>
      </c>
      <c r="P114" s="21">
        <v>10.790976428929424</v>
      </c>
      <c r="Q114" s="21">
        <v>2.9786360218634491</v>
      </c>
      <c r="R114" s="21">
        <v>5.9120735233318467</v>
      </c>
      <c r="S114" s="21">
        <v>2.5722364465942849</v>
      </c>
      <c r="T114" s="21">
        <v>-3.2071930061213969</v>
      </c>
      <c r="U114" s="22">
        <v>100.00000000000001</v>
      </c>
    </row>
    <row r="115" spans="1:21" x14ac:dyDescent="0.25">
      <c r="A115" s="95"/>
      <c r="B115" s="100"/>
      <c r="C115" s="16" t="s">
        <v>29</v>
      </c>
      <c r="D115" s="2">
        <v>31.888045677595862</v>
      </c>
      <c r="E115" s="2">
        <v>1.66445269711556</v>
      </c>
      <c r="F115" s="2">
        <v>17.332840747511028</v>
      </c>
      <c r="G115" s="2">
        <v>1.5526371806164285</v>
      </c>
      <c r="H115" s="2">
        <v>5.0088349565159493</v>
      </c>
      <c r="I115" s="2">
        <v>1.3960501526887987</v>
      </c>
      <c r="J115" s="2">
        <v>2.5989682234549503</v>
      </c>
      <c r="K115" s="2">
        <v>16.102455343684785</v>
      </c>
      <c r="L115" s="2">
        <v>1.8803434189031174</v>
      </c>
      <c r="M115" s="2">
        <v>0.92248865423982063</v>
      </c>
      <c r="N115" s="2">
        <v>0.40181123457704504</v>
      </c>
      <c r="O115" s="2">
        <v>1.317254639091342</v>
      </c>
      <c r="P115" s="2">
        <v>9.268245465817806</v>
      </c>
      <c r="Q115" s="2">
        <v>2.0421971642037096</v>
      </c>
      <c r="R115" s="2">
        <v>6.4949721710090333</v>
      </c>
      <c r="S115" s="2">
        <v>2.1488869520907334</v>
      </c>
      <c r="T115" s="2">
        <v>-2.0204846791159889</v>
      </c>
      <c r="U115" s="23">
        <v>99.999999999999972</v>
      </c>
    </row>
    <row r="116" spans="1:21" x14ac:dyDescent="0.25">
      <c r="A116" s="95"/>
      <c r="B116" s="100"/>
      <c r="C116" s="16" t="s">
        <v>30</v>
      </c>
      <c r="D116" s="2">
        <v>14.525507446044287</v>
      </c>
      <c r="E116" s="2">
        <v>2.1179803917934685</v>
      </c>
      <c r="F116" s="2">
        <v>20.978174940796684</v>
      </c>
      <c r="G116" s="2">
        <v>2.3058185283706147</v>
      </c>
      <c r="H116" s="2">
        <v>6.842003530410345</v>
      </c>
      <c r="I116" s="2">
        <v>1.4596758634389471</v>
      </c>
      <c r="J116" s="2">
        <v>5.8081989932558642</v>
      </c>
      <c r="K116" s="2">
        <v>19.002432758127366</v>
      </c>
      <c r="L116" s="2">
        <v>0.86338415250217926</v>
      </c>
      <c r="M116" s="2">
        <v>1.8825565454852817</v>
      </c>
      <c r="N116" s="2">
        <v>0.49652907099947635</v>
      </c>
      <c r="O116" s="2">
        <v>1.524624691289985</v>
      </c>
      <c r="P116" s="2">
        <v>12.331805792211863</v>
      </c>
      <c r="Q116" s="2">
        <v>2.7450864203957797</v>
      </c>
      <c r="R116" s="2">
        <v>6.740346160093047</v>
      </c>
      <c r="S116" s="2">
        <v>2.8547443066560336</v>
      </c>
      <c r="T116" s="2">
        <v>-2.478869591871252</v>
      </c>
      <c r="U116" s="23">
        <v>99.999999999999972</v>
      </c>
    </row>
    <row r="117" spans="1:21" x14ac:dyDescent="0.25">
      <c r="A117" s="95"/>
      <c r="B117" s="101"/>
      <c r="C117" s="28" t="s">
        <v>31</v>
      </c>
      <c r="D117" s="20">
        <v>11.415618133163758</v>
      </c>
      <c r="E117" s="20">
        <v>2.5097676192310554</v>
      </c>
      <c r="F117" s="20">
        <v>17.308196056426201</v>
      </c>
      <c r="G117" s="20">
        <v>3.8454350443893817</v>
      </c>
      <c r="H117" s="20">
        <v>7.7617067906850981</v>
      </c>
      <c r="I117" s="20">
        <v>1.6006995867158833</v>
      </c>
      <c r="J117" s="20">
        <v>5.4902406392483787</v>
      </c>
      <c r="K117" s="20">
        <v>21.496636162116786</v>
      </c>
      <c r="L117" s="20">
        <v>1.4398230683802744</v>
      </c>
      <c r="M117" s="20">
        <v>3.5814833592283497</v>
      </c>
      <c r="N117" s="20">
        <v>0.46308243673654659</v>
      </c>
      <c r="O117" s="20">
        <v>1.567401063999009</v>
      </c>
      <c r="P117" s="20">
        <v>11.784254076233367</v>
      </c>
      <c r="Q117" s="20">
        <v>2.9653644852643763</v>
      </c>
      <c r="R117" s="20">
        <v>6.8986284996156204</v>
      </c>
      <c r="S117" s="20">
        <v>2.565242413524961</v>
      </c>
      <c r="T117" s="20">
        <v>-2.6935794349590583</v>
      </c>
      <c r="U117" s="24">
        <v>99.999999999999972</v>
      </c>
    </row>
    <row r="118" spans="1:21" x14ac:dyDescent="0.25">
      <c r="A118" s="95"/>
      <c r="B118" s="51"/>
      <c r="C118" s="49" t="s">
        <v>51</v>
      </c>
      <c r="D118" s="26">
        <v>23.062150694165485</v>
      </c>
      <c r="E118" s="26">
        <v>2.3663457391505571</v>
      </c>
      <c r="F118" s="26">
        <v>13.948736757860983</v>
      </c>
      <c r="G118" s="26">
        <v>1.5258294524480132</v>
      </c>
      <c r="H118" s="26">
        <v>6.8430822107777569</v>
      </c>
      <c r="I118" s="26">
        <v>1.3497474917637737</v>
      </c>
      <c r="J118" s="26">
        <v>3.7536301472733422</v>
      </c>
      <c r="K118" s="26">
        <v>19.274936341288889</v>
      </c>
      <c r="L118" s="26">
        <v>1.4764368613921557</v>
      </c>
      <c r="M118" s="26">
        <v>2.8303408034517452</v>
      </c>
      <c r="N118" s="26">
        <v>0.55012857744130217</v>
      </c>
      <c r="O118" s="26">
        <v>1.6921275913694893</v>
      </c>
      <c r="P118" s="26">
        <v>11.542353612681532</v>
      </c>
      <c r="Q118" s="26">
        <v>2.194336491168102</v>
      </c>
      <c r="R118" s="26">
        <v>6.9349349465992347</v>
      </c>
      <c r="S118" s="26">
        <v>2.3367401342619933</v>
      </c>
      <c r="T118" s="26">
        <v>-1.6818578530943533</v>
      </c>
      <c r="U118" s="47">
        <v>100</v>
      </c>
    </row>
    <row r="119" spans="1:21" x14ac:dyDescent="0.25">
      <c r="A119" s="95"/>
      <c r="B119" s="99">
        <v>2025</v>
      </c>
      <c r="C119" s="27" t="s">
        <v>28</v>
      </c>
      <c r="D119" s="21">
        <v>21.643883686153</v>
      </c>
      <c r="E119" s="21">
        <v>2.4384826030358995</v>
      </c>
      <c r="F119" s="21">
        <v>16.546012241790972</v>
      </c>
      <c r="G119" s="21">
        <v>1.1655005105058966</v>
      </c>
      <c r="H119" s="21">
        <v>6.4835589094533086</v>
      </c>
      <c r="I119" s="21">
        <v>1.5374143320453666</v>
      </c>
      <c r="J119" s="21">
        <v>3.3474759227629125</v>
      </c>
      <c r="K119" s="21">
        <v>18.55146039109702</v>
      </c>
      <c r="L119" s="21">
        <v>1.2733479561084216</v>
      </c>
      <c r="M119" s="21">
        <v>3.6085107563324441</v>
      </c>
      <c r="N119" s="21">
        <v>0.46317811290809313</v>
      </c>
      <c r="O119" s="21">
        <v>1.7478826216678851</v>
      </c>
      <c r="P119" s="21">
        <v>11.910754862592967</v>
      </c>
      <c r="Q119" s="21">
        <v>2.8202001302752593</v>
      </c>
      <c r="R119" s="21">
        <v>6.1348754903060678</v>
      </c>
      <c r="S119" s="21">
        <v>2.5492286711538159</v>
      </c>
      <c r="T119" s="21">
        <v>-2.2217671981893372</v>
      </c>
      <c r="U119" s="22">
        <v>99.999999999999986</v>
      </c>
    </row>
    <row r="120" spans="1:21" x14ac:dyDescent="0.25">
      <c r="A120" s="95"/>
      <c r="B120" s="100"/>
      <c r="C120" s="16" t="s">
        <v>29</v>
      </c>
      <c r="D120" s="2">
        <v>37.904361537668642</v>
      </c>
      <c r="E120" s="2">
        <v>1.792015152843581</v>
      </c>
      <c r="F120" s="2">
        <v>11.569865924271875</v>
      </c>
      <c r="G120" s="2">
        <v>1.2212763507099691</v>
      </c>
      <c r="H120" s="2">
        <v>4.9614435876100451</v>
      </c>
      <c r="I120" s="2">
        <v>1.1776270558851949</v>
      </c>
      <c r="J120" s="2">
        <v>1.9738618117446518</v>
      </c>
      <c r="K120" s="2">
        <v>16.158199778506336</v>
      </c>
      <c r="L120" s="2">
        <v>1.9704401842001067</v>
      </c>
      <c r="M120" s="2">
        <v>0.85521872622118267</v>
      </c>
      <c r="N120" s="2">
        <v>0.52818279842812976</v>
      </c>
      <c r="O120" s="2">
        <v>1.4393173985691197</v>
      </c>
      <c r="P120" s="2">
        <v>9.5541150815150839</v>
      </c>
      <c r="Q120" s="2">
        <v>1.7632020039302789</v>
      </c>
      <c r="R120" s="2">
        <v>6.6851385039741764</v>
      </c>
      <c r="S120" s="2">
        <v>1.6929714305188748</v>
      </c>
      <c r="T120" s="2">
        <v>-1.2472373265972598</v>
      </c>
      <c r="U120" s="23">
        <v>99.999999999999972</v>
      </c>
    </row>
    <row r="121" spans="1:21" x14ac:dyDescent="0.25">
      <c r="A121" s="95"/>
      <c r="B121" s="100"/>
      <c r="C121" s="16" t="s">
        <v>30</v>
      </c>
      <c r="D121" s="2">
        <v>17.370137123655756</v>
      </c>
      <c r="E121" s="2">
        <v>2.2539910476616862</v>
      </c>
      <c r="F121" s="2">
        <v>15.46141493314803</v>
      </c>
      <c r="G121" s="2">
        <v>1.8773686850697409</v>
      </c>
      <c r="H121" s="2">
        <v>7.4073239280090517</v>
      </c>
      <c r="I121" s="2">
        <v>1.2749547338357285</v>
      </c>
      <c r="J121" s="2">
        <v>5.0814027640473807</v>
      </c>
      <c r="K121" s="2">
        <v>20.105494001231303</v>
      </c>
      <c r="L121" s="2">
        <v>0.8570355311148361</v>
      </c>
      <c r="M121" s="2">
        <v>2.3737467868692907</v>
      </c>
      <c r="N121" s="2">
        <v>0.65904404970333219</v>
      </c>
      <c r="O121" s="2">
        <v>1.7968814144533625</v>
      </c>
      <c r="P121" s="2">
        <v>13.08702504797078</v>
      </c>
      <c r="Q121" s="2">
        <v>2.4509425781851668</v>
      </c>
      <c r="R121" s="2">
        <v>7.4844975935547602</v>
      </c>
      <c r="S121" s="2">
        <v>2.3824353300947254</v>
      </c>
      <c r="T121" s="2">
        <v>-1.9236955486049021</v>
      </c>
      <c r="U121" s="23">
        <v>100.00000000000003</v>
      </c>
    </row>
    <row r="122" spans="1:21" x14ac:dyDescent="0.25">
      <c r="A122" s="95"/>
      <c r="B122" s="101"/>
      <c r="C122" s="28" t="s">
        <v>31</v>
      </c>
      <c r="D122" s="20">
        <v>12.305993754346247</v>
      </c>
      <c r="E122" s="20">
        <v>3.0774969341658314</v>
      </c>
      <c r="F122" s="20">
        <v>12.95365186120562</v>
      </c>
      <c r="G122" s="20">
        <v>1.8819516026433332</v>
      </c>
      <c r="H122" s="20">
        <v>8.8448487549169084</v>
      </c>
      <c r="I122" s="20">
        <v>1.4500575090593286</v>
      </c>
      <c r="J122" s="20">
        <v>4.9655715984289301</v>
      </c>
      <c r="K122" s="20">
        <v>22.804367223001666</v>
      </c>
      <c r="L122" s="20">
        <v>1.6619555056007027</v>
      </c>
      <c r="M122" s="20">
        <v>4.8588053999361636</v>
      </c>
      <c r="N122" s="20">
        <v>0.55326513301267832</v>
      </c>
      <c r="O122" s="20">
        <v>1.8392779185601591</v>
      </c>
      <c r="P122" s="20">
        <v>12.090220948663646</v>
      </c>
      <c r="Q122" s="20">
        <v>1.8890860061368193</v>
      </c>
      <c r="R122" s="20">
        <v>7.4425119113730727</v>
      </c>
      <c r="S122" s="20">
        <v>2.8536953632187685</v>
      </c>
      <c r="T122" s="20">
        <v>-1.4727574242698585</v>
      </c>
      <c r="U122" s="24">
        <v>100</v>
      </c>
    </row>
    <row r="123" spans="1:21" x14ac:dyDescent="0.25">
      <c r="A123" s="95"/>
      <c r="B123" s="51"/>
      <c r="C123" s="49" t="s">
        <v>51</v>
      </c>
      <c r="D123" s="26">
        <v>20.521891539833721</v>
      </c>
      <c r="E123" s="26">
        <v>2.925260091194303</v>
      </c>
      <c r="F123" s="26">
        <v>15.777342404769174</v>
      </c>
      <c r="G123" s="26">
        <v>1.5308889971708899</v>
      </c>
      <c r="H123" s="26">
        <v>6.1752745612912747</v>
      </c>
      <c r="I123" s="26">
        <v>1.4860295322049446</v>
      </c>
      <c r="J123" s="26">
        <v>3.2771139690809319</v>
      </c>
      <c r="K123" s="26">
        <v>18.756226120975406</v>
      </c>
      <c r="L123" s="26">
        <v>1.1718637454627423</v>
      </c>
      <c r="M123" s="26">
        <v>4.8372488516874599</v>
      </c>
      <c r="N123" s="26">
        <v>0.5433262867688794</v>
      </c>
      <c r="O123" s="26">
        <v>1.7450476738158387</v>
      </c>
      <c r="P123" s="26">
        <v>11.626121690959373</v>
      </c>
      <c r="Q123" s="26">
        <v>2.4678791446716728</v>
      </c>
      <c r="R123" s="26">
        <v>6.2705486373084058</v>
      </c>
      <c r="S123" s="26">
        <v>2.1206922883295718</v>
      </c>
      <c r="T123" s="26">
        <v>-1.2327555355245914</v>
      </c>
      <c r="U123" s="47">
        <v>99.999999999999986</v>
      </c>
    </row>
    <row r="124" spans="1:21" x14ac:dyDescent="0.25">
      <c r="A124" s="95"/>
      <c r="B124" s="99">
        <v>2026</v>
      </c>
      <c r="C124" s="27" t="s">
        <v>28</v>
      </c>
      <c r="D124" s="21">
        <v>20.521891539833721</v>
      </c>
      <c r="E124" s="21">
        <v>2.925260091194303</v>
      </c>
      <c r="F124" s="21">
        <v>15.777342404769174</v>
      </c>
      <c r="G124" s="21">
        <v>1.5308889971708899</v>
      </c>
      <c r="H124" s="21">
        <v>6.1752745612912747</v>
      </c>
      <c r="I124" s="21">
        <v>1.4860295322049446</v>
      </c>
      <c r="J124" s="21">
        <v>3.2771139690809319</v>
      </c>
      <c r="K124" s="21">
        <v>18.756226120975406</v>
      </c>
      <c r="L124" s="21">
        <v>1.1718637454627423</v>
      </c>
      <c r="M124" s="21">
        <v>4.8372488516874599</v>
      </c>
      <c r="N124" s="21">
        <v>0.5433262867688794</v>
      </c>
      <c r="O124" s="21">
        <v>1.7450476738158387</v>
      </c>
      <c r="P124" s="21">
        <v>11.626121690959373</v>
      </c>
      <c r="Q124" s="21">
        <v>2.4678791446716728</v>
      </c>
      <c r="R124" s="21">
        <v>6.2705486373084058</v>
      </c>
      <c r="S124" s="21">
        <v>2.1206922883295718</v>
      </c>
      <c r="T124" s="21">
        <v>-1.2327555355245914</v>
      </c>
      <c r="U124" s="22">
        <v>99.999999999999986</v>
      </c>
    </row>
    <row r="125" spans="1:21" x14ac:dyDescent="0.25">
      <c r="A125" s="95"/>
      <c r="B125" s="100"/>
      <c r="C125" s="16" t="s">
        <v>29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3"/>
    </row>
    <row r="126" spans="1:21" x14ac:dyDescent="0.25">
      <c r="A126" s="95"/>
      <c r="B126" s="100"/>
      <c r="C126" s="16" t="s">
        <v>30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3"/>
    </row>
    <row r="127" spans="1:21" x14ac:dyDescent="0.25">
      <c r="A127" s="95"/>
      <c r="B127" s="101"/>
      <c r="C127" s="28" t="s">
        <v>31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4"/>
    </row>
    <row r="128" spans="1:21" x14ac:dyDescent="0.25">
      <c r="C128" s="17" t="s">
        <v>52</v>
      </c>
    </row>
  </sheetData>
  <mergeCells count="28">
    <mergeCell ref="B124:B127"/>
    <mergeCell ref="A1:A127"/>
    <mergeCell ref="C1:U1"/>
    <mergeCell ref="B2:C2"/>
    <mergeCell ref="B4:B7"/>
    <mergeCell ref="B9:B12"/>
    <mergeCell ref="B14:B17"/>
    <mergeCell ref="B19:B22"/>
    <mergeCell ref="B24:B27"/>
    <mergeCell ref="B29:B32"/>
    <mergeCell ref="B34:B37"/>
    <mergeCell ref="B39:B42"/>
    <mergeCell ref="B44:B47"/>
    <mergeCell ref="B49:B52"/>
    <mergeCell ref="B54:B57"/>
    <mergeCell ref="B59:B62"/>
    <mergeCell ref="B64:B67"/>
    <mergeCell ref="B69:B72"/>
    <mergeCell ref="B74:B77"/>
    <mergeCell ref="B79:B82"/>
    <mergeCell ref="B84:B87"/>
    <mergeCell ref="B89:B92"/>
    <mergeCell ref="B119:B122"/>
    <mergeCell ref="B94:B97"/>
    <mergeCell ref="B99:B102"/>
    <mergeCell ref="B104:B107"/>
    <mergeCell ref="B109:B112"/>
    <mergeCell ref="B114:B11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29"/>
  <sheetViews>
    <sheetView showGridLines="0" zoomScale="115" zoomScaleNormal="115" workbookViewId="0">
      <pane xSplit="3" ySplit="3" topLeftCell="D52" activePane="bottomRight" state="frozen"/>
      <selection pane="topRight" activeCell="B1" sqref="B1"/>
      <selection pane="bottomLeft" activeCell="A3" sqref="A3"/>
      <selection pane="bottomRight" activeCell="B19" sqref="B19:AA128"/>
    </sheetView>
  </sheetViews>
  <sheetFormatPr defaultRowHeight="15.75" x14ac:dyDescent="0.25"/>
  <cols>
    <col min="2" max="2" width="5.5" style="18" customWidth="1"/>
    <col min="3" max="3" width="6.375" style="18" customWidth="1"/>
    <col min="4" max="7" width="11.5" customWidth="1"/>
    <col min="10" max="14" width="10.375" customWidth="1"/>
    <col min="16" max="19" width="10.625" customWidth="1"/>
    <col min="21" max="21" width="8.875"/>
    <col min="22" max="25" width="10" customWidth="1"/>
    <col min="27" max="27" width="8.875"/>
    <col min="28" max="28" width="8.875" style="29"/>
    <col min="30" max="30" width="8.875" style="29"/>
  </cols>
  <sheetData>
    <row r="1" spans="1:30" ht="24.95" customHeight="1" x14ac:dyDescent="0.25">
      <c r="A1" s="95"/>
      <c r="C1" s="102" t="s">
        <v>50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spans="1:30" x14ac:dyDescent="0.25">
      <c r="A2" s="95"/>
      <c r="C2" s="56"/>
      <c r="D2" s="102" t="s">
        <v>42</v>
      </c>
      <c r="E2" s="102"/>
      <c r="F2" s="102"/>
      <c r="G2" s="102"/>
      <c r="H2" s="102"/>
      <c r="I2" s="102"/>
      <c r="J2" s="102" t="s">
        <v>48</v>
      </c>
      <c r="K2" s="102"/>
      <c r="L2" s="102"/>
      <c r="M2" s="102"/>
      <c r="N2" s="102"/>
      <c r="O2" s="102"/>
      <c r="P2" s="102" t="s">
        <v>43</v>
      </c>
      <c r="Q2" s="102"/>
      <c r="R2" s="102"/>
      <c r="S2" s="102"/>
      <c r="T2" s="102"/>
      <c r="U2" s="102"/>
      <c r="V2" s="102" t="s">
        <v>44</v>
      </c>
      <c r="W2" s="102"/>
      <c r="X2" s="102"/>
      <c r="Y2" s="102"/>
      <c r="Z2" s="102"/>
      <c r="AA2" s="102"/>
    </row>
    <row r="3" spans="1:30" ht="45" x14ac:dyDescent="0.25">
      <c r="A3" s="95"/>
      <c r="B3" s="97" t="s">
        <v>53</v>
      </c>
      <c r="C3" s="97"/>
      <c r="D3" s="3" t="s">
        <v>45</v>
      </c>
      <c r="E3" s="3" t="s">
        <v>46</v>
      </c>
      <c r="F3" s="3" t="s">
        <v>47</v>
      </c>
      <c r="G3" s="3" t="s">
        <v>15</v>
      </c>
      <c r="H3" s="3" t="s">
        <v>16</v>
      </c>
      <c r="I3" s="3" t="s">
        <v>17</v>
      </c>
      <c r="J3" s="3" t="s">
        <v>45</v>
      </c>
      <c r="K3" s="3" t="s">
        <v>46</v>
      </c>
      <c r="L3" s="3" t="s">
        <v>47</v>
      </c>
      <c r="M3" s="3" t="s">
        <v>15</v>
      </c>
      <c r="N3" s="3" t="s">
        <v>16</v>
      </c>
      <c r="O3" s="3" t="s">
        <v>17</v>
      </c>
      <c r="P3" s="3" t="s">
        <v>45</v>
      </c>
      <c r="Q3" s="3" t="s">
        <v>46</v>
      </c>
      <c r="R3" s="3" t="s">
        <v>47</v>
      </c>
      <c r="S3" s="3" t="s">
        <v>15</v>
      </c>
      <c r="T3" s="3" t="s">
        <v>16</v>
      </c>
      <c r="U3" s="10" t="s">
        <v>17</v>
      </c>
      <c r="V3" s="3" t="s">
        <v>45</v>
      </c>
      <c r="W3" s="3" t="s">
        <v>46</v>
      </c>
      <c r="X3" s="3" t="s">
        <v>47</v>
      </c>
      <c r="Y3" s="3" t="s">
        <v>15</v>
      </c>
      <c r="Z3" s="3" t="s">
        <v>16</v>
      </c>
      <c r="AA3" s="10" t="s">
        <v>17</v>
      </c>
      <c r="AB3" s="30"/>
      <c r="AC3" s="1"/>
    </row>
    <row r="4" spans="1:30" x14ac:dyDescent="0.25">
      <c r="A4" s="95"/>
      <c r="B4" s="82"/>
      <c r="C4" s="83" t="s">
        <v>51</v>
      </c>
      <c r="D4" s="35">
        <v>70736.387111484015</v>
      </c>
      <c r="E4" s="35">
        <v>392113.49607826222</v>
      </c>
      <c r="F4" s="35">
        <v>285349.83647791756</v>
      </c>
      <c r="G4" s="35">
        <v>22391.000000000004</v>
      </c>
      <c r="H4" s="35">
        <v>-17017</v>
      </c>
      <c r="I4" s="35">
        <v>753573.7196676638</v>
      </c>
      <c r="J4" s="35">
        <v>9.3867906039345055</v>
      </c>
      <c r="K4" s="35">
        <v>52.03386023748142</v>
      </c>
      <c r="L4" s="35">
        <v>37.866213885983271</v>
      </c>
      <c r="M4" s="35">
        <v>2.9713085018244447</v>
      </c>
      <c r="N4" s="35">
        <v>-2.2581732292236421</v>
      </c>
      <c r="O4" s="34">
        <v>100</v>
      </c>
      <c r="P4" s="84"/>
      <c r="Q4" s="84"/>
      <c r="R4" s="84"/>
      <c r="S4" s="84"/>
      <c r="T4" s="84"/>
      <c r="U4" s="85"/>
      <c r="V4" s="84"/>
      <c r="W4" s="84"/>
      <c r="X4" s="84"/>
      <c r="Y4" s="84"/>
      <c r="Z4" s="84"/>
      <c r="AA4" s="86"/>
      <c r="AB4" s="30"/>
      <c r="AC4" s="1"/>
    </row>
    <row r="5" spans="1:30" x14ac:dyDescent="0.25">
      <c r="A5" s="95"/>
      <c r="B5" s="100">
        <v>2002</v>
      </c>
      <c r="C5" s="16" t="s">
        <v>28</v>
      </c>
      <c r="D5" s="2">
        <v>15888.886956264418</v>
      </c>
      <c r="E5" s="2">
        <v>68862.240973713226</v>
      </c>
      <c r="F5" s="2">
        <v>44442.774522986234</v>
      </c>
      <c r="G5" s="2">
        <v>3437.1743437829996</v>
      </c>
      <c r="H5" s="2">
        <v>-2324.6151535862896</v>
      </c>
      <c r="I5" s="2">
        <v>130306.46164316058</v>
      </c>
      <c r="J5" s="2">
        <v>12.193475869044427</v>
      </c>
      <c r="K5" s="2">
        <v>52.84637469651345</v>
      </c>
      <c r="L5" s="2">
        <v>34.106347423269867</v>
      </c>
      <c r="M5" s="2">
        <v>2.637762011522939</v>
      </c>
      <c r="N5" s="2">
        <v>-1.7839600003506828</v>
      </c>
      <c r="O5" s="2">
        <v>100</v>
      </c>
      <c r="P5" s="2"/>
      <c r="Q5" s="2"/>
      <c r="R5" s="2"/>
      <c r="S5" s="2"/>
      <c r="T5" s="2"/>
      <c r="U5" s="12"/>
      <c r="V5" s="2"/>
      <c r="W5" s="2"/>
      <c r="X5" s="2"/>
      <c r="Y5" s="2"/>
      <c r="Z5" s="2"/>
      <c r="AA5" s="39"/>
    </row>
    <row r="6" spans="1:30" x14ac:dyDescent="0.25">
      <c r="A6" s="95"/>
      <c r="B6" s="100"/>
      <c r="C6" s="16" t="s">
        <v>29</v>
      </c>
      <c r="D6" s="2">
        <v>24244.848086073973</v>
      </c>
      <c r="E6" s="2">
        <v>86485.999692954181</v>
      </c>
      <c r="F6" s="2">
        <v>54647.396897327359</v>
      </c>
      <c r="G6" s="2">
        <v>4283.4829678856413</v>
      </c>
      <c r="H6" s="2">
        <v>-3042.9884917802997</v>
      </c>
      <c r="I6" s="2">
        <v>166618.73915246085</v>
      </c>
      <c r="J6" s="2">
        <v>14.551093238011633</v>
      </c>
      <c r="K6" s="2">
        <v>51.906526320438097</v>
      </c>
      <c r="L6" s="2">
        <v>32.797869660580879</v>
      </c>
      <c r="M6" s="2">
        <v>2.5708290614095533</v>
      </c>
      <c r="N6" s="2">
        <v>-1.8263182804401608</v>
      </c>
      <c r="O6" s="2">
        <v>100</v>
      </c>
      <c r="P6" s="2"/>
      <c r="Q6" s="2"/>
      <c r="R6" s="2"/>
      <c r="S6" s="2"/>
      <c r="T6" s="2"/>
      <c r="U6" s="12"/>
      <c r="V6" s="2"/>
      <c r="W6" s="2"/>
      <c r="X6" s="2"/>
      <c r="Y6" s="2"/>
      <c r="Z6" s="2"/>
      <c r="AA6" s="39"/>
    </row>
    <row r="7" spans="1:30" x14ac:dyDescent="0.25">
      <c r="A7" s="95"/>
      <c r="B7" s="100"/>
      <c r="C7" s="16" t="s">
        <v>30</v>
      </c>
      <c r="D7" s="2">
        <v>17039.101066561489</v>
      </c>
      <c r="E7" s="2">
        <v>110240.28214885667</v>
      </c>
      <c r="F7" s="2">
        <v>75524.27733010838</v>
      </c>
      <c r="G7" s="2">
        <v>5781.6407620360833</v>
      </c>
      <c r="H7" s="2">
        <v>-4406.7879108352936</v>
      </c>
      <c r="I7" s="2">
        <v>204178.51339672733</v>
      </c>
      <c r="J7" s="2">
        <v>8.3451979266073941</v>
      </c>
      <c r="K7" s="2">
        <v>53.992107354927811</v>
      </c>
      <c r="L7" s="2">
        <v>36.989336475068548</v>
      </c>
      <c r="M7" s="2">
        <v>2.8316597402206152</v>
      </c>
      <c r="N7" s="2">
        <v>-2.1583014968243606</v>
      </c>
      <c r="O7" s="2">
        <v>100</v>
      </c>
      <c r="P7" s="2"/>
      <c r="Q7" s="2"/>
      <c r="R7" s="2"/>
      <c r="S7" s="2"/>
      <c r="T7" s="2"/>
      <c r="U7" s="12"/>
      <c r="V7" s="2"/>
      <c r="W7" s="2"/>
      <c r="X7" s="2"/>
      <c r="Y7" s="2"/>
      <c r="Z7" s="2"/>
      <c r="AA7" s="39"/>
    </row>
    <row r="8" spans="1:30" x14ac:dyDescent="0.25">
      <c r="A8" s="95"/>
      <c r="B8" s="101"/>
      <c r="C8" s="28" t="s">
        <v>31</v>
      </c>
      <c r="D8" s="20">
        <v>13563.551002584129</v>
      </c>
      <c r="E8" s="20">
        <v>126524.97326273817</v>
      </c>
      <c r="F8" s="20">
        <v>110735.3877274956</v>
      </c>
      <c r="G8" s="20">
        <v>8888.7019262952781</v>
      </c>
      <c r="H8" s="20">
        <v>-7242.6084437981162</v>
      </c>
      <c r="I8" s="20">
        <v>252470.00547531506</v>
      </c>
      <c r="J8" s="20">
        <v>5.3723415488697679</v>
      </c>
      <c r="K8" s="20">
        <v>50.114853455377698</v>
      </c>
      <c r="L8" s="20">
        <v>43.860809334169645</v>
      </c>
      <c r="M8" s="20">
        <v>3.5206962148081229</v>
      </c>
      <c r="N8" s="20">
        <v>-2.8687005532252239</v>
      </c>
      <c r="O8" s="20">
        <v>100.00000000000001</v>
      </c>
      <c r="P8" s="20"/>
      <c r="Q8" s="20"/>
      <c r="R8" s="20"/>
      <c r="S8" s="20"/>
      <c r="T8" s="20"/>
      <c r="U8" s="40"/>
      <c r="V8" s="20"/>
      <c r="W8" s="20"/>
      <c r="X8" s="20"/>
      <c r="Y8" s="20"/>
      <c r="Z8" s="20"/>
      <c r="AA8" s="41"/>
    </row>
    <row r="9" spans="1:30" x14ac:dyDescent="0.25">
      <c r="A9" s="95"/>
      <c r="B9" s="60"/>
      <c r="C9" s="83" t="s">
        <v>51</v>
      </c>
      <c r="D9" s="35">
        <v>151766.25954875571</v>
      </c>
      <c r="E9" s="35">
        <v>744830.20271407696</v>
      </c>
      <c r="F9" s="35">
        <v>617278.47063975548</v>
      </c>
      <c r="G9" s="35">
        <v>52751</v>
      </c>
      <c r="H9" s="35">
        <v>-48975</v>
      </c>
      <c r="I9" s="35">
        <v>1517650.932902588</v>
      </c>
      <c r="J9" s="35">
        <v>10.000076846293942</v>
      </c>
      <c r="K9" s="35">
        <v>49.077833813177953</v>
      </c>
      <c r="L9" s="35">
        <v>40.673283774100646</v>
      </c>
      <c r="M9" s="35">
        <v>3.4758322125570014</v>
      </c>
      <c r="N9" s="35">
        <v>-3.227026646129536</v>
      </c>
      <c r="O9" s="34">
        <v>100.00000000000001</v>
      </c>
      <c r="P9" s="34">
        <v>8.3183952309571225</v>
      </c>
      <c r="Q9" s="34">
        <v>0.50906751611519496</v>
      </c>
      <c r="R9" s="34">
        <v>4.966610552337329</v>
      </c>
      <c r="S9" s="34">
        <v>13.911839578402052</v>
      </c>
      <c r="T9" s="34">
        <v>-6.5346418287594616</v>
      </c>
      <c r="U9" s="87">
        <v>3.4873124009751706</v>
      </c>
      <c r="V9" s="34">
        <v>0.7808303419376198</v>
      </c>
      <c r="W9" s="34">
        <v>0.26488747984978778</v>
      </c>
      <c r="X9" s="34">
        <v>1.8806673746318743</v>
      </c>
      <c r="Y9" s="34">
        <v>0.41336367215323733</v>
      </c>
      <c r="Z9" s="34">
        <v>0.14756353240269701</v>
      </c>
      <c r="AA9" s="88">
        <v>3.4873124009752163</v>
      </c>
      <c r="AB9" s="31">
        <v>0</v>
      </c>
      <c r="AD9" s="29">
        <v>0</v>
      </c>
    </row>
    <row r="10" spans="1:30" x14ac:dyDescent="0.25">
      <c r="A10" s="95"/>
      <c r="B10" s="100">
        <v>2003</v>
      </c>
      <c r="C10" s="16" t="s">
        <v>28</v>
      </c>
      <c r="D10" s="2">
        <v>36082.511039186764</v>
      </c>
      <c r="E10" s="2">
        <v>167170.41373837693</v>
      </c>
      <c r="F10" s="2">
        <v>91883.217885222926</v>
      </c>
      <c r="G10" s="2">
        <v>8532.7225283776406</v>
      </c>
      <c r="H10" s="2">
        <v>-7367.4486538319043</v>
      </c>
      <c r="I10" s="2">
        <v>296301.41653733241</v>
      </c>
      <c r="J10" s="2">
        <v>12.177637036251078</v>
      </c>
      <c r="K10" s="2">
        <v>56.419039669800007</v>
      </c>
      <c r="L10" s="2">
        <v>31.010050157369442</v>
      </c>
      <c r="M10" s="2">
        <v>2.8797440890069326</v>
      </c>
      <c r="N10" s="2">
        <v>-2.4864709524274735</v>
      </c>
      <c r="O10" s="2">
        <v>100</v>
      </c>
      <c r="P10" s="2">
        <v>6.5889390672504362</v>
      </c>
      <c r="Q10" s="2">
        <v>-1.757677972229672</v>
      </c>
      <c r="R10" s="2">
        <v>3.7730436760506478</v>
      </c>
      <c r="S10" s="2">
        <v>21.151608770749263</v>
      </c>
      <c r="T10" s="2">
        <v>18.212086653458442</v>
      </c>
      <c r="U10" s="12">
        <v>0.81915072456071414</v>
      </c>
      <c r="V10" s="2">
        <v>0.2250693243169094</v>
      </c>
      <c r="W10" s="2">
        <v>0.10861853149497018</v>
      </c>
      <c r="X10" s="2">
        <v>0.3946401029978075</v>
      </c>
      <c r="Y10" s="2">
        <v>0.13063937669528256</v>
      </c>
      <c r="Z10" s="2">
        <v>-3.9816610944253629E-2</v>
      </c>
      <c r="AA10" s="39">
        <v>0.81915072456071614</v>
      </c>
      <c r="AB10" s="31">
        <v>-5.8242785992643098E-2</v>
      </c>
      <c r="AD10" s="29">
        <v>-5.8242785992643098E-2</v>
      </c>
    </row>
    <row r="11" spans="1:30" x14ac:dyDescent="0.25">
      <c r="A11" s="95"/>
      <c r="B11" s="100"/>
      <c r="C11" s="16" t="s">
        <v>29</v>
      </c>
      <c r="D11" s="2">
        <v>55203.945248396536</v>
      </c>
      <c r="E11" s="2">
        <v>170235.91167727706</v>
      </c>
      <c r="F11" s="2">
        <v>130667.21733921647</v>
      </c>
      <c r="G11" s="2">
        <v>11449.103207739799</v>
      </c>
      <c r="H11" s="2">
        <v>-10370.057507879514</v>
      </c>
      <c r="I11" s="2">
        <v>357186.11996475037</v>
      </c>
      <c r="J11" s="2">
        <v>15.455232486034017</v>
      </c>
      <c r="K11" s="2">
        <v>47.660281898433546</v>
      </c>
      <c r="L11" s="2">
        <v>36.582389414267169</v>
      </c>
      <c r="M11" s="2">
        <v>3.2053606139201816</v>
      </c>
      <c r="N11" s="2">
        <v>-2.9032644126549214</v>
      </c>
      <c r="O11" s="2">
        <v>99.999999999999986</v>
      </c>
      <c r="P11" s="2">
        <v>8.5201080993003018</v>
      </c>
      <c r="Q11" s="2">
        <v>0.78538986630651664</v>
      </c>
      <c r="R11" s="2">
        <v>7.6351347108539755</v>
      </c>
      <c r="S11" s="2">
        <v>18.782723955938124</v>
      </c>
      <c r="T11" s="2">
        <v>2.8412704492133827</v>
      </c>
      <c r="U11" s="12">
        <v>4.4533141739577786</v>
      </c>
      <c r="V11" s="2">
        <v>1.1161920652194925</v>
      </c>
      <c r="W11" s="2">
        <v>0.68652386592558656</v>
      </c>
      <c r="X11" s="2">
        <v>2.2801216160514883</v>
      </c>
      <c r="Y11" s="2">
        <v>0.39213781195255321</v>
      </c>
      <c r="Z11" s="2">
        <v>-2.1661185191343406E-2</v>
      </c>
      <c r="AA11" s="39">
        <v>4.4533141739577777</v>
      </c>
      <c r="AB11" s="31">
        <v>-7.1379006844898285E-3</v>
      </c>
      <c r="AD11" s="29">
        <v>-7.1379006844898285E-3</v>
      </c>
    </row>
    <row r="12" spans="1:30" x14ac:dyDescent="0.25">
      <c r="A12" s="95"/>
      <c r="B12" s="100"/>
      <c r="C12" s="16" t="s">
        <v>30</v>
      </c>
      <c r="D12" s="2">
        <v>34144.561748041189</v>
      </c>
      <c r="E12" s="2">
        <v>209119.58891316369</v>
      </c>
      <c r="F12" s="2">
        <v>173842.96459726375</v>
      </c>
      <c r="G12" s="2">
        <v>14270.706204650072</v>
      </c>
      <c r="H12" s="2">
        <v>-13418.98138666753</v>
      </c>
      <c r="I12" s="2">
        <v>417958.84007645119</v>
      </c>
      <c r="J12" s="2">
        <v>8.1693598684970077</v>
      </c>
      <c r="K12" s="2">
        <v>50.033536525968067</v>
      </c>
      <c r="L12" s="2">
        <v>41.593321621206805</v>
      </c>
      <c r="M12" s="2">
        <v>3.414380756258137</v>
      </c>
      <c r="N12" s="2">
        <v>-3.2105987719300275</v>
      </c>
      <c r="O12" s="2">
        <v>100</v>
      </c>
      <c r="P12" s="2">
        <v>9.3345531373506816</v>
      </c>
      <c r="Q12" s="2">
        <v>1.6911831644961524</v>
      </c>
      <c r="R12" s="2">
        <v>7.3215715654829268</v>
      </c>
      <c r="S12" s="2">
        <v>14.198503125205846</v>
      </c>
      <c r="T12" s="2">
        <v>-12.018952848122325</v>
      </c>
      <c r="U12" s="12">
        <v>5.2157830768363738</v>
      </c>
      <c r="V12" s="2">
        <v>0.81024082974307743</v>
      </c>
      <c r="W12" s="2">
        <v>1.178155195704353</v>
      </c>
      <c r="X12" s="2">
        <v>2.7246521707053737</v>
      </c>
      <c r="Y12" s="2">
        <v>0.38134832502971361</v>
      </c>
      <c r="Z12" s="2">
        <v>0.12138655565384754</v>
      </c>
      <c r="AA12" s="39">
        <v>5.2157830768363649</v>
      </c>
      <c r="AB12" s="31">
        <v>9.1935157099385378E-3</v>
      </c>
      <c r="AD12" s="29">
        <v>9.1935157099385378E-3</v>
      </c>
    </row>
    <row r="13" spans="1:30" x14ac:dyDescent="0.25">
      <c r="A13" s="95"/>
      <c r="B13" s="101"/>
      <c r="C13" s="28" t="s">
        <v>31</v>
      </c>
      <c r="D13" s="20">
        <v>26335.241513131226</v>
      </c>
      <c r="E13" s="20">
        <v>198304.28838525913</v>
      </c>
      <c r="F13" s="20">
        <v>220885.07081805231</v>
      </c>
      <c r="G13" s="20">
        <v>18498.468059232484</v>
      </c>
      <c r="H13" s="20">
        <v>-17818.512451621053</v>
      </c>
      <c r="I13" s="20">
        <v>446204.55632405408</v>
      </c>
      <c r="J13" s="20">
        <v>5.9020557141073597</v>
      </c>
      <c r="K13" s="20">
        <v>44.442461551477642</v>
      </c>
      <c r="L13" s="20">
        <v>49.503096211692537</v>
      </c>
      <c r="M13" s="20">
        <v>4.1457371506081291</v>
      </c>
      <c r="N13" s="20">
        <v>-3.9933506278856634</v>
      </c>
      <c r="O13" s="20">
        <v>100.00000000000001</v>
      </c>
      <c r="P13" s="20">
        <v>9.8535606778432623</v>
      </c>
      <c r="Q13" s="20">
        <v>1.2059397814411454</v>
      </c>
      <c r="R13" s="20">
        <v>2.0866263459908225</v>
      </c>
      <c r="S13" s="20">
        <v>5.6824914717789312</v>
      </c>
      <c r="T13" s="20">
        <v>-23.604464482926701</v>
      </c>
      <c r="U13" s="40">
        <v>3.4359467519616658</v>
      </c>
      <c r="V13" s="20">
        <v>0.5909908166732083</v>
      </c>
      <c r="W13" s="20">
        <v>1.3725990730306359</v>
      </c>
      <c r="X13" s="20">
        <v>1.0086919455512668</v>
      </c>
      <c r="Y13" s="20">
        <v>0.18182063724260902</v>
      </c>
      <c r="Z13" s="20">
        <v>0.28184427946396889</v>
      </c>
      <c r="AA13" s="41">
        <v>3.4359467519616889</v>
      </c>
      <c r="AB13" s="31">
        <v>5.1377917280012397E-2</v>
      </c>
      <c r="AD13" s="29">
        <v>5.1377917280012397E-2</v>
      </c>
    </row>
    <row r="14" spans="1:30" x14ac:dyDescent="0.25">
      <c r="A14" s="95"/>
      <c r="B14" s="60"/>
      <c r="C14" s="83" t="s">
        <v>51</v>
      </c>
      <c r="D14" s="35">
        <v>233745.40268038088</v>
      </c>
      <c r="E14" s="35">
        <v>1137526.6252340942</v>
      </c>
      <c r="F14" s="35">
        <v>892636.84381072712</v>
      </c>
      <c r="G14" s="35">
        <v>74060.000000000015</v>
      </c>
      <c r="H14" s="35">
        <v>-82521</v>
      </c>
      <c r="I14" s="35">
        <v>2255447.8717252025</v>
      </c>
      <c r="J14" s="35">
        <v>10.363591444992606</v>
      </c>
      <c r="K14" s="35">
        <v>50.434622741424519</v>
      </c>
      <c r="L14" s="35">
        <v>39.576921949783085</v>
      </c>
      <c r="M14" s="35">
        <v>3.2836050404193635</v>
      </c>
      <c r="N14" s="35">
        <v>-3.6587411766195821</v>
      </c>
      <c r="O14" s="34">
        <v>99.999999999999986</v>
      </c>
      <c r="P14" s="34">
        <v>9.3947463438971681</v>
      </c>
      <c r="Q14" s="34">
        <v>15.107566953129847</v>
      </c>
      <c r="R14" s="34">
        <v>8.0990815291663409</v>
      </c>
      <c r="S14" s="34">
        <v>4.2198252165835726</v>
      </c>
      <c r="T14" s="34">
        <v>11.618172537008718</v>
      </c>
      <c r="U14" s="87">
        <v>11.419863390458488</v>
      </c>
      <c r="V14" s="34">
        <v>0.93948185390410632</v>
      </c>
      <c r="W14" s="34">
        <v>7.414466602471693</v>
      </c>
      <c r="X14" s="34">
        <v>3.294162413453618</v>
      </c>
      <c r="Y14" s="34">
        <v>0.14667404419161512</v>
      </c>
      <c r="Z14" s="34">
        <v>-0.37492152356257402</v>
      </c>
      <c r="AA14" s="88">
        <v>11.41986339045846</v>
      </c>
      <c r="AB14" s="31">
        <v>-5.2259071598648177E-4</v>
      </c>
      <c r="AD14" s="29">
        <v>-5.2259071598648177E-4</v>
      </c>
    </row>
    <row r="15" spans="1:30" x14ac:dyDescent="0.25">
      <c r="A15" s="95"/>
      <c r="B15" s="100">
        <v>2004</v>
      </c>
      <c r="C15" s="16" t="s">
        <v>28</v>
      </c>
      <c r="D15" s="2">
        <v>62228.433922101744</v>
      </c>
      <c r="E15" s="2">
        <v>238138.9482803022</v>
      </c>
      <c r="F15" s="2">
        <v>180219.74607887893</v>
      </c>
      <c r="G15" s="2">
        <v>14944.780208913928</v>
      </c>
      <c r="H15" s="2">
        <v>-78916.117084753379</v>
      </c>
      <c r="I15" s="2">
        <v>416615.79140544345</v>
      </c>
      <c r="J15" s="2">
        <v>14.936647915379202</v>
      </c>
      <c r="K15" s="2">
        <v>57.160326899022749</v>
      </c>
      <c r="L15" s="2">
        <v>43.25802089040166</v>
      </c>
      <c r="M15" s="2">
        <v>3.5871852477070219</v>
      </c>
      <c r="N15" s="2">
        <v>-18.942180952510643</v>
      </c>
      <c r="O15" s="2">
        <v>99.999999999999986</v>
      </c>
      <c r="P15" s="2">
        <v>10.661598814726318</v>
      </c>
      <c r="Q15" s="2">
        <v>15.486885326474109</v>
      </c>
      <c r="R15" s="2">
        <v>20.561572504883486</v>
      </c>
      <c r="S15" s="2">
        <v>4.1210843460309121</v>
      </c>
      <c r="T15" s="2">
        <v>328.99789393455035</v>
      </c>
      <c r="U15" s="12">
        <v>0.53098981216696473</v>
      </c>
      <c r="V15" s="2">
        <v>8.479783671584154E-2</v>
      </c>
      <c r="W15" s="2">
        <v>0.28653196255670621</v>
      </c>
      <c r="X15" s="2">
        <v>0.34303228622882709</v>
      </c>
      <c r="Y15" s="2">
        <v>6.90063002834618E-3</v>
      </c>
      <c r="Z15" s="2">
        <v>-0.19027290336275626</v>
      </c>
      <c r="AA15" s="39">
        <v>0.53098981216696473</v>
      </c>
      <c r="AB15" s="31">
        <v>5.2767764102172876E-2</v>
      </c>
      <c r="AD15" s="29">
        <v>5.2767764102172876E-2</v>
      </c>
    </row>
    <row r="16" spans="1:30" x14ac:dyDescent="0.25">
      <c r="A16" s="95"/>
      <c r="B16" s="100"/>
      <c r="C16" s="16" t="s">
        <v>29</v>
      </c>
      <c r="D16" s="2">
        <v>84036.750301520937</v>
      </c>
      <c r="E16" s="2">
        <v>251725.9346783114</v>
      </c>
      <c r="F16" s="2">
        <v>201139.62106090499</v>
      </c>
      <c r="G16" s="2">
        <v>18059.86952721671</v>
      </c>
      <c r="H16" s="2">
        <v>-1132.9408567327228</v>
      </c>
      <c r="I16" s="2">
        <v>553829.2347112213</v>
      </c>
      <c r="J16" s="2">
        <v>15.173765672615591</v>
      </c>
      <c r="K16" s="2">
        <v>45.451904468272936</v>
      </c>
      <c r="L16" s="2">
        <v>36.317985482616059</v>
      </c>
      <c r="M16" s="2">
        <v>3.2609093914360661</v>
      </c>
      <c r="N16" s="2">
        <v>-0.20456501494065457</v>
      </c>
      <c r="O16" s="2">
        <v>100</v>
      </c>
      <c r="P16" s="2">
        <v>10.046876011202002</v>
      </c>
      <c r="Q16" s="2">
        <v>15.716973229368818</v>
      </c>
      <c r="R16" s="2">
        <v>11.077473664236038</v>
      </c>
      <c r="S16" s="2">
        <v>10.493312747851277</v>
      </c>
      <c r="T16" s="2">
        <v>-93.836216864132169</v>
      </c>
      <c r="U16" s="12">
        <v>17.580720475129084</v>
      </c>
      <c r="V16" s="2">
        <v>2.5934685684479328</v>
      </c>
      <c r="W16" s="2">
        <v>7.7890985516333853</v>
      </c>
      <c r="X16" s="2">
        <v>5.3343795320988718</v>
      </c>
      <c r="Y16" s="2">
        <v>0.48697690373222619</v>
      </c>
      <c r="Z16" s="2">
        <v>1.3767969192166469</v>
      </c>
      <c r="AA16" s="39">
        <v>17.580720475129066</v>
      </c>
      <c r="AB16" s="31">
        <v>-2.0563178854672515E-2</v>
      </c>
      <c r="AD16" s="29">
        <v>-2.0563178854672515E-2</v>
      </c>
    </row>
    <row r="17" spans="1:30" x14ac:dyDescent="0.25">
      <c r="A17" s="95"/>
      <c r="B17" s="100"/>
      <c r="C17" s="16" t="s">
        <v>30</v>
      </c>
      <c r="D17" s="2">
        <v>50242.847142152568</v>
      </c>
      <c r="E17" s="2">
        <v>309460.67227407341</v>
      </c>
      <c r="F17" s="2">
        <v>233349.04688283757</v>
      </c>
      <c r="G17" s="2">
        <v>16155.794350842429</v>
      </c>
      <c r="H17" s="2">
        <v>-1175.936103745687</v>
      </c>
      <c r="I17" s="2">
        <v>608032.42454616027</v>
      </c>
      <c r="J17" s="2">
        <v>8.2631855002887686</v>
      </c>
      <c r="K17" s="2">
        <v>50.895422642148901</v>
      </c>
      <c r="L17" s="2">
        <v>38.377730769376477</v>
      </c>
      <c r="M17" s="2">
        <v>2.6570613175606925</v>
      </c>
      <c r="N17" s="2">
        <v>-0.193400229374842</v>
      </c>
      <c r="O17" s="2">
        <v>99.999999999999986</v>
      </c>
      <c r="P17" s="2">
        <v>8.7316691546603948</v>
      </c>
      <c r="Q17" s="2">
        <v>14.272760112969763</v>
      </c>
      <c r="R17" s="2">
        <v>5.0347589539864828</v>
      </c>
      <c r="S17" s="2">
        <v>-10.712012421597564</v>
      </c>
      <c r="T17" s="2">
        <v>-93.519255288987523</v>
      </c>
      <c r="U17" s="12">
        <v>13.623714281353983</v>
      </c>
      <c r="V17" s="2">
        <v>1.2585246740920806</v>
      </c>
      <c r="W17" s="2">
        <v>7.8119208631299948</v>
      </c>
      <c r="X17" s="2">
        <v>3.8016249432724276</v>
      </c>
      <c r="Y17" s="2">
        <v>-0.49152711099504603</v>
      </c>
      <c r="Z17" s="2">
        <v>1.2431709118545196</v>
      </c>
      <c r="AA17" s="39">
        <v>13.623714281353978</v>
      </c>
      <c r="AB17" s="31">
        <v>-9.9850276102912972E-3</v>
      </c>
      <c r="AD17" s="29">
        <v>-9.9850276102912972E-3</v>
      </c>
    </row>
    <row r="18" spans="1:30" x14ac:dyDescent="0.25">
      <c r="A18" s="95"/>
      <c r="B18" s="101"/>
      <c r="C18" s="28" t="s">
        <v>31</v>
      </c>
      <c r="D18" s="20">
        <v>37237.371314605625</v>
      </c>
      <c r="E18" s="20">
        <v>338201.07000140718</v>
      </c>
      <c r="F18" s="20">
        <v>277928.4297881056</v>
      </c>
      <c r="G18" s="20">
        <v>24899.555913026947</v>
      </c>
      <c r="H18" s="20">
        <v>-1296.0059547682176</v>
      </c>
      <c r="I18" s="20">
        <v>676970.42106237705</v>
      </c>
      <c r="J18" s="20">
        <v>5.5005905954012899</v>
      </c>
      <c r="K18" s="20">
        <v>49.958027630020311</v>
      </c>
      <c r="L18" s="20">
        <v>41.054737569176133</v>
      </c>
      <c r="M18" s="20">
        <v>3.6780862410431174</v>
      </c>
      <c r="N18" s="20">
        <v>-0.1914420356408455</v>
      </c>
      <c r="O18" s="20">
        <v>100.00000000000001</v>
      </c>
      <c r="P18" s="20">
        <v>6.2917678922577807</v>
      </c>
      <c r="Q18" s="20">
        <v>15.084728516434069</v>
      </c>
      <c r="R18" s="20">
        <v>1.6816593148758443</v>
      </c>
      <c r="S18" s="20">
        <v>11.858513068917034</v>
      </c>
      <c r="T18" s="20">
        <v>-93.670374242251228</v>
      </c>
      <c r="U18" s="40">
        <v>13.288968288348471</v>
      </c>
      <c r="V18" s="20">
        <v>0.91944820852778641</v>
      </c>
      <c r="W18" s="20">
        <v>8.2684813850762087</v>
      </c>
      <c r="X18" s="20">
        <v>1.7830870000585974</v>
      </c>
      <c r="Y18" s="20">
        <v>0.74036466396029366</v>
      </c>
      <c r="Z18" s="20">
        <v>1.5775870307255915</v>
      </c>
      <c r="AA18" s="41">
        <v>13.288968288348478</v>
      </c>
      <c r="AB18" s="31">
        <v>-2.1910497463451861E-2</v>
      </c>
      <c r="AD18" s="29">
        <v>-2.1910497463451861E-2</v>
      </c>
    </row>
    <row r="19" spans="1:30" x14ac:dyDescent="0.25">
      <c r="A19" s="95"/>
      <c r="B19" s="60"/>
      <c r="C19" s="83" t="s">
        <v>51</v>
      </c>
      <c r="D19" s="35">
        <v>309046.61634463957</v>
      </c>
      <c r="E19" s="35">
        <v>2028633.3860765202</v>
      </c>
      <c r="F19" s="35">
        <v>1277234.3064395739</v>
      </c>
      <c r="G19" s="35">
        <v>95625</v>
      </c>
      <c r="H19" s="35">
        <v>-102444.00000000001</v>
      </c>
      <c r="I19" s="35">
        <v>3608095.3088607336</v>
      </c>
      <c r="J19" s="35">
        <v>8.565367316813532</v>
      </c>
      <c r="K19" s="35">
        <v>56.224495541861586</v>
      </c>
      <c r="L19" s="35">
        <v>35.399128822981787</v>
      </c>
      <c r="M19" s="35">
        <v>2.6502903004021219</v>
      </c>
      <c r="N19" s="35">
        <v>-2.8392819820590329</v>
      </c>
      <c r="O19" s="34">
        <v>100</v>
      </c>
      <c r="P19" s="34">
        <v>4.3642793460611671</v>
      </c>
      <c r="Q19" s="34">
        <v>19.849899424083773</v>
      </c>
      <c r="R19" s="34">
        <v>9.1033028546492005</v>
      </c>
      <c r="S19" s="34">
        <v>10.658925195787219</v>
      </c>
      <c r="T19" s="34">
        <v>7.1484834163424438</v>
      </c>
      <c r="U19" s="87">
        <v>14.154777534395507</v>
      </c>
      <c r="V19" s="34">
        <v>0.45229608094397339</v>
      </c>
      <c r="W19" s="34">
        <v>10.011221889088823</v>
      </c>
      <c r="X19" s="34">
        <v>3.6028070656368687</v>
      </c>
      <c r="Y19" s="34">
        <v>0.34999700498339764</v>
      </c>
      <c r="Z19" s="34">
        <v>-0.26154450625754599</v>
      </c>
      <c r="AA19" s="88">
        <v>14.154777534395516</v>
      </c>
      <c r="AB19" s="31">
        <v>0</v>
      </c>
      <c r="AD19" s="29">
        <v>-2.196052614029731E-2</v>
      </c>
    </row>
    <row r="20" spans="1:30" x14ac:dyDescent="0.25">
      <c r="A20" s="95"/>
      <c r="B20" s="100">
        <v>2005</v>
      </c>
      <c r="C20" s="16" t="s">
        <v>28</v>
      </c>
      <c r="D20" s="2">
        <v>81425.841563463895</v>
      </c>
      <c r="E20" s="2">
        <v>450251.80734812317</v>
      </c>
      <c r="F20" s="2">
        <v>262271.02597692842</v>
      </c>
      <c r="G20" s="2">
        <v>20834.32312010567</v>
      </c>
      <c r="H20" s="2">
        <v>-2400.173513057221</v>
      </c>
      <c r="I20" s="2">
        <v>812382.82449556398</v>
      </c>
      <c r="J20" s="2">
        <v>10.023087528225865</v>
      </c>
      <c r="K20" s="2">
        <v>55.423600028434841</v>
      </c>
      <c r="L20" s="2">
        <v>32.284166783041158</v>
      </c>
      <c r="M20" s="2">
        <v>2.5645942395498582</v>
      </c>
      <c r="N20" s="2">
        <v>-0.29544857925173024</v>
      </c>
      <c r="O20" s="2">
        <v>100</v>
      </c>
      <c r="P20" s="2">
        <v>4.1519817024453261</v>
      </c>
      <c r="Q20" s="2">
        <v>22.582390035439474</v>
      </c>
      <c r="R20" s="2">
        <v>12.585810074750327</v>
      </c>
      <c r="S20" s="2">
        <v>18.02017344964635</v>
      </c>
      <c r="T20" s="2">
        <v>-97.200381487291835</v>
      </c>
      <c r="U20" s="12">
        <v>39.086187590798573</v>
      </c>
      <c r="V20" s="2">
        <v>1.4795324244541035</v>
      </c>
      <c r="W20" s="2">
        <v>16.418514740254651</v>
      </c>
      <c r="X20" s="2">
        <v>10.323300071371266</v>
      </c>
      <c r="Y20" s="2">
        <v>1.2522942043658578</v>
      </c>
      <c r="Z20" s="2">
        <v>9.6125461503527099</v>
      </c>
      <c r="AA20" s="39">
        <v>39.086187590798588</v>
      </c>
      <c r="AB20" s="31">
        <v>-2.6719938343589433E-2</v>
      </c>
      <c r="AD20" s="29">
        <v>-2.6719938343589433E-2</v>
      </c>
    </row>
    <row r="21" spans="1:30" x14ac:dyDescent="0.25">
      <c r="A21" s="95"/>
      <c r="B21" s="100"/>
      <c r="C21" s="16" t="s">
        <v>29</v>
      </c>
      <c r="D21" s="2">
        <v>109200.35625054002</v>
      </c>
      <c r="E21" s="2">
        <v>469506.16227748868</v>
      </c>
      <c r="F21" s="2">
        <v>286457.93374767288</v>
      </c>
      <c r="G21" s="2">
        <v>21633.241610940499</v>
      </c>
      <c r="H21" s="2">
        <v>-2579.0354934007651</v>
      </c>
      <c r="I21" s="2">
        <v>884218.65839324135</v>
      </c>
      <c r="J21" s="2">
        <v>12.34992670805811</v>
      </c>
      <c r="K21" s="2">
        <v>53.09842286416486</v>
      </c>
      <c r="L21" s="2">
        <v>32.396730268982353</v>
      </c>
      <c r="M21" s="2">
        <v>2.4465941094538044</v>
      </c>
      <c r="N21" s="2">
        <v>-0.29167395065913465</v>
      </c>
      <c r="O21" s="2">
        <v>99.999999999999986</v>
      </c>
      <c r="P21" s="2">
        <v>3.7056147364915972</v>
      </c>
      <c r="Q21" s="2">
        <v>21.642959916609186</v>
      </c>
      <c r="R21" s="2">
        <v>10.81194960732013</v>
      </c>
      <c r="S21" s="2">
        <v>5.1854707868610888</v>
      </c>
      <c r="T21" s="2">
        <v>110.60499195955077</v>
      </c>
      <c r="U21" s="12">
        <v>14.846421493030817</v>
      </c>
      <c r="V21" s="2">
        <v>0.85877836087855786</v>
      </c>
      <c r="W21" s="2">
        <v>8.2759220098426951</v>
      </c>
      <c r="X21" s="2">
        <v>5.5653184599616381</v>
      </c>
      <c r="Y21" s="2">
        <v>0.23468925203846902</v>
      </c>
      <c r="Z21" s="2">
        <v>-8.8286589690539541E-2</v>
      </c>
      <c r="AA21" s="39">
        <v>14.846421493030821</v>
      </c>
      <c r="AB21" s="31">
        <v>9.4075386562728625E-3</v>
      </c>
      <c r="AD21" s="29">
        <v>9.4075386562728625E-3</v>
      </c>
    </row>
    <row r="22" spans="1:30" x14ac:dyDescent="0.25">
      <c r="A22" s="95"/>
      <c r="B22" s="100"/>
      <c r="C22" s="16" t="s">
        <v>30</v>
      </c>
      <c r="D22" s="2">
        <v>67833.144334208744</v>
      </c>
      <c r="E22" s="2">
        <v>588558.61573774309</v>
      </c>
      <c r="F22" s="2">
        <v>324358.73223445594</v>
      </c>
      <c r="G22" s="2">
        <v>21747.892876465008</v>
      </c>
      <c r="H22" s="2">
        <v>-2606.8116423396555</v>
      </c>
      <c r="I22" s="2">
        <v>999891.57354053308</v>
      </c>
      <c r="J22" s="2">
        <v>6.7840500039436478</v>
      </c>
      <c r="K22" s="2">
        <v>58.862243798465656</v>
      </c>
      <c r="L22" s="2">
        <v>32.439390511706044</v>
      </c>
      <c r="M22" s="2">
        <v>2.1750251179192883</v>
      </c>
      <c r="N22" s="2">
        <v>-0.26070943203463071</v>
      </c>
      <c r="O22" s="2">
        <v>100.00000000000001</v>
      </c>
      <c r="P22" s="2">
        <v>4.4966667262383453</v>
      </c>
      <c r="Q22" s="2">
        <v>19.225380686611061</v>
      </c>
      <c r="R22" s="2">
        <v>6.3874547488447462</v>
      </c>
      <c r="S22" s="2">
        <v>16.42325234686723</v>
      </c>
      <c r="T22" s="2">
        <v>100.75981193469724</v>
      </c>
      <c r="U22" s="12">
        <v>13.364331665323093</v>
      </c>
      <c r="V22" s="2">
        <v>0.70933194758830753</v>
      </c>
      <c r="W22" s="2">
        <v>8.6382460792578701</v>
      </c>
      <c r="X22" s="2">
        <v>3.4037840791169813</v>
      </c>
      <c r="Y22" s="2">
        <v>0.70375949771042956</v>
      </c>
      <c r="Z22" s="2">
        <v>-9.0789938350518726E-2</v>
      </c>
      <c r="AA22" s="39">
        <v>13.364331665323069</v>
      </c>
      <c r="AB22" s="31">
        <v>4.9363726502384964E-3</v>
      </c>
      <c r="AD22" s="29">
        <v>4.9363726502384964E-3</v>
      </c>
    </row>
    <row r="23" spans="1:30" x14ac:dyDescent="0.25">
      <c r="A23" s="95"/>
      <c r="B23" s="101"/>
      <c r="C23" s="28" t="s">
        <v>31</v>
      </c>
      <c r="D23" s="20">
        <v>50587.274196426879</v>
      </c>
      <c r="E23" s="20">
        <v>520316.80071316526</v>
      </c>
      <c r="F23" s="20">
        <v>404146.61448051664</v>
      </c>
      <c r="G23" s="20">
        <v>31409.542392488824</v>
      </c>
      <c r="H23" s="20">
        <v>-94857.979351202375</v>
      </c>
      <c r="I23" s="20">
        <v>911602.25243139523</v>
      </c>
      <c r="J23" s="20">
        <v>5.5492704259453269</v>
      </c>
      <c r="K23" s="20">
        <v>57.077173660485549</v>
      </c>
      <c r="L23" s="20">
        <v>44.33365685556285</v>
      </c>
      <c r="M23" s="20">
        <v>3.4455314594401596</v>
      </c>
      <c r="N23" s="20">
        <v>-10.405632401433884</v>
      </c>
      <c r="O23" s="20">
        <v>100</v>
      </c>
      <c r="P23" s="20">
        <v>6.2519558049476842</v>
      </c>
      <c r="Q23" s="20">
        <v>16.460487626671465</v>
      </c>
      <c r="R23" s="20">
        <v>7.8222895050141119</v>
      </c>
      <c r="S23" s="20">
        <v>6.0493557197289078</v>
      </c>
      <c r="T23" s="20">
        <v>6437.9297218126612</v>
      </c>
      <c r="U23" s="40">
        <v>-4.4240556063061121</v>
      </c>
      <c r="V23" s="20">
        <v>0.55210706051764868</v>
      </c>
      <c r="W23" s="20">
        <v>-0.13332247927936136</v>
      </c>
      <c r="X23" s="20">
        <v>-1.103250763527702</v>
      </c>
      <c r="Y23" s="20">
        <v>0.24529819520696544</v>
      </c>
      <c r="Z23" s="20">
        <v>-3.984887619880618</v>
      </c>
      <c r="AA23" s="41">
        <v>-4.4240556069630674</v>
      </c>
      <c r="AB23" s="31">
        <v>7.5644283801787893E-3</v>
      </c>
      <c r="AD23" s="29">
        <v>7.5644283801787893E-3</v>
      </c>
    </row>
    <row r="24" spans="1:30" x14ac:dyDescent="0.25">
      <c r="A24" s="95"/>
      <c r="B24" s="60"/>
      <c r="C24" s="83" t="s">
        <v>51</v>
      </c>
      <c r="D24" s="35">
        <v>397899.16641398129</v>
      </c>
      <c r="E24" s="35">
        <v>2563345.6683287476</v>
      </c>
      <c r="F24" s="35">
        <v>1743510.7335701997</v>
      </c>
      <c r="G24" s="35">
        <v>123082.00000000001</v>
      </c>
      <c r="H24" s="35">
        <v>-113956</v>
      </c>
      <c r="I24" s="35">
        <v>4713881.568312929</v>
      </c>
      <c r="J24" s="35">
        <v>8.4410089784327589</v>
      </c>
      <c r="K24" s="35">
        <v>54.378660795378323</v>
      </c>
      <c r="L24" s="35">
        <v>36.986731811215023</v>
      </c>
      <c r="M24" s="35">
        <v>2.6110541433065819</v>
      </c>
      <c r="N24" s="35">
        <v>-2.4174557283326954</v>
      </c>
      <c r="O24" s="34">
        <v>100</v>
      </c>
      <c r="P24" s="34">
        <v>14.075403793774768</v>
      </c>
      <c r="Q24" s="34">
        <v>13.17684299820327</v>
      </c>
      <c r="R24" s="34">
        <v>9.5570310934916876</v>
      </c>
      <c r="S24" s="34">
        <v>6.3811764705882439</v>
      </c>
      <c r="T24" s="34">
        <v>11.43356370309634</v>
      </c>
      <c r="U24" s="87">
        <v>11.841817875704237</v>
      </c>
      <c r="V24" s="34">
        <v>1.2056100362615128</v>
      </c>
      <c r="W24" s="34">
        <v>7.4086135040828989</v>
      </c>
      <c r="X24" s="34">
        <v>3.3831057484375524</v>
      </c>
      <c r="Y24" s="34">
        <v>0.16911970105154267</v>
      </c>
      <c r="Z24" s="34">
        <v>-0.32463111412925499</v>
      </c>
      <c r="AA24" s="88">
        <v>11.841817875704251</v>
      </c>
      <c r="AB24" s="31">
        <v>-1.0507618660249296E-3</v>
      </c>
      <c r="AD24" s="29">
        <v>-1.0507618660249296E-3</v>
      </c>
    </row>
    <row r="25" spans="1:30" x14ac:dyDescent="0.25">
      <c r="A25" s="95"/>
      <c r="B25" s="100">
        <v>2006</v>
      </c>
      <c r="C25" s="16" t="s">
        <v>28</v>
      </c>
      <c r="D25" s="2">
        <v>109711.40045335857</v>
      </c>
      <c r="E25" s="2">
        <v>624600.39403429162</v>
      </c>
      <c r="F25" s="2">
        <v>378942.30718300585</v>
      </c>
      <c r="G25" s="2">
        <v>23134.680719615153</v>
      </c>
      <c r="H25" s="2">
        <v>-21076.410805283012</v>
      </c>
      <c r="I25" s="2">
        <v>1115312.371584988</v>
      </c>
      <c r="J25" s="2">
        <v>9.8368316579727324</v>
      </c>
      <c r="K25" s="2">
        <v>56.002283301732071</v>
      </c>
      <c r="L25" s="2">
        <v>33.976338543119091</v>
      </c>
      <c r="M25" s="2">
        <v>2.0742781402790409</v>
      </c>
      <c r="N25" s="2">
        <v>-1.8897316431029088</v>
      </c>
      <c r="O25" s="2">
        <v>100.00000000000001</v>
      </c>
      <c r="P25" s="2">
        <v>11.790186590874541</v>
      </c>
      <c r="Q25" s="2">
        <v>13.054643583785648</v>
      </c>
      <c r="R25" s="2">
        <v>8.0555478321495286</v>
      </c>
      <c r="S25" s="2">
        <v>-8.5120848152147772</v>
      </c>
      <c r="T25" s="2">
        <v>757.46294725228438</v>
      </c>
      <c r="U25" s="12">
        <v>7.253998638792055</v>
      </c>
      <c r="V25" s="2">
        <v>1.7381237805692482</v>
      </c>
      <c r="W25" s="2">
        <v>4.0487468799343533</v>
      </c>
      <c r="X25" s="2">
        <v>2.4901001405458763</v>
      </c>
      <c r="Y25" s="2">
        <v>-0.25549143898975796</v>
      </c>
      <c r="Z25" s="2">
        <v>-0.76748072326768424</v>
      </c>
      <c r="AA25" s="39">
        <v>7.2539986387920363</v>
      </c>
      <c r="AB25" s="31">
        <v>-8.3956054713301143E-3</v>
      </c>
      <c r="AD25" s="29">
        <v>-8.3956054713301143E-3</v>
      </c>
    </row>
    <row r="26" spans="1:30" x14ac:dyDescent="0.25">
      <c r="A26" s="95"/>
      <c r="B26" s="100"/>
      <c r="C26" s="16" t="s">
        <v>29</v>
      </c>
      <c r="D26" s="2">
        <v>141535.64568561301</v>
      </c>
      <c r="E26" s="2">
        <v>652583.30036900588</v>
      </c>
      <c r="F26" s="2">
        <v>417156.54662606941</v>
      </c>
      <c r="G26" s="2">
        <v>25521.455417542351</v>
      </c>
      <c r="H26" s="2">
        <v>-21460.824381289924</v>
      </c>
      <c r="I26" s="2">
        <v>1215336.1237169406</v>
      </c>
      <c r="J26" s="2">
        <v>11.645802582806922</v>
      </c>
      <c r="K26" s="2">
        <v>53.695705050975398</v>
      </c>
      <c r="L26" s="2">
        <v>34.324376481977076</v>
      </c>
      <c r="M26" s="2">
        <v>2.0999503692434027</v>
      </c>
      <c r="N26" s="2">
        <v>-1.7658344850027912</v>
      </c>
      <c r="O26" s="2">
        <v>100.00000000000003</v>
      </c>
      <c r="P26" s="2">
        <v>14.783801014129779</v>
      </c>
      <c r="Q26" s="2">
        <v>11.328613548975966</v>
      </c>
      <c r="R26" s="2">
        <v>11.228997028600403</v>
      </c>
      <c r="S26" s="2">
        <v>-2.4473709904240906</v>
      </c>
      <c r="T26" s="2">
        <v>748.90026846677631</v>
      </c>
      <c r="U26" s="12">
        <v>7.3342102287016644</v>
      </c>
      <c r="V26" s="2">
        <v>1.8935153861469678</v>
      </c>
      <c r="W26" s="2">
        <v>2.7202467186809542</v>
      </c>
      <c r="X26" s="2">
        <v>3.3682728363788179</v>
      </c>
      <c r="Y26" s="2">
        <v>-5.487398705892773E-2</v>
      </c>
      <c r="Z26" s="2">
        <v>-0.59295072544614191</v>
      </c>
      <c r="AA26" s="39">
        <v>7.3342102287016697</v>
      </c>
      <c r="AB26" s="31">
        <v>2.2365334438987361E-3</v>
      </c>
      <c r="AD26" s="29">
        <v>2.2365334438987361E-3</v>
      </c>
    </row>
    <row r="27" spans="1:30" x14ac:dyDescent="0.25">
      <c r="A27" s="95"/>
      <c r="B27" s="100"/>
      <c r="C27" s="16" t="s">
        <v>30</v>
      </c>
      <c r="D27" s="2">
        <v>83756.431335694811</v>
      </c>
      <c r="E27" s="2">
        <v>670520.98424601334</v>
      </c>
      <c r="F27" s="2">
        <v>428638.33911368344</v>
      </c>
      <c r="G27" s="2">
        <v>31010.373136122442</v>
      </c>
      <c r="H27" s="2">
        <v>-24229.540245108183</v>
      </c>
      <c r="I27" s="2">
        <v>1189696.5875864062</v>
      </c>
      <c r="J27" s="2">
        <v>7.040150590464032</v>
      </c>
      <c r="K27" s="2">
        <v>56.360671388184024</v>
      </c>
      <c r="L27" s="2">
        <v>36.029214808733911</v>
      </c>
      <c r="M27" s="2">
        <v>2.60657830405605</v>
      </c>
      <c r="N27" s="2">
        <v>-2.0366150914380445</v>
      </c>
      <c r="O27" s="2">
        <v>99.999999999999957</v>
      </c>
      <c r="P27" s="2">
        <v>15.609672542401441</v>
      </c>
      <c r="Q27" s="2">
        <v>13.431344210279718</v>
      </c>
      <c r="R27" s="2">
        <v>7.2710530644011726</v>
      </c>
      <c r="S27" s="2">
        <v>18.086023620019247</v>
      </c>
      <c r="T27" s="2">
        <v>832.93399603810053</v>
      </c>
      <c r="U27" s="12">
        <v>8.386529044479758</v>
      </c>
      <c r="V27" s="2">
        <v>1.4226659481338044</v>
      </c>
      <c r="W27" s="2">
        <v>4.2696585811679508</v>
      </c>
      <c r="X27" s="2">
        <v>3.0314604279487258</v>
      </c>
      <c r="Y27" s="2">
        <v>0.50344404585003122</v>
      </c>
      <c r="Z27" s="2">
        <v>-0.84069995862074054</v>
      </c>
      <c r="AA27" s="39">
        <v>8.3865290444797722</v>
      </c>
      <c r="AB27" s="31">
        <v>1.9531545172313258E-3</v>
      </c>
      <c r="AD27" s="29">
        <v>1.9531545172313258E-3</v>
      </c>
    </row>
    <row r="28" spans="1:30" x14ac:dyDescent="0.25">
      <c r="A28" s="95"/>
      <c r="B28" s="101"/>
      <c r="C28" s="28" t="s">
        <v>31</v>
      </c>
      <c r="D28" s="20">
        <v>62895.688939314859</v>
      </c>
      <c r="E28" s="20">
        <v>615640.98967943667</v>
      </c>
      <c r="F28" s="20">
        <v>518773.54064744094</v>
      </c>
      <c r="G28" s="20">
        <v>43415.490726720062</v>
      </c>
      <c r="H28" s="20">
        <v>-47189.224568318874</v>
      </c>
      <c r="I28" s="20">
        <v>1193536.4854245938</v>
      </c>
      <c r="J28" s="20">
        <v>5.2696913506536065</v>
      </c>
      <c r="K28" s="20">
        <v>51.581245918965422</v>
      </c>
      <c r="L28" s="20">
        <v>43.465243583474553</v>
      </c>
      <c r="M28" s="20">
        <v>3.6375503603708643</v>
      </c>
      <c r="N28" s="20">
        <v>-3.9537312134644611</v>
      </c>
      <c r="O28" s="20">
        <v>99.999999999999986</v>
      </c>
      <c r="P28" s="20">
        <v>14.717406793110825</v>
      </c>
      <c r="Q28" s="20">
        <v>14.681803133396528</v>
      </c>
      <c r="R28" s="20">
        <v>11.183198309046176</v>
      </c>
      <c r="S28" s="20">
        <v>15.847575950548404</v>
      </c>
      <c r="T28" s="20">
        <v>-53.251859399323905</v>
      </c>
      <c r="U28" s="40">
        <v>25.418310297199611</v>
      </c>
      <c r="V28" s="20">
        <v>1.7306666843987104</v>
      </c>
      <c r="W28" s="20">
        <v>8.5585622887550503</v>
      </c>
      <c r="X28" s="20">
        <v>10.655614991695485</v>
      </c>
      <c r="Y28" s="20">
        <v>1.0747851585349248</v>
      </c>
      <c r="Z28" s="20">
        <v>3.3986811738154121</v>
      </c>
      <c r="AA28" s="41">
        <v>25.418310297199586</v>
      </c>
      <c r="AB28" s="31">
        <v>2.6697228248870886E-3</v>
      </c>
      <c r="AD28" s="29">
        <v>2.6697228248870886E-3</v>
      </c>
    </row>
    <row r="29" spans="1:30" x14ac:dyDescent="0.25">
      <c r="A29" s="95"/>
      <c r="B29" s="60"/>
      <c r="C29" s="83" t="s">
        <v>51</v>
      </c>
      <c r="D29" s="35">
        <v>482720.52817999769</v>
      </c>
      <c r="E29" s="35">
        <v>3255844.2803292642</v>
      </c>
      <c r="F29" s="35">
        <v>1898524.8046072857</v>
      </c>
      <c r="G29" s="35">
        <v>167460</v>
      </c>
      <c r="H29" s="35">
        <v>-202100</v>
      </c>
      <c r="I29" s="35">
        <v>5602449.6131165475</v>
      </c>
      <c r="J29" s="35">
        <v>8.6162404218655428</v>
      </c>
      <c r="K29" s="35">
        <v>58.114655287691086</v>
      </c>
      <c r="L29" s="35">
        <v>33.887405255058937</v>
      </c>
      <c r="M29" s="35">
        <v>2.9890496401420532</v>
      </c>
      <c r="N29" s="35">
        <v>-3.6073506047576074</v>
      </c>
      <c r="O29" s="34">
        <v>100.00000000000001</v>
      </c>
      <c r="P29" s="34">
        <v>5.5715823425654918</v>
      </c>
      <c r="Q29" s="34">
        <v>19.459833641882</v>
      </c>
      <c r="R29" s="34">
        <v>4.8235988664376208</v>
      </c>
      <c r="S29" s="34">
        <v>13.757495003331101</v>
      </c>
      <c r="T29" s="34">
        <v>7.9799999999999898</v>
      </c>
      <c r="U29" s="87">
        <v>13.002688945797473</v>
      </c>
      <c r="V29" s="34">
        <v>0.47029776577672988</v>
      </c>
      <c r="W29" s="34">
        <v>10.581996927463912</v>
      </c>
      <c r="X29" s="34">
        <v>1.7840915763780842</v>
      </c>
      <c r="Y29" s="34">
        <v>0.35921564329967309</v>
      </c>
      <c r="Z29" s="34">
        <v>-0.19291296712094899</v>
      </c>
      <c r="AA29" s="88">
        <v>13.002688945797452</v>
      </c>
      <c r="AB29" s="31">
        <v>3.2150411870346396E-4</v>
      </c>
      <c r="AD29" s="29">
        <v>3.2150411870346396E-4</v>
      </c>
    </row>
    <row r="30" spans="1:30" x14ac:dyDescent="0.25">
      <c r="A30" s="95"/>
      <c r="B30" s="100">
        <v>2007</v>
      </c>
      <c r="C30" s="16" t="s">
        <v>28</v>
      </c>
      <c r="D30" s="2">
        <v>133866.67566866247</v>
      </c>
      <c r="E30" s="2">
        <v>712228.74223495577</v>
      </c>
      <c r="F30" s="2">
        <v>417889.9669509345</v>
      </c>
      <c r="G30" s="2">
        <v>36992.391988150041</v>
      </c>
      <c r="H30" s="2">
        <v>-39558.704711837323</v>
      </c>
      <c r="I30" s="2">
        <v>1261419.0721308657</v>
      </c>
      <c r="J30" s="2">
        <v>10.612387161907007</v>
      </c>
      <c r="K30" s="2">
        <v>56.462499891635197</v>
      </c>
      <c r="L30" s="2">
        <v>33.12855942831191</v>
      </c>
      <c r="M30" s="2">
        <v>2.9326012905180074</v>
      </c>
      <c r="N30" s="2">
        <v>-3.1360477723721392</v>
      </c>
      <c r="O30" s="2">
        <v>99.999999999999986</v>
      </c>
      <c r="P30" s="2">
        <v>8.2159174518918263</v>
      </c>
      <c r="Q30" s="2">
        <v>18.569775254623394</v>
      </c>
      <c r="R30" s="2">
        <v>7.34776433372366</v>
      </c>
      <c r="S30" s="2">
        <v>43.806228364713519</v>
      </c>
      <c r="T30" s="2">
        <v>42.626326912705167</v>
      </c>
      <c r="U30" s="12">
        <v>14.100331335995733</v>
      </c>
      <c r="V30" s="2">
        <v>1.4559395433704885</v>
      </c>
      <c r="W30" s="2">
        <v>7.5603952074213643</v>
      </c>
      <c r="X30" s="2">
        <v>4.1422812121789452</v>
      </c>
      <c r="Y30" s="2">
        <v>1.3605935857199145</v>
      </c>
      <c r="Z30" s="2">
        <v>-0.41887821269493919</v>
      </c>
      <c r="AA30" s="39">
        <v>14.100331335995774</v>
      </c>
      <c r="AB30" s="31">
        <v>-4.5255575501032652E-2</v>
      </c>
      <c r="AD30" s="29">
        <v>-4.5255575501032652E-2</v>
      </c>
    </row>
    <row r="31" spans="1:30" x14ac:dyDescent="0.25">
      <c r="A31" s="95"/>
      <c r="B31" s="100"/>
      <c r="C31" s="16" t="s">
        <v>29</v>
      </c>
      <c r="D31" s="2">
        <v>170159.05375870306</v>
      </c>
      <c r="E31" s="2">
        <v>710087.93567331485</v>
      </c>
      <c r="F31" s="2">
        <v>434225.0367444111</v>
      </c>
      <c r="G31" s="2">
        <v>37564.73336089676</v>
      </c>
      <c r="H31" s="2">
        <v>-23353.004166512594</v>
      </c>
      <c r="I31" s="2">
        <v>1328683.7553708132</v>
      </c>
      <c r="J31" s="2">
        <v>12.806587953746341</v>
      </c>
      <c r="K31" s="2">
        <v>53.442960584337186</v>
      </c>
      <c r="L31" s="2">
        <v>32.680841847368427</v>
      </c>
      <c r="M31" s="2">
        <v>2.8272140160555419</v>
      </c>
      <c r="N31" s="2">
        <v>-1.7576044015075027</v>
      </c>
      <c r="O31" s="2">
        <v>99.999999999999986</v>
      </c>
      <c r="P31" s="2">
        <v>5.1432510475580102</v>
      </c>
      <c r="Q31" s="2">
        <v>19.095634290916607</v>
      </c>
      <c r="R31" s="2">
        <v>3.9288748156208158</v>
      </c>
      <c r="S31" s="2">
        <v>29.036472635180132</v>
      </c>
      <c r="T31" s="2">
        <v>-29.691587676324346</v>
      </c>
      <c r="U31" s="12">
        <v>13.759416448851169</v>
      </c>
      <c r="V31" s="2">
        <v>1.246947244244266</v>
      </c>
      <c r="W31" s="2">
        <v>8.1985425465856601</v>
      </c>
      <c r="X31" s="2">
        <v>2.9517695569180251</v>
      </c>
      <c r="Y31" s="2">
        <v>1.0364749390100179</v>
      </c>
      <c r="Z31" s="2">
        <v>0.32568216209320106</v>
      </c>
      <c r="AA31" s="39">
        <v>13.759416448851171</v>
      </c>
      <c r="AB31" s="31">
        <v>-1.3497477192322194E-2</v>
      </c>
      <c r="AD31" s="29">
        <v>-1.3497477192322194E-2</v>
      </c>
    </row>
    <row r="32" spans="1:30" x14ac:dyDescent="0.25">
      <c r="A32" s="95"/>
      <c r="B32" s="100"/>
      <c r="C32" s="16" t="s">
        <v>30</v>
      </c>
      <c r="D32" s="2">
        <v>102809.10749110424</v>
      </c>
      <c r="E32" s="2">
        <v>847639.6873762561</v>
      </c>
      <c r="F32" s="2">
        <v>478963.72207517922</v>
      </c>
      <c r="G32" s="2">
        <v>44573.554388764576</v>
      </c>
      <c r="H32" s="2">
        <v>-2833.9093896426634</v>
      </c>
      <c r="I32" s="2">
        <v>1471152.1619416615</v>
      </c>
      <c r="J32" s="2">
        <v>6.988339490009948</v>
      </c>
      <c r="K32" s="2">
        <v>57.617404188668097</v>
      </c>
      <c r="L32" s="2">
        <v>32.557048445827078</v>
      </c>
      <c r="M32" s="2">
        <v>3.0298398453859008</v>
      </c>
      <c r="N32" s="2">
        <v>-0.19263196989102763</v>
      </c>
      <c r="O32" s="2">
        <v>99.999999999999986</v>
      </c>
      <c r="P32" s="2">
        <v>3.8527352077177426</v>
      </c>
      <c r="Q32" s="2">
        <v>18.897801755258811</v>
      </c>
      <c r="R32" s="2">
        <v>7.7855350380774127</v>
      </c>
      <c r="S32" s="2">
        <v>16.289761417312974</v>
      </c>
      <c r="T32" s="2">
        <v>-93.13287741705409</v>
      </c>
      <c r="U32" s="12">
        <v>15.325558130327948</v>
      </c>
      <c r="V32" s="2">
        <v>0.4867498154456677</v>
      </c>
      <c r="W32" s="2">
        <v>7.8090221691022332</v>
      </c>
      <c r="X32" s="2">
        <v>5.4136437840279035</v>
      </c>
      <c r="Y32" s="2">
        <v>0.61268380431237746</v>
      </c>
      <c r="Z32" s="2">
        <v>1.0034585574397838</v>
      </c>
      <c r="AA32" s="39">
        <v>15.325558130327966</v>
      </c>
      <c r="AB32" s="31">
        <v>-3.58101030027278E-2</v>
      </c>
      <c r="AD32" s="29">
        <v>-3.58101030027278E-2</v>
      </c>
    </row>
    <row r="33" spans="1:30" x14ac:dyDescent="0.25">
      <c r="A33" s="95"/>
      <c r="B33" s="101"/>
      <c r="C33" s="28" t="s">
        <v>31</v>
      </c>
      <c r="D33" s="20">
        <v>75885.691261527987</v>
      </c>
      <c r="E33" s="20">
        <v>985887.91504473786</v>
      </c>
      <c r="F33" s="20">
        <v>567446.07883676083</v>
      </c>
      <c r="G33" s="20">
        <v>48329.320262188601</v>
      </c>
      <c r="H33" s="20">
        <v>-136354.38173200743</v>
      </c>
      <c r="I33" s="20">
        <v>1541194.6236732076</v>
      </c>
      <c r="J33" s="20">
        <v>4.9238227343841725</v>
      </c>
      <c r="K33" s="20">
        <v>63.969073074951496</v>
      </c>
      <c r="L33" s="20">
        <v>36.818586706741662</v>
      </c>
      <c r="M33" s="20">
        <v>3.1358349892892092</v>
      </c>
      <c r="N33" s="20">
        <v>-8.8473175053665258</v>
      </c>
      <c r="O33" s="20">
        <v>100</v>
      </c>
      <c r="P33" s="20">
        <v>3.9464008848868843</v>
      </c>
      <c r="Q33" s="20">
        <v>21.180717971006601</v>
      </c>
      <c r="R33" s="20">
        <v>1.4858182782793676</v>
      </c>
      <c r="S33" s="20">
        <v>-15.960120916563142</v>
      </c>
      <c r="T33" s="20">
        <v>67.43248250351715</v>
      </c>
      <c r="U33" s="40">
        <v>9.1247922994662503</v>
      </c>
      <c r="V33" s="20">
        <v>0.39256973377619209</v>
      </c>
      <c r="W33" s="20">
        <v>9.6794382922914011</v>
      </c>
      <c r="X33" s="20">
        <v>1.6309509270714564</v>
      </c>
      <c r="Y33" s="20">
        <v>-0.98990688251274372</v>
      </c>
      <c r="Z33" s="20">
        <v>-1.5882597711600235</v>
      </c>
      <c r="AA33" s="41">
        <v>9.1247922994662822</v>
      </c>
      <c r="AB33" s="31">
        <v>9.3550491709454064E-2</v>
      </c>
      <c r="AD33" s="29">
        <v>9.3550491709454064E-2</v>
      </c>
    </row>
    <row r="34" spans="1:30" x14ac:dyDescent="0.25">
      <c r="A34" s="95"/>
      <c r="B34" s="60"/>
      <c r="C34" s="83" t="s">
        <v>51</v>
      </c>
      <c r="D34" s="35">
        <v>579538.88575901522</v>
      </c>
      <c r="E34" s="35">
        <v>4179053.7924109297</v>
      </c>
      <c r="F34" s="35">
        <v>2524074.8521374897</v>
      </c>
      <c r="G34" s="35">
        <v>267866</v>
      </c>
      <c r="H34" s="35">
        <v>-137956</v>
      </c>
      <c r="I34" s="35">
        <v>7412577.5303074345</v>
      </c>
      <c r="J34" s="35">
        <v>7.8183180329579507</v>
      </c>
      <c r="K34" s="35">
        <v>56.377876323373911</v>
      </c>
      <c r="L34" s="35">
        <v>34.051243873233453</v>
      </c>
      <c r="M34" s="35">
        <v>3.6136687799188572</v>
      </c>
      <c r="N34" s="35">
        <v>-1.8611070094841666</v>
      </c>
      <c r="O34" s="34">
        <v>100</v>
      </c>
      <c r="P34" s="34">
        <v>5.6858678670867988</v>
      </c>
      <c r="Q34" s="34">
        <v>9.3731837431013645</v>
      </c>
      <c r="R34" s="34">
        <v>12.681143320538979</v>
      </c>
      <c r="S34" s="34">
        <v>16.688761495282463</v>
      </c>
      <c r="T34" s="34">
        <v>-1.480000000000004</v>
      </c>
      <c r="U34" s="87">
        <v>10.786636049658298</v>
      </c>
      <c r="V34" s="34">
        <v>0.48990804549779549</v>
      </c>
      <c r="W34" s="34">
        <v>5.4471934217852853</v>
      </c>
      <c r="X34" s="34">
        <v>4.2973104280058818</v>
      </c>
      <c r="Y34" s="34">
        <v>0.49883536541890539</v>
      </c>
      <c r="Z34" s="34">
        <v>5.3388788950412699E-2</v>
      </c>
      <c r="AA34" s="88">
        <v>10.786636049658281</v>
      </c>
      <c r="AB34" s="31">
        <v>7.8153531475557703E-3</v>
      </c>
      <c r="AD34" s="29">
        <v>7.8153531475557703E-3</v>
      </c>
    </row>
    <row r="35" spans="1:30" x14ac:dyDescent="0.25">
      <c r="A35" s="95"/>
      <c r="B35" s="100">
        <v>2008</v>
      </c>
      <c r="C35" s="16" t="s">
        <v>28</v>
      </c>
      <c r="D35" s="2">
        <v>161914.43047786769</v>
      </c>
      <c r="E35" s="2">
        <v>1116242.7425928651</v>
      </c>
      <c r="F35" s="2">
        <v>493582.78927835147</v>
      </c>
      <c r="G35" s="2">
        <v>47912.484404433759</v>
      </c>
      <c r="H35" s="2">
        <v>-32096.209150041865</v>
      </c>
      <c r="I35" s="2">
        <v>1787556.237603476</v>
      </c>
      <c r="J35" s="2">
        <v>9.0578649819119317</v>
      </c>
      <c r="K35" s="2">
        <v>62.445181813657449</v>
      </c>
      <c r="L35" s="2">
        <v>27.61215445395348</v>
      </c>
      <c r="M35" s="2">
        <v>2.6803343803419919</v>
      </c>
      <c r="N35" s="2">
        <v>-1.7955356298648431</v>
      </c>
      <c r="O35" s="2">
        <v>100</v>
      </c>
      <c r="P35" s="2">
        <v>5.3063742616722891</v>
      </c>
      <c r="Q35" s="2">
        <v>10.935689304123812</v>
      </c>
      <c r="R35" s="2">
        <v>2.7481736817507993</v>
      </c>
      <c r="S35" s="2">
        <v>-9.1475743073854119</v>
      </c>
      <c r="T35" s="2">
        <v>-23.349926071248092</v>
      </c>
      <c r="U35" s="12">
        <v>9.7115038199174393</v>
      </c>
      <c r="V35" s="2">
        <v>1.1014937665294295</v>
      </c>
      <c r="W35" s="2">
        <v>6.7777897719789344</v>
      </c>
      <c r="X35" s="2">
        <v>1.9229222362391114</v>
      </c>
      <c r="Y35" s="2">
        <v>-0.45573107889557518</v>
      </c>
      <c r="Z35" s="2">
        <v>0.36502912406552462</v>
      </c>
      <c r="AA35" s="39">
        <v>9.7115038199174251</v>
      </c>
      <c r="AB35" s="31">
        <v>4.1998405038444986E-2</v>
      </c>
      <c r="AD35" s="29">
        <v>4.1998405038444986E-2</v>
      </c>
    </row>
    <row r="36" spans="1:30" x14ac:dyDescent="0.25">
      <c r="A36" s="95"/>
      <c r="B36" s="100"/>
      <c r="C36" s="16" t="s">
        <v>29</v>
      </c>
      <c r="D36" s="2">
        <v>208741.89623805997</v>
      </c>
      <c r="E36" s="2">
        <v>1267869.5046736046</v>
      </c>
      <c r="F36" s="2">
        <v>567143.40093790228</v>
      </c>
      <c r="G36" s="2">
        <v>66921.8584207245</v>
      </c>
      <c r="H36" s="2">
        <v>-55323.070234787563</v>
      </c>
      <c r="I36" s="2">
        <v>2055353.5900355037</v>
      </c>
      <c r="J36" s="2">
        <v>10.15600903173328</v>
      </c>
      <c r="K36" s="2">
        <v>61.68619894991906</v>
      </c>
      <c r="L36" s="2">
        <v>27.593471200646579</v>
      </c>
      <c r="M36" s="2">
        <v>3.2559778884356585</v>
      </c>
      <c r="N36" s="2">
        <v>-2.6916570707345748</v>
      </c>
      <c r="O36" s="2">
        <v>99.999999999999986</v>
      </c>
      <c r="P36" s="2">
        <v>5.8999956151022985</v>
      </c>
      <c r="Q36" s="2">
        <v>11.030712225698309</v>
      </c>
      <c r="R36" s="2">
        <v>9.0178884172593285</v>
      </c>
      <c r="S36" s="2">
        <v>22.740717501920301</v>
      </c>
      <c r="T36" s="2">
        <v>207.44896531095503</v>
      </c>
      <c r="U36" s="12">
        <v>6.2212027374630736</v>
      </c>
      <c r="V36" s="2">
        <v>0.8769491346689372</v>
      </c>
      <c r="W36" s="2">
        <v>3.0105007847455267</v>
      </c>
      <c r="X36" s="2">
        <v>2.6563346477501515</v>
      </c>
      <c r="Y36" s="2">
        <v>0.61166696286983102</v>
      </c>
      <c r="Z36" s="2">
        <v>-0.93424879257138149</v>
      </c>
      <c r="AA36" s="39">
        <v>6.2212027374630647</v>
      </c>
      <c r="AB36" s="31">
        <v>1.0881569473240482E-2</v>
      </c>
      <c r="AD36" s="29">
        <v>1.0881569473240482E-2</v>
      </c>
    </row>
    <row r="37" spans="1:30" x14ac:dyDescent="0.25">
      <c r="A37" s="95"/>
      <c r="B37" s="100"/>
      <c r="C37" s="16" t="s">
        <v>30</v>
      </c>
      <c r="D37" s="2">
        <v>119709.04862311379</v>
      </c>
      <c r="E37" s="2">
        <v>1150694.2284402431</v>
      </c>
      <c r="F37" s="2">
        <v>661554.13861682592</v>
      </c>
      <c r="G37" s="2">
        <v>76924.225255765035</v>
      </c>
      <c r="H37" s="2">
        <v>-42686.735374256328</v>
      </c>
      <c r="I37" s="2">
        <v>1966194.9055616916</v>
      </c>
      <c r="J37" s="2">
        <v>6.0883612445794624</v>
      </c>
      <c r="K37" s="2">
        <v>58.523914652882247</v>
      </c>
      <c r="L37" s="2">
        <v>33.646417084365133</v>
      </c>
      <c r="M37" s="2">
        <v>3.9123397704964424</v>
      </c>
      <c r="N37" s="2">
        <v>-2.1710327523232911</v>
      </c>
      <c r="O37" s="2">
        <v>100</v>
      </c>
      <c r="P37" s="2">
        <v>5.9699814636283008</v>
      </c>
      <c r="Q37" s="2">
        <v>9.6696172345432245</v>
      </c>
      <c r="R37" s="2">
        <v>14.959409104958127</v>
      </c>
      <c r="S37" s="2">
        <v>26.238865911803927</v>
      </c>
      <c r="T37" s="2">
        <v>2247.1425120552863</v>
      </c>
      <c r="U37" s="12">
        <v>7.089280308231082</v>
      </c>
      <c r="V37" s="2">
        <v>0.46209181052849324</v>
      </c>
      <c r="W37" s="2">
        <v>2.6368823707449067</v>
      </c>
      <c r="X37" s="2">
        <v>4.3021155801423356</v>
      </c>
      <c r="Y37" s="2">
        <v>0.69483912717480334</v>
      </c>
      <c r="Z37" s="2">
        <v>-1.0066485803594756</v>
      </c>
      <c r="AA37" s="39">
        <v>7.0892803082310634</v>
      </c>
      <c r="AB37" s="31">
        <v>7.8299839610593835E-3</v>
      </c>
      <c r="AD37" s="29">
        <v>7.8299839610593835E-3</v>
      </c>
    </row>
    <row r="38" spans="1:30" x14ac:dyDescent="0.25">
      <c r="A38" s="95"/>
      <c r="B38" s="101"/>
      <c r="C38" s="28" t="s">
        <v>31</v>
      </c>
      <c r="D38" s="20">
        <v>89173.510419973827</v>
      </c>
      <c r="E38" s="20">
        <v>644247.31670421641</v>
      </c>
      <c r="F38" s="20">
        <v>801794.52330440958</v>
      </c>
      <c r="G38" s="20">
        <v>76107.431919076742</v>
      </c>
      <c r="H38" s="20">
        <v>-7849.9852409142468</v>
      </c>
      <c r="I38" s="20">
        <v>1603472.7971067624</v>
      </c>
      <c r="J38" s="20">
        <v>5.5612736668108553</v>
      </c>
      <c r="K38" s="20">
        <v>40.178250474012941</v>
      </c>
      <c r="L38" s="20">
        <v>50.00362492903735</v>
      </c>
      <c r="M38" s="20">
        <v>4.7464124153775309</v>
      </c>
      <c r="N38" s="20">
        <v>-0.48956148523869086</v>
      </c>
      <c r="O38" s="20">
        <v>99.999999999999986</v>
      </c>
      <c r="P38" s="20">
        <v>5.518516524524216</v>
      </c>
      <c r="Q38" s="20">
        <v>6.229382153508169</v>
      </c>
      <c r="R38" s="20">
        <v>20.589208902392912</v>
      </c>
      <c r="S38" s="20">
        <v>27.20663249512603</v>
      </c>
      <c r="T38" s="20">
        <v>-90.097933638258311</v>
      </c>
      <c r="U38" s="40">
        <v>19.857157466249603</v>
      </c>
      <c r="V38" s="20">
        <v>0.51801571386332634</v>
      </c>
      <c r="W38" s="20">
        <v>3.2085741032183908</v>
      </c>
      <c r="X38" s="20">
        <v>12.020173609576146</v>
      </c>
      <c r="Y38" s="20">
        <v>1.1725669943925077</v>
      </c>
      <c r="Z38" s="20">
        <v>2.9378270451992128</v>
      </c>
      <c r="AA38" s="41">
        <v>19.857157466249582</v>
      </c>
      <c r="AB38" s="31">
        <v>-7.3987963924565747E-2</v>
      </c>
      <c r="AD38" s="29">
        <v>-7.3987963924565747E-2</v>
      </c>
    </row>
    <row r="39" spans="1:30" x14ac:dyDescent="0.25">
      <c r="A39" s="95"/>
      <c r="B39" s="60"/>
      <c r="C39" s="83" t="s">
        <v>51</v>
      </c>
      <c r="D39" s="35">
        <v>671884.10721954389</v>
      </c>
      <c r="E39" s="35">
        <v>2669073.2639855542</v>
      </c>
      <c r="F39" s="35">
        <v>3010654.4283559034</v>
      </c>
      <c r="G39" s="35">
        <v>267865.99999999994</v>
      </c>
      <c r="H39" s="35">
        <v>-137956</v>
      </c>
      <c r="I39" s="35">
        <v>6481521.7995610014</v>
      </c>
      <c r="J39" s="35">
        <v>10.366147457300091</v>
      </c>
      <c r="K39" s="35">
        <v>41.179731342820332</v>
      </c>
      <c r="L39" s="35">
        <v>46.449807953431822</v>
      </c>
      <c r="M39" s="35">
        <v>4.1327640064119313</v>
      </c>
      <c r="N39" s="35">
        <v>-2.1284507599641782</v>
      </c>
      <c r="O39" s="34">
        <v>99.999999999999986</v>
      </c>
      <c r="P39" s="34">
        <v>5.3150470255784086</v>
      </c>
      <c r="Q39" s="34">
        <v>-3.2740312308795581</v>
      </c>
      <c r="R39" s="34">
        <v>10.060927902417347</v>
      </c>
      <c r="S39" s="34">
        <v>0</v>
      </c>
      <c r="T39" s="34">
        <v>0</v>
      </c>
      <c r="U39" s="87">
        <v>1.9955890978894217</v>
      </c>
      <c r="V39" s="34">
        <v>0.41554728006099401</v>
      </c>
      <c r="W39" s="34">
        <v>-1.8458292781339085</v>
      </c>
      <c r="X39" s="34">
        <v>3.425871095962326</v>
      </c>
      <c r="Y39" s="34">
        <v>0</v>
      </c>
      <c r="Z39" s="34">
        <v>0</v>
      </c>
      <c r="AA39" s="88">
        <v>1.9955890978894115</v>
      </c>
      <c r="AB39" s="31">
        <v>0</v>
      </c>
      <c r="AD39" s="29">
        <v>0</v>
      </c>
    </row>
    <row r="40" spans="1:30" x14ac:dyDescent="0.25">
      <c r="A40" s="95"/>
      <c r="B40" s="100">
        <v>2009</v>
      </c>
      <c r="C40" s="16" t="s">
        <v>28</v>
      </c>
      <c r="D40" s="2">
        <v>185513.69340961572</v>
      </c>
      <c r="E40" s="2">
        <v>542538.25967340427</v>
      </c>
      <c r="F40" s="2">
        <v>637926.55171286047</v>
      </c>
      <c r="G40" s="2">
        <v>74925.667196261202</v>
      </c>
      <c r="H40" s="2">
        <v>-9717.7859073947584</v>
      </c>
      <c r="I40" s="2">
        <v>1431186.386084747</v>
      </c>
      <c r="J40" s="2">
        <v>12.962231559309329</v>
      </c>
      <c r="K40" s="2">
        <v>37.908288183037406</v>
      </c>
      <c r="L40" s="2">
        <v>44.573268577408477</v>
      </c>
      <c r="M40" s="2">
        <v>5.2352138005751341</v>
      </c>
      <c r="N40" s="2">
        <v>-0.67900212033035112</v>
      </c>
      <c r="O40" s="2">
        <v>100</v>
      </c>
      <c r="P40" s="2">
        <v>4.5382367321386425</v>
      </c>
      <c r="Q40" s="2">
        <v>-5.6747415739297367</v>
      </c>
      <c r="R40" s="2">
        <v>14.286845586156446</v>
      </c>
      <c r="S40" s="2">
        <v>40.970673248975402</v>
      </c>
      <c r="T40" s="2">
        <v>-62.232185479159448</v>
      </c>
      <c r="U40" s="12">
        <v>1.4347597454127339</v>
      </c>
      <c r="V40" s="2">
        <v>0.14459034327520115</v>
      </c>
      <c r="W40" s="2">
        <v>-0.23706579310459103</v>
      </c>
      <c r="X40" s="2">
        <v>1.1817361570495502</v>
      </c>
      <c r="Y40" s="2">
        <v>0.24641162319198831</v>
      </c>
      <c r="Z40" s="2">
        <v>9.9087415000587445E-2</v>
      </c>
      <c r="AA40" s="39">
        <v>1.4347597454127361</v>
      </c>
      <c r="AB40" s="31">
        <v>1.3127773783987884E-2</v>
      </c>
      <c r="AD40" s="29">
        <v>1.3127773783987884E-2</v>
      </c>
    </row>
    <row r="41" spans="1:30" x14ac:dyDescent="0.25">
      <c r="A41" s="95"/>
      <c r="B41" s="100"/>
      <c r="C41" s="16" t="s">
        <v>29</v>
      </c>
      <c r="D41" s="2">
        <v>236324.40526618413</v>
      </c>
      <c r="E41" s="2">
        <v>619294.80786357645</v>
      </c>
      <c r="F41" s="2">
        <v>701551.40908214205</v>
      </c>
      <c r="G41" s="2">
        <v>59006.579444258823</v>
      </c>
      <c r="H41" s="2">
        <v>-19008.574758688046</v>
      </c>
      <c r="I41" s="2">
        <v>1597168.6268974734</v>
      </c>
      <c r="J41" s="2">
        <v>14.796459264620557</v>
      </c>
      <c r="K41" s="2">
        <v>38.774541237174617</v>
      </c>
      <c r="L41" s="2">
        <v>43.924692563296674</v>
      </c>
      <c r="M41" s="2">
        <v>3.694448942368727</v>
      </c>
      <c r="N41" s="2">
        <v>-1.1901420074605722</v>
      </c>
      <c r="O41" s="2">
        <v>100</v>
      </c>
      <c r="P41" s="2">
        <v>4.5754860651258156</v>
      </c>
      <c r="Q41" s="2">
        <v>-3.0423665739388639</v>
      </c>
      <c r="R41" s="2">
        <v>12.858190236947337</v>
      </c>
      <c r="S41" s="2">
        <v>-14.156872728109107</v>
      </c>
      <c r="T41" s="2">
        <v>-65.096205739555671</v>
      </c>
      <c r="U41" s="12">
        <v>6.6122033291493807</v>
      </c>
      <c r="V41" s="2">
        <v>0.86089998300784998</v>
      </c>
      <c r="W41" s="2">
        <v>-0.21130755720077588</v>
      </c>
      <c r="X41" s="2">
        <v>5.4488802945139243</v>
      </c>
      <c r="Y41" s="2">
        <v>-0.55330812485479897</v>
      </c>
      <c r="Z41" s="2">
        <v>1.0670387336831761</v>
      </c>
      <c r="AA41" s="39">
        <v>6.6122033291493754</v>
      </c>
      <c r="AB41" s="31">
        <v>8.6586974049076559E-3</v>
      </c>
      <c r="AD41" s="29">
        <v>8.6586974049076559E-3</v>
      </c>
    </row>
    <row r="42" spans="1:30" x14ac:dyDescent="0.25">
      <c r="A42" s="95"/>
      <c r="B42" s="100"/>
      <c r="C42" s="16" t="s">
        <v>30</v>
      </c>
      <c r="D42" s="2">
        <v>140776.00071163537</v>
      </c>
      <c r="E42" s="2">
        <v>687560.95469033939</v>
      </c>
      <c r="F42" s="2">
        <v>762269.22769507172</v>
      </c>
      <c r="G42" s="2">
        <v>69067.73411221405</v>
      </c>
      <c r="H42" s="2">
        <v>-18627.550666261523</v>
      </c>
      <c r="I42" s="2">
        <v>1641046.3665429989</v>
      </c>
      <c r="J42" s="2">
        <v>8.5784292011316996</v>
      </c>
      <c r="K42" s="2">
        <v>41.897716524533301</v>
      </c>
      <c r="L42" s="2">
        <v>46.450194414729154</v>
      </c>
      <c r="M42" s="2">
        <v>4.2087618924327526</v>
      </c>
      <c r="N42" s="2">
        <v>-1.1351020328268977</v>
      </c>
      <c r="O42" s="2">
        <v>100.00000000000001</v>
      </c>
      <c r="P42" s="2">
        <v>5.8169801172639097</v>
      </c>
      <c r="Q42" s="2">
        <v>-3.0910786600903322</v>
      </c>
      <c r="R42" s="2">
        <v>8.3762521414208777</v>
      </c>
      <c r="S42" s="2">
        <v>-6.1421186735614697</v>
      </c>
      <c r="T42" s="2">
        <v>-58.623339958723093</v>
      </c>
      <c r="U42" s="12">
        <v>4.8050756228102074</v>
      </c>
      <c r="V42" s="2">
        <v>0.61118347284103636</v>
      </c>
      <c r="W42" s="2">
        <v>-4.3801533600118292E-2</v>
      </c>
      <c r="X42" s="2">
        <v>3.7012089667371595</v>
      </c>
      <c r="Y42" s="2">
        <v>-0.26797798737230594</v>
      </c>
      <c r="Z42" s="2">
        <v>0.8044627042044622</v>
      </c>
      <c r="AA42" s="39">
        <v>4.805075622810234</v>
      </c>
      <c r="AB42" s="31">
        <v>2.5641360051582573E-2</v>
      </c>
      <c r="AD42" s="29">
        <v>2.5641360051582573E-2</v>
      </c>
    </row>
    <row r="43" spans="1:30" x14ac:dyDescent="0.25">
      <c r="A43" s="95"/>
      <c r="B43" s="101"/>
      <c r="C43" s="28" t="s">
        <v>31</v>
      </c>
      <c r="D43" s="20">
        <v>109270.00783210871</v>
      </c>
      <c r="E43" s="20">
        <v>819679.2417582341</v>
      </c>
      <c r="F43" s="20">
        <v>908907.23986582912</v>
      </c>
      <c r="G43" s="20">
        <v>64866.019247265889</v>
      </c>
      <c r="H43" s="20">
        <v>-90602.088667655669</v>
      </c>
      <c r="I43" s="20">
        <v>1812120.4200357825</v>
      </c>
      <c r="J43" s="20">
        <v>6.0299529006991177</v>
      </c>
      <c r="K43" s="20">
        <v>45.233155186345101</v>
      </c>
      <c r="L43" s="20">
        <v>50.157110411452763</v>
      </c>
      <c r="M43" s="20">
        <v>3.5795644996917493</v>
      </c>
      <c r="N43" s="20">
        <v>-4.9997829981887527</v>
      </c>
      <c r="O43" s="20">
        <v>99.999999999999986</v>
      </c>
      <c r="P43" s="20">
        <v>7.9941034427830147</v>
      </c>
      <c r="Q43" s="20">
        <v>-1.3556736918759498</v>
      </c>
      <c r="R43" s="20">
        <v>6.9121770983546753</v>
      </c>
      <c r="S43" s="20">
        <v>-10.03199233014989</v>
      </c>
      <c r="T43" s="20">
        <v>969.52490599876569</v>
      </c>
      <c r="U43" s="40">
        <v>-3.9059535482365817</v>
      </c>
      <c r="V43" s="20">
        <v>0.44723769515664702</v>
      </c>
      <c r="W43" s="20">
        <v>-2.0499221342955263</v>
      </c>
      <c r="X43" s="20">
        <v>-2.2941159740279632E-2</v>
      </c>
      <c r="Y43" s="20">
        <v>-0.34077335805128434</v>
      </c>
      <c r="Z43" s="20">
        <v>-1.9395545916076939</v>
      </c>
      <c r="AA43" s="41">
        <v>-3.9059535485381369</v>
      </c>
      <c r="AB43" s="31">
        <v>-4.0730309351024729E-2</v>
      </c>
      <c r="AD43" s="29">
        <v>-4.0730309351024729E-2</v>
      </c>
    </row>
    <row r="44" spans="1:30" x14ac:dyDescent="0.25">
      <c r="A44" s="95"/>
      <c r="B44" s="60"/>
      <c r="C44" s="83" t="s">
        <v>51</v>
      </c>
      <c r="D44" s="35">
        <v>886148.78230085643</v>
      </c>
      <c r="E44" s="35">
        <v>4278147.6091208057</v>
      </c>
      <c r="F44" s="35">
        <v>3533356.1418741713</v>
      </c>
      <c r="G44" s="35">
        <v>294851.92054790258</v>
      </c>
      <c r="H44" s="35">
        <v>-211195.99999999997</v>
      </c>
      <c r="I44" s="35">
        <v>8781308.453843737</v>
      </c>
      <c r="J44" s="35">
        <v>10.091306858865357</v>
      </c>
      <c r="K44" s="35">
        <v>48.71879437566259</v>
      </c>
      <c r="L44" s="35">
        <v>40.237239819625714</v>
      </c>
      <c r="M44" s="35">
        <v>3.3577219397052454</v>
      </c>
      <c r="N44" s="35">
        <v>-2.4050629938589125</v>
      </c>
      <c r="O44" s="34">
        <v>100</v>
      </c>
      <c r="P44" s="34">
        <v>10.791356089361571</v>
      </c>
      <c r="Q44" s="34">
        <v>3.1872974201406805</v>
      </c>
      <c r="R44" s="34">
        <v>6.5623796473270914</v>
      </c>
      <c r="S44" s="34">
        <v>6.530312426486276</v>
      </c>
      <c r="T44" s="34">
        <v>21.40513770731522</v>
      </c>
      <c r="U44" s="87">
        <v>5.2936657282000255</v>
      </c>
      <c r="V44" s="34">
        <v>1.1186478848655479</v>
      </c>
      <c r="W44" s="34">
        <v>1.3125205147105683</v>
      </c>
      <c r="X44" s="34">
        <v>3.0482127433585324</v>
      </c>
      <c r="Y44" s="34">
        <v>0.26988240146807058</v>
      </c>
      <c r="Z44" s="34">
        <v>-0.45559781620272999</v>
      </c>
      <c r="AA44" s="88">
        <v>5.293665728199989</v>
      </c>
      <c r="AB44" s="31">
        <v>0</v>
      </c>
      <c r="AD44" s="29">
        <v>-3.1916609839661714E-2</v>
      </c>
    </row>
    <row r="45" spans="1:30" x14ac:dyDescent="0.25">
      <c r="A45" s="95"/>
      <c r="B45" s="100">
        <v>2010</v>
      </c>
      <c r="C45" s="16" t="s">
        <v>28</v>
      </c>
      <c r="D45" s="2">
        <v>245450.73175417611</v>
      </c>
      <c r="E45" s="2">
        <v>991310.64951240912</v>
      </c>
      <c r="F45" s="2">
        <v>742479.52406956488</v>
      </c>
      <c r="G45" s="2">
        <v>54838.536068317786</v>
      </c>
      <c r="H45" s="2">
        <v>-2271.6881080680027</v>
      </c>
      <c r="I45" s="2">
        <v>2031807.7532964</v>
      </c>
      <c r="J45" s="2">
        <v>12.080411217840735</v>
      </c>
      <c r="K45" s="2">
        <v>48.789588872476202</v>
      </c>
      <c r="L45" s="2">
        <v>36.542803956967283</v>
      </c>
      <c r="M45" s="2">
        <v>2.6990022052700549</v>
      </c>
      <c r="N45" s="2">
        <v>-0.1118062525542794</v>
      </c>
      <c r="O45" s="2">
        <v>100</v>
      </c>
      <c r="P45" s="2">
        <v>10.307181173500908</v>
      </c>
      <c r="Q45" s="2">
        <v>6.1512707765081416</v>
      </c>
      <c r="R45" s="2">
        <v>8.3779700227410814</v>
      </c>
      <c r="S45" s="2">
        <v>-27.628151459650525</v>
      </c>
      <c r="T45" s="2">
        <v>-79.78241068105082</v>
      </c>
      <c r="U45" s="12">
        <v>7.9656829486961698</v>
      </c>
      <c r="V45" s="2">
        <v>1.9858124247412485</v>
      </c>
      <c r="W45" s="2">
        <v>3.4313992116551879</v>
      </c>
      <c r="X45" s="2">
        <v>3.7417652347344585</v>
      </c>
      <c r="Y45" s="2">
        <v>-1.5006512205615101</v>
      </c>
      <c r="Z45" s="2">
        <v>0.30735729812674528</v>
      </c>
      <c r="AA45" s="39">
        <v>7.9656829486961298</v>
      </c>
      <c r="AB45" s="31">
        <v>1.2932799748321955E-2</v>
      </c>
      <c r="AD45" s="29">
        <v>1.2932799748321955E-2</v>
      </c>
    </row>
    <row r="46" spans="1:30" x14ac:dyDescent="0.25">
      <c r="A46" s="95"/>
      <c r="B46" s="100"/>
      <c r="C46" s="16" t="s">
        <v>29</v>
      </c>
      <c r="D46" s="2">
        <v>318107.46210123622</v>
      </c>
      <c r="E46" s="2">
        <v>1045653.1295663614</v>
      </c>
      <c r="F46" s="2">
        <v>821536.47820630041</v>
      </c>
      <c r="G46" s="2">
        <v>65128.944473253046</v>
      </c>
      <c r="H46" s="2">
        <v>-7927.8658002561424</v>
      </c>
      <c r="I46" s="2">
        <v>2242498.148546895</v>
      </c>
      <c r="J46" s="2">
        <v>14.18540578539006</v>
      </c>
      <c r="K46" s="2">
        <v>46.62894059662564</v>
      </c>
      <c r="L46" s="2">
        <v>36.634878772972172</v>
      </c>
      <c r="M46" s="2">
        <v>2.9043031547408686</v>
      </c>
      <c r="N46" s="2">
        <v>-0.35352830972874072</v>
      </c>
      <c r="O46" s="2">
        <v>100</v>
      </c>
      <c r="P46" s="2">
        <v>11.699747315047034</v>
      </c>
      <c r="Q46" s="2">
        <v>5.2011847665817186</v>
      </c>
      <c r="R46" s="2">
        <v>8.3985280488731178</v>
      </c>
      <c r="S46" s="2">
        <v>8.485843425752094</v>
      </c>
      <c r="T46" s="2">
        <v>-64.551249123818636</v>
      </c>
      <c r="U46" s="12">
        <v>10.37510825836965</v>
      </c>
      <c r="V46" s="2">
        <v>2.5770443801061607</v>
      </c>
      <c r="W46" s="2">
        <v>2.5548388548132341</v>
      </c>
      <c r="X46" s="2">
        <v>4.492212413402549</v>
      </c>
      <c r="Y46" s="2">
        <v>0.3269275151833575</v>
      </c>
      <c r="Z46" s="2">
        <v>0.4240850948643945</v>
      </c>
      <c r="AA46" s="39">
        <v>10.375108258369696</v>
      </c>
      <c r="AB46" s="31">
        <v>1.022553389069536E-2</v>
      </c>
      <c r="AD46" s="29">
        <v>1.022553389069536E-2</v>
      </c>
    </row>
    <row r="47" spans="1:30" x14ac:dyDescent="0.25">
      <c r="A47" s="95"/>
      <c r="B47" s="100"/>
      <c r="C47" s="16" t="s">
        <v>30</v>
      </c>
      <c r="D47" s="2">
        <v>184712.1289753704</v>
      </c>
      <c r="E47" s="2">
        <v>1093958.8785755238</v>
      </c>
      <c r="F47" s="2">
        <v>906814.44605594047</v>
      </c>
      <c r="G47" s="2">
        <v>85063.162700021421</v>
      </c>
      <c r="H47" s="2">
        <v>-4979.8748180169741</v>
      </c>
      <c r="I47" s="2">
        <v>2265568.7414888395</v>
      </c>
      <c r="J47" s="2">
        <v>8.1530136602248984</v>
      </c>
      <c r="K47" s="2">
        <v>48.28628055031421</v>
      </c>
      <c r="L47" s="2">
        <v>40.025907378119058</v>
      </c>
      <c r="M47" s="2">
        <v>3.7546052407185568</v>
      </c>
      <c r="N47" s="2">
        <v>-0.21980682937673318</v>
      </c>
      <c r="O47" s="2">
        <v>100</v>
      </c>
      <c r="P47" s="2">
        <v>11.133980855073958</v>
      </c>
      <c r="Q47" s="2">
        <v>3.728128433785912</v>
      </c>
      <c r="R47" s="2">
        <v>7.6882584618891912</v>
      </c>
      <c r="S47" s="2">
        <v>18.795531469967159</v>
      </c>
      <c r="T47" s="2">
        <v>-77.918311414281831</v>
      </c>
      <c r="U47" s="12">
        <v>8.4229477947167908</v>
      </c>
      <c r="V47" s="2">
        <v>1.2779694271122493</v>
      </c>
      <c r="W47" s="2">
        <v>1.7662815207644385</v>
      </c>
      <c r="X47" s="2">
        <v>4.17634588141427</v>
      </c>
      <c r="Y47" s="2">
        <v>0.76348971500208807</v>
      </c>
      <c r="Z47" s="2">
        <v>0.43886125042372631</v>
      </c>
      <c r="AA47" s="39">
        <v>8.4229477947167712</v>
      </c>
      <c r="AB47" s="31">
        <v>-4.051691473998531E-2</v>
      </c>
      <c r="AD47" s="29">
        <v>-4.051691473998531E-2</v>
      </c>
    </row>
    <row r="48" spans="1:30" x14ac:dyDescent="0.25">
      <c r="A48" s="95"/>
      <c r="B48" s="101"/>
      <c r="C48" s="28" t="s">
        <v>31</v>
      </c>
      <c r="D48" s="20">
        <v>137878.45947007375</v>
      </c>
      <c r="E48" s="20">
        <v>1147224.9514665124</v>
      </c>
      <c r="F48" s="20">
        <v>1062525.6935423657</v>
      </c>
      <c r="G48" s="20">
        <v>89821.277306310338</v>
      </c>
      <c r="H48" s="20">
        <v>-196016.57127365886</v>
      </c>
      <c r="I48" s="20">
        <v>2241433.810511603</v>
      </c>
      <c r="J48" s="20">
        <v>6.1513509265126709</v>
      </c>
      <c r="K48" s="20">
        <v>51.182637920709354</v>
      </c>
      <c r="L48" s="20">
        <v>47.4038398349959</v>
      </c>
      <c r="M48" s="20">
        <v>4.00731339400153</v>
      </c>
      <c r="N48" s="20">
        <v>-8.7451420762194374</v>
      </c>
      <c r="O48" s="20">
        <v>100.00000000000001</v>
      </c>
      <c r="P48" s="20">
        <v>9.0732474657716011</v>
      </c>
      <c r="Q48" s="20">
        <v>-1.844121433961277</v>
      </c>
      <c r="R48" s="20">
        <v>3.1170119461248618</v>
      </c>
      <c r="S48" s="20">
        <v>30.677454363303013</v>
      </c>
      <c r="T48" s="20">
        <v>73.318984008678825</v>
      </c>
      <c r="U48" s="40">
        <v>-5.0245537956754447</v>
      </c>
      <c r="V48" s="20">
        <v>0.66616613594781482</v>
      </c>
      <c r="W48" s="20">
        <v>-3.3620431112988882</v>
      </c>
      <c r="X48" s="20">
        <v>-0.10672470863336281</v>
      </c>
      <c r="Y48" s="20">
        <v>0.97563951752864186</v>
      </c>
      <c r="Z48" s="20">
        <v>-3.1975916293813285</v>
      </c>
      <c r="AA48" s="41">
        <v>-5.0245537958371234</v>
      </c>
      <c r="AB48" s="31">
        <v>1.7839460944186314E-2</v>
      </c>
      <c r="AD48" s="29">
        <v>1.7839460944186314E-2</v>
      </c>
    </row>
    <row r="49" spans="1:30" x14ac:dyDescent="0.25">
      <c r="A49" s="95"/>
      <c r="B49" s="60"/>
      <c r="C49" s="83" t="s">
        <v>51</v>
      </c>
      <c r="D49" s="35">
        <v>1127038.3763273705</v>
      </c>
      <c r="E49" s="35">
        <v>6168192.9734900976</v>
      </c>
      <c r="F49" s="35">
        <v>4445922.837831893</v>
      </c>
      <c r="G49" s="35">
        <v>310398.230406655</v>
      </c>
      <c r="H49" s="35">
        <v>-257891</v>
      </c>
      <c r="I49" s="35">
        <v>11793661.418056017</v>
      </c>
      <c r="J49" s="35">
        <v>9.5563060221644349</v>
      </c>
      <c r="K49" s="35">
        <v>52.300916185762588</v>
      </c>
      <c r="L49" s="35">
        <v>37.697562107601421</v>
      </c>
      <c r="M49" s="35">
        <v>2.6319072542767539</v>
      </c>
      <c r="N49" s="35">
        <v>-2.1866915698052058</v>
      </c>
      <c r="O49" s="34">
        <v>100</v>
      </c>
      <c r="P49" s="34">
        <v>7.5750490143126257</v>
      </c>
      <c r="Q49" s="34">
        <v>-0.7664640499000086</v>
      </c>
      <c r="R49" s="34">
        <v>9.183384357788384</v>
      </c>
      <c r="S49" s="34">
        <v>-4.1616471898086758</v>
      </c>
      <c r="T49" s="34">
        <v>14.658395296261602</v>
      </c>
      <c r="U49" s="87">
        <v>3.5938696024015826</v>
      </c>
      <c r="V49" s="34">
        <v>0.76442144074374441</v>
      </c>
      <c r="W49" s="34">
        <v>-0.37341204443416331</v>
      </c>
      <c r="X49" s="34">
        <v>3.6951403876013065</v>
      </c>
      <c r="Y49" s="34">
        <v>-0.13973654074533326</v>
      </c>
      <c r="Z49" s="34">
        <v>-0.35254364076394501</v>
      </c>
      <c r="AA49" s="88">
        <v>3.5938696024016092</v>
      </c>
      <c r="AB49" s="31">
        <v>0</v>
      </c>
      <c r="AD49" s="29">
        <v>-8.0571291031528158E-3</v>
      </c>
    </row>
    <row r="50" spans="1:30" x14ac:dyDescent="0.25">
      <c r="A50" s="95"/>
      <c r="B50" s="100">
        <v>2011</v>
      </c>
      <c r="C50" s="16" t="s">
        <v>28</v>
      </c>
      <c r="D50" s="2">
        <v>311429.19568255224</v>
      </c>
      <c r="E50" s="2">
        <v>1405304.0282010259</v>
      </c>
      <c r="F50" s="2">
        <v>936196.2620980799</v>
      </c>
      <c r="G50" s="2">
        <v>69076.355932438149</v>
      </c>
      <c r="H50" s="2">
        <v>-3331.7257680611656</v>
      </c>
      <c r="I50" s="2">
        <v>2718674.116146035</v>
      </c>
      <c r="J50" s="2">
        <v>11.455186696816428</v>
      </c>
      <c r="K50" s="2">
        <v>51.690786323193848</v>
      </c>
      <c r="L50" s="2">
        <v>34.435766189778647</v>
      </c>
      <c r="M50" s="2">
        <v>2.5408104458786731</v>
      </c>
      <c r="N50" s="2">
        <v>-0.12254965566760116</v>
      </c>
      <c r="O50" s="2">
        <v>100</v>
      </c>
      <c r="P50" s="2">
        <v>8.8872335319361895</v>
      </c>
      <c r="Q50" s="2">
        <v>-2.9442061634896106</v>
      </c>
      <c r="R50" s="2">
        <v>9.0013283454436248</v>
      </c>
      <c r="S50" s="2">
        <v>17.641515609022434</v>
      </c>
      <c r="T50" s="2">
        <v>24.576295389917476</v>
      </c>
      <c r="U50" s="12">
        <v>1.892441410422748</v>
      </c>
      <c r="V50" s="2">
        <v>0.50846198622002925</v>
      </c>
      <c r="W50" s="2">
        <v>-0.20116284863252348</v>
      </c>
      <c r="X50" s="2">
        <v>1.4061017710272425</v>
      </c>
      <c r="Y50" s="2">
        <v>0.18412275300913139</v>
      </c>
      <c r="Z50" s="2">
        <v>-5.0822512011264127E-3</v>
      </c>
      <c r="AA50" s="39">
        <v>1.8924414104227534</v>
      </c>
      <c r="AB50" s="31">
        <v>-1.0512313867983014E-2</v>
      </c>
      <c r="AD50" s="29">
        <v>-1.0512313867983014E-2</v>
      </c>
    </row>
    <row r="51" spans="1:30" x14ac:dyDescent="0.25">
      <c r="A51" s="95"/>
      <c r="B51" s="100"/>
      <c r="C51" s="16" t="s">
        <v>29</v>
      </c>
      <c r="D51" s="2">
        <v>404205.57729108504</v>
      </c>
      <c r="E51" s="2">
        <v>1445737.0017286304</v>
      </c>
      <c r="F51" s="2">
        <v>1008618.2066892791</v>
      </c>
      <c r="G51" s="2">
        <v>80247.233733626374</v>
      </c>
      <c r="H51" s="2">
        <v>-3228.5356864544879</v>
      </c>
      <c r="I51" s="2">
        <v>2935579.4837561669</v>
      </c>
      <c r="J51" s="2">
        <v>13.769192063363626</v>
      </c>
      <c r="K51" s="2">
        <v>49.248777276463457</v>
      </c>
      <c r="L51" s="2">
        <v>34.358402225877398</v>
      </c>
      <c r="M51" s="2">
        <v>2.7336079359345944</v>
      </c>
      <c r="N51" s="2">
        <v>-0.10997950163909287</v>
      </c>
      <c r="O51" s="2">
        <v>100</v>
      </c>
      <c r="P51" s="2">
        <v>7.4096032013833337</v>
      </c>
      <c r="Q51" s="2">
        <v>-8.2575492120100762</v>
      </c>
      <c r="R51" s="2">
        <v>5.7619950881364019</v>
      </c>
      <c r="S51" s="2">
        <v>11.091817666194757</v>
      </c>
      <c r="T51" s="2">
        <v>-64.577117911073231</v>
      </c>
      <c r="U51" s="12">
        <v>-2.3150179250055771</v>
      </c>
      <c r="V51" s="2">
        <v>1.2690018736559781</v>
      </c>
      <c r="W51" s="2">
        <v>-2.9080203838677319</v>
      </c>
      <c r="X51" s="2">
        <v>-1.1194789428560192</v>
      </c>
      <c r="Y51" s="2">
        <v>0.33485035664889423</v>
      </c>
      <c r="Z51" s="2">
        <v>0.10862917164781338</v>
      </c>
      <c r="AA51" s="39">
        <v>-2.3150179247710652</v>
      </c>
      <c r="AB51" s="31">
        <v>-3.207863828667934E-2</v>
      </c>
      <c r="AD51" s="29">
        <v>-3.207863828667934E-2</v>
      </c>
    </row>
    <row r="52" spans="1:30" x14ac:dyDescent="0.25">
      <c r="A52" s="95"/>
      <c r="B52" s="100"/>
      <c r="C52" s="16" t="s">
        <v>30</v>
      </c>
      <c r="D52" s="2">
        <v>234546.69702495632</v>
      </c>
      <c r="E52" s="2">
        <v>1617516.2578355037</v>
      </c>
      <c r="F52" s="2">
        <v>1154389.9631975489</v>
      </c>
      <c r="G52" s="2">
        <v>79993.576721049001</v>
      </c>
      <c r="H52" s="2">
        <v>-6404.6420744025445</v>
      </c>
      <c r="I52" s="2">
        <v>3080041.8527046554</v>
      </c>
      <c r="J52" s="2">
        <v>7.6150490234084156</v>
      </c>
      <c r="K52" s="2">
        <v>52.516048001592111</v>
      </c>
      <c r="L52" s="2">
        <v>37.479684316102805</v>
      </c>
      <c r="M52" s="2">
        <v>2.5971587577878141</v>
      </c>
      <c r="N52" s="2">
        <v>-0.20794009889113946</v>
      </c>
      <c r="O52" s="2">
        <v>100</v>
      </c>
      <c r="P52" s="2">
        <v>6.5628855182198436</v>
      </c>
      <c r="Q52" s="2">
        <v>-1.3490694720813963</v>
      </c>
      <c r="R52" s="2">
        <v>9.8563521094680056</v>
      </c>
      <c r="S52" s="2">
        <v>-15.616370028265493</v>
      </c>
      <c r="T52" s="2">
        <v>16.665021659209842</v>
      </c>
      <c r="U52" s="12">
        <v>3.4034067730249689</v>
      </c>
      <c r="V52" s="2">
        <v>0.5150923428488795</v>
      </c>
      <c r="W52" s="2">
        <v>0.49680349416391778</v>
      </c>
      <c r="X52" s="2">
        <v>2.8674676910676498</v>
      </c>
      <c r="Y52" s="2">
        <v>-0.46321641466126678</v>
      </c>
      <c r="Z52" s="2">
        <v>-1.2740340394201554E-2</v>
      </c>
      <c r="AA52" s="39">
        <v>3.4034067730249786</v>
      </c>
      <c r="AB52" s="31">
        <v>3.0681993053576662E-2</v>
      </c>
      <c r="AD52" s="29">
        <v>3.0681993053576662E-2</v>
      </c>
    </row>
    <row r="53" spans="1:30" x14ac:dyDescent="0.25">
      <c r="A53" s="95"/>
      <c r="B53" s="101"/>
      <c r="C53" s="28" t="s">
        <v>31</v>
      </c>
      <c r="D53" s="20">
        <v>176856.90632877697</v>
      </c>
      <c r="E53" s="20">
        <v>1699635.6857249392</v>
      </c>
      <c r="F53" s="20">
        <v>1346718.405846986</v>
      </c>
      <c r="G53" s="20">
        <v>81081.064019541489</v>
      </c>
      <c r="H53" s="20">
        <v>-244926.09647108181</v>
      </c>
      <c r="I53" s="20">
        <v>3059365.9654491614</v>
      </c>
      <c r="J53" s="20">
        <v>5.7808352556086469</v>
      </c>
      <c r="K53" s="20">
        <v>55.555160935949253</v>
      </c>
      <c r="L53" s="20">
        <v>44.019526302381003</v>
      </c>
      <c r="M53" s="20">
        <v>2.6502571099772809</v>
      </c>
      <c r="N53" s="20">
        <v>-8.0057796039161655</v>
      </c>
      <c r="O53" s="20">
        <v>100.00000000000001</v>
      </c>
      <c r="P53" s="20">
        <v>6.835192141942855</v>
      </c>
      <c r="Q53" s="20">
        <v>9.0355616963398973</v>
      </c>
      <c r="R53" s="20">
        <v>11.417426914095913</v>
      </c>
      <c r="S53" s="20">
        <v>-18.406312110889573</v>
      </c>
      <c r="T53" s="20">
        <v>18.079650491993689</v>
      </c>
      <c r="U53" s="40">
        <v>12.124784313284493</v>
      </c>
      <c r="V53" s="20">
        <v>0.91305641248386626</v>
      </c>
      <c r="W53" s="20">
        <v>6.0089613132545301</v>
      </c>
      <c r="X53" s="20">
        <v>7.4815798471711998</v>
      </c>
      <c r="Y53" s="20">
        <v>-1.191793911093739</v>
      </c>
      <c r="Z53" s="20">
        <v>-1.0870193485314008</v>
      </c>
      <c r="AA53" s="41">
        <v>12.124784313284456</v>
      </c>
      <c r="AB53" s="31">
        <v>1.2931034811066056E-2</v>
      </c>
      <c r="AD53" s="29">
        <v>1.2931034811066056E-2</v>
      </c>
    </row>
    <row r="54" spans="1:30" x14ac:dyDescent="0.25">
      <c r="A54" s="95"/>
      <c r="B54" s="60"/>
      <c r="C54" s="83" t="s">
        <v>51</v>
      </c>
      <c r="D54" s="35">
        <v>1329127.3195036037</v>
      </c>
      <c r="E54" s="35">
        <v>7330915.4596505444</v>
      </c>
      <c r="F54" s="35">
        <v>5212553.0959458407</v>
      </c>
      <c r="G54" s="35">
        <v>316064</v>
      </c>
      <c r="H54" s="35">
        <v>-482047.99999999994</v>
      </c>
      <c r="I54" s="35">
        <v>13706611.875099989</v>
      </c>
      <c r="J54" s="35">
        <v>9.6969793236660671</v>
      </c>
      <c r="K54" s="35">
        <v>53.484519197396963</v>
      </c>
      <c r="L54" s="35">
        <v>38.029479082392236</v>
      </c>
      <c r="M54" s="35">
        <v>2.3059236146766162</v>
      </c>
      <c r="N54" s="35">
        <v>-3.5169012181318764</v>
      </c>
      <c r="O54" s="34">
        <v>100</v>
      </c>
      <c r="P54" s="34">
        <v>6.3308804681505393</v>
      </c>
      <c r="Q54" s="34">
        <v>10.854023668798192</v>
      </c>
      <c r="R54" s="34">
        <v>6.4842625281619206</v>
      </c>
      <c r="S54" s="34">
        <v>-2.0652981697128894</v>
      </c>
      <c r="T54" s="34">
        <v>7.7140031232626853</v>
      </c>
      <c r="U54" s="87">
        <v>8.5031228386666555</v>
      </c>
      <c r="V54" s="34">
        <v>0.60499831143390315</v>
      </c>
      <c r="W54" s="34">
        <v>5.6767538218009648</v>
      </c>
      <c r="X54" s="34">
        <v>2.4444088937737649</v>
      </c>
      <c r="Y54" s="34">
        <v>-5.435673235111968E-2</v>
      </c>
      <c r="Z54" s="34">
        <v>-0.16868145599089601</v>
      </c>
      <c r="AA54" s="88">
        <v>8.5031228386666164</v>
      </c>
      <c r="AB54" s="31">
        <v>0</v>
      </c>
      <c r="AD54" s="29">
        <v>8.5629861957559061E-3</v>
      </c>
    </row>
    <row r="55" spans="1:30" x14ac:dyDescent="0.25">
      <c r="A55" s="95"/>
      <c r="B55" s="100">
        <v>2012</v>
      </c>
      <c r="C55" s="16" t="s">
        <v>28</v>
      </c>
      <c r="D55" s="2">
        <v>335807.24917587219</v>
      </c>
      <c r="E55" s="2">
        <v>1878496.2962543238</v>
      </c>
      <c r="F55" s="2">
        <v>1137095.651824537</v>
      </c>
      <c r="G55" s="2">
        <v>68530.063929823911</v>
      </c>
      <c r="H55" s="2">
        <v>-6994.1025095804262</v>
      </c>
      <c r="I55" s="2">
        <v>3412935.1586749763</v>
      </c>
      <c r="J55" s="2">
        <v>9.8392507786829615</v>
      </c>
      <c r="K55" s="2">
        <v>55.040491803062075</v>
      </c>
      <c r="L55" s="2">
        <v>33.317235721114557</v>
      </c>
      <c r="M55" s="2">
        <v>2.00795094965794</v>
      </c>
      <c r="N55" s="2">
        <v>-0.20492925251752472</v>
      </c>
      <c r="O55" s="2">
        <v>100</v>
      </c>
      <c r="P55" s="2">
        <v>6.1124550090576975</v>
      </c>
      <c r="Q55" s="2">
        <v>10.747113735163666</v>
      </c>
      <c r="R55" s="2">
        <v>5.7471054338253964</v>
      </c>
      <c r="S55" s="2">
        <v>-4.6629672081858615</v>
      </c>
      <c r="T55" s="2">
        <v>83.431230282929079</v>
      </c>
      <c r="U55" s="12">
        <v>7.7985105466242572</v>
      </c>
      <c r="V55" s="2">
        <v>0.89428493124466968</v>
      </c>
      <c r="W55" s="2">
        <v>4.3155384508748451</v>
      </c>
      <c r="X55" s="2">
        <v>2.7628658813730738</v>
      </c>
      <c r="Y55" s="2">
        <v>-0.12663739938748095</v>
      </c>
      <c r="Z55" s="2">
        <v>-4.7541317480863432E-2</v>
      </c>
      <c r="AA55" s="39">
        <v>7.7985105466242439</v>
      </c>
      <c r="AB55" s="31">
        <v>1.0484956205841556E-2</v>
      </c>
      <c r="AD55" s="29">
        <v>1.0484956205841556E-2</v>
      </c>
    </row>
    <row r="56" spans="1:30" x14ac:dyDescent="0.25">
      <c r="A56" s="95"/>
      <c r="B56" s="100"/>
      <c r="C56" s="16" t="s">
        <v>29</v>
      </c>
      <c r="D56" s="2">
        <v>452863.80151685094</v>
      </c>
      <c r="E56" s="2">
        <v>1726338.0159187834</v>
      </c>
      <c r="F56" s="2">
        <v>1190808.1738053374</v>
      </c>
      <c r="G56" s="2">
        <v>82185.427157972677</v>
      </c>
      <c r="H56" s="2">
        <v>-7536.4801324562422</v>
      </c>
      <c r="I56" s="2">
        <v>3444658.9382664878</v>
      </c>
      <c r="J56" s="2">
        <v>13.146840068432233</v>
      </c>
      <c r="K56" s="2">
        <v>50.116369918107381</v>
      </c>
      <c r="L56" s="2">
        <v>34.569697469224842</v>
      </c>
      <c r="M56" s="2">
        <v>2.3858799559219119</v>
      </c>
      <c r="N56" s="2">
        <v>-0.21878741168636417</v>
      </c>
      <c r="O56" s="2">
        <v>100</v>
      </c>
      <c r="P56" s="2">
        <v>6.2269290716642729</v>
      </c>
      <c r="Q56" s="2">
        <v>16.205393466859604</v>
      </c>
      <c r="R56" s="2">
        <v>6.7140290421379376</v>
      </c>
      <c r="S56" s="2">
        <v>-0.44698861572531712</v>
      </c>
      <c r="T56" s="2">
        <v>79.363943355851347</v>
      </c>
      <c r="U56" s="12">
        <v>13.345404432568955</v>
      </c>
      <c r="V56" s="2">
        <v>1.6276299875784241</v>
      </c>
      <c r="W56" s="2">
        <v>7.8681596598394909</v>
      </c>
      <c r="X56" s="2">
        <v>3.9342707307334033</v>
      </c>
      <c r="Y56" s="2">
        <v>-2.03762923449286E-2</v>
      </c>
      <c r="Z56" s="2">
        <v>-6.4279653237482373E-2</v>
      </c>
      <c r="AA56" s="39">
        <v>13.345404432568905</v>
      </c>
      <c r="AB56" s="31">
        <v>1.8885199175498357E-2</v>
      </c>
      <c r="AD56" s="29">
        <v>1.8885199175498357E-2</v>
      </c>
    </row>
    <row r="57" spans="1:30" x14ac:dyDescent="0.25">
      <c r="A57" s="95"/>
      <c r="B57" s="100"/>
      <c r="C57" s="16" t="s">
        <v>30</v>
      </c>
      <c r="D57" s="2">
        <v>290773.64698825346</v>
      </c>
      <c r="E57" s="2">
        <v>1814590.4307057369</v>
      </c>
      <c r="F57" s="2">
        <v>1358325.0472123353</v>
      </c>
      <c r="G57" s="2">
        <v>76903.632440868489</v>
      </c>
      <c r="H57" s="2">
        <v>-8351.659661723701</v>
      </c>
      <c r="I57" s="2">
        <v>3532241.0976854702</v>
      </c>
      <c r="J57" s="2">
        <v>8.231987538415348</v>
      </c>
      <c r="K57" s="2">
        <v>51.372213292426785</v>
      </c>
      <c r="L57" s="2">
        <v>38.455049065093235</v>
      </c>
      <c r="M57" s="2">
        <v>2.1771909197042132</v>
      </c>
      <c r="N57" s="2">
        <v>-0.23644081563957212</v>
      </c>
      <c r="O57" s="2">
        <v>100.00000000000001</v>
      </c>
      <c r="P57" s="2">
        <v>6.7181207238320013</v>
      </c>
      <c r="Q57" s="2">
        <v>9.3075164123153513</v>
      </c>
      <c r="R57" s="2">
        <v>8.3799968437254364</v>
      </c>
      <c r="S57" s="2">
        <v>-7.6168935779912061</v>
      </c>
      <c r="T57" s="2">
        <v>-14.05386139237531</v>
      </c>
      <c r="U57" s="12">
        <v>5.9569055523926977</v>
      </c>
      <c r="V57" s="2">
        <v>0.45478984486218543</v>
      </c>
      <c r="W57" s="2">
        <v>3.175804945325936</v>
      </c>
      <c r="X57" s="2">
        <v>2.4802802000982234</v>
      </c>
      <c r="Y57" s="2">
        <v>-0.16480474570424739</v>
      </c>
      <c r="Z57" s="2">
        <v>1.0835307810591258E-2</v>
      </c>
      <c r="AA57" s="39">
        <v>5.9569055523926888</v>
      </c>
      <c r="AB57" s="31">
        <v>-1.2649327202551852E-2</v>
      </c>
      <c r="AD57" s="29">
        <v>-1.2649327202551852E-2</v>
      </c>
    </row>
    <row r="58" spans="1:30" x14ac:dyDescent="0.25">
      <c r="A58" s="95"/>
      <c r="B58" s="101"/>
      <c r="C58" s="28" t="s">
        <v>31</v>
      </c>
      <c r="D58" s="20">
        <v>249682.62182262732</v>
      </c>
      <c r="E58" s="20">
        <v>1911490.7167717002</v>
      </c>
      <c r="F58" s="20">
        <v>1526324.2231036301</v>
      </c>
      <c r="G58" s="20">
        <v>88444.876471334923</v>
      </c>
      <c r="H58" s="20">
        <v>-459165.75769623957</v>
      </c>
      <c r="I58" s="20">
        <v>3316776.6804730534</v>
      </c>
      <c r="J58" s="20">
        <v>7.5278695515616221</v>
      </c>
      <c r="K58" s="20">
        <v>57.630974313865323</v>
      </c>
      <c r="L58" s="20">
        <v>46.018299395602938</v>
      </c>
      <c r="M58" s="20">
        <v>2.6665912417932378</v>
      </c>
      <c r="N58" s="20">
        <v>-13.843734502823125</v>
      </c>
      <c r="O58" s="20">
        <v>100</v>
      </c>
      <c r="P58" s="20">
        <v>6.4864608036471481</v>
      </c>
      <c r="Q58" s="20">
        <v>8.21642672566378</v>
      </c>
      <c r="R58" s="20">
        <v>5.2086449604131104</v>
      </c>
      <c r="S58" s="20">
        <v>4.2185559306704477</v>
      </c>
      <c r="T58" s="20">
        <v>6.2360689688252222</v>
      </c>
      <c r="U58" s="40">
        <v>7.1086472571932262</v>
      </c>
      <c r="V58" s="20">
        <v>0.50060444560029271</v>
      </c>
      <c r="W58" s="20">
        <v>4.6236134050872408</v>
      </c>
      <c r="X58" s="20">
        <v>2.1215083083208119</v>
      </c>
      <c r="Y58" s="20">
        <v>0.13896130650567121</v>
      </c>
      <c r="Z58" s="20">
        <v>-0.27604020832075593</v>
      </c>
      <c r="AA58" s="41">
        <v>7.1086472571932608</v>
      </c>
      <c r="AB58" s="31">
        <v>-1.4997397450441596E-2</v>
      </c>
      <c r="AD58" s="29">
        <v>-1.4997397450441596E-2</v>
      </c>
    </row>
    <row r="59" spans="1:30" x14ac:dyDescent="0.25">
      <c r="A59" s="95"/>
      <c r="B59" s="60"/>
      <c r="C59" s="83" t="s">
        <v>51</v>
      </c>
      <c r="D59" s="35">
        <v>1532983.8779116869</v>
      </c>
      <c r="E59" s="35">
        <v>7497207.5496938368</v>
      </c>
      <c r="F59" s="35">
        <v>5989544.046139936</v>
      </c>
      <c r="G59" s="35">
        <v>373927.99999999988</v>
      </c>
      <c r="H59" s="35">
        <v>-552903</v>
      </c>
      <c r="I59" s="35">
        <v>14840760.473745462</v>
      </c>
      <c r="J59" s="35">
        <v>10.329550703440452</v>
      </c>
      <c r="K59" s="35">
        <v>50.517677735969258</v>
      </c>
      <c r="L59" s="35">
        <v>40.358740758170292</v>
      </c>
      <c r="M59" s="35">
        <v>2.5196013415991021</v>
      </c>
      <c r="N59" s="35">
        <v>-3.7255705391791163</v>
      </c>
      <c r="O59" s="34">
        <v>99.999999999999986</v>
      </c>
      <c r="P59" s="34">
        <v>4.5591422126829855</v>
      </c>
      <c r="Q59" s="34">
        <v>3.9072510233373094</v>
      </c>
      <c r="R59" s="34">
        <v>6.4406442131413684</v>
      </c>
      <c r="S59" s="34">
        <v>18.307684519590921</v>
      </c>
      <c r="T59" s="34">
        <v>14.79475358156111</v>
      </c>
      <c r="U59" s="87">
        <v>4.8830612968838949</v>
      </c>
      <c r="V59" s="34">
        <v>0.44209907770040108</v>
      </c>
      <c r="W59" s="34">
        <v>2.0897744236673192</v>
      </c>
      <c r="X59" s="34">
        <v>2.4493434438079054</v>
      </c>
      <c r="Y59" s="34">
        <v>0.42216122063774375</v>
      </c>
      <c r="Z59" s="34">
        <v>-0.52031686892953</v>
      </c>
      <c r="AA59" s="88">
        <v>4.8830612968838389</v>
      </c>
      <c r="AB59" s="31">
        <v>0</v>
      </c>
      <c r="AD59" s="29">
        <v>-3.9015937239816889E-3</v>
      </c>
    </row>
    <row r="60" spans="1:30" x14ac:dyDescent="0.25">
      <c r="A60" s="95"/>
      <c r="B60" s="100">
        <v>2013</v>
      </c>
      <c r="C60" s="16" t="s">
        <v>28</v>
      </c>
      <c r="D60" s="2">
        <v>423541.99395663216</v>
      </c>
      <c r="E60" s="2">
        <v>1868580.0865447633</v>
      </c>
      <c r="F60" s="2">
        <v>1345623.6389215169</v>
      </c>
      <c r="G60" s="2">
        <v>82982.581121345138</v>
      </c>
      <c r="H60" s="2">
        <v>-8136.9984166414079</v>
      </c>
      <c r="I60" s="2">
        <v>3712591.302127616</v>
      </c>
      <c r="J60" s="2">
        <v>11.408257992575381</v>
      </c>
      <c r="K60" s="2">
        <v>50.330885747480878</v>
      </c>
      <c r="L60" s="2">
        <v>36.244863207818362</v>
      </c>
      <c r="M60" s="2">
        <v>2.2351660704960814</v>
      </c>
      <c r="N60" s="2">
        <v>-0.21917301837070641</v>
      </c>
      <c r="O60" s="2">
        <v>99.999999999999986</v>
      </c>
      <c r="P60" s="2">
        <v>5.6409728619110524</v>
      </c>
      <c r="Q60" s="2">
        <v>3.1592700590861114</v>
      </c>
      <c r="R60" s="2">
        <v>13.186154394616565</v>
      </c>
      <c r="S60" s="2">
        <v>19.542464159453715</v>
      </c>
      <c r="T60" s="2">
        <v>-25.314303112620834</v>
      </c>
      <c r="U60" s="12">
        <v>12.294074177048799</v>
      </c>
      <c r="V60" s="2">
        <v>1.4129260407388906</v>
      </c>
      <c r="W60" s="2">
        <v>4.8264774150710696</v>
      </c>
      <c r="X60" s="2">
        <v>5.2710104137744977</v>
      </c>
      <c r="Y60" s="2">
        <v>0.74471702751361157</v>
      </c>
      <c r="Z60" s="2">
        <v>3.8943279950742135E-2</v>
      </c>
      <c r="AA60" s="39">
        <v>12.294074177048811</v>
      </c>
      <c r="AB60" s="31">
        <v>-1.0686454486194208E-2</v>
      </c>
      <c r="AD60" s="29">
        <v>-1.0686454486194208E-2</v>
      </c>
    </row>
    <row r="61" spans="1:30" x14ac:dyDescent="0.25">
      <c r="A61" s="95"/>
      <c r="B61" s="100"/>
      <c r="C61" s="16" t="s">
        <v>29</v>
      </c>
      <c r="D61" s="2">
        <v>575661.42231168482</v>
      </c>
      <c r="E61" s="2">
        <v>1784749.3150493561</v>
      </c>
      <c r="F61" s="2">
        <v>1417656.7708893002</v>
      </c>
      <c r="G61" s="2">
        <v>87665.330021773567</v>
      </c>
      <c r="H61" s="2">
        <v>-27917.281949357119</v>
      </c>
      <c r="I61" s="2">
        <v>3837815.5563227572</v>
      </c>
      <c r="J61" s="2">
        <v>14.999715694082516</v>
      </c>
      <c r="K61" s="2">
        <v>46.504301440672471</v>
      </c>
      <c r="L61" s="2">
        <v>36.939158489618578</v>
      </c>
      <c r="M61" s="2">
        <v>2.2842507341799148</v>
      </c>
      <c r="N61" s="2">
        <v>-0.72742635855346716</v>
      </c>
      <c r="O61" s="2">
        <v>100.00000000000001</v>
      </c>
      <c r="P61" s="2">
        <v>5.0923731774491046</v>
      </c>
      <c r="Q61" s="2">
        <v>7.9291994768755814</v>
      </c>
      <c r="R61" s="2">
        <v>10.036169442265503</v>
      </c>
      <c r="S61" s="2">
        <v>3.8253992241369161</v>
      </c>
      <c r="T61" s="2">
        <v>160.46394478992602</v>
      </c>
      <c r="U61" s="12">
        <v>7.7697355106754742</v>
      </c>
      <c r="V61" s="2">
        <v>0.96021254969859926</v>
      </c>
      <c r="W61" s="2">
        <v>3.4668156703770738</v>
      </c>
      <c r="X61" s="2">
        <v>3.380481741519247</v>
      </c>
      <c r="Y61" s="2">
        <v>0.11020210287459174</v>
      </c>
      <c r="Z61" s="2">
        <v>-0.14797655379401353</v>
      </c>
      <c r="AA61" s="39">
        <v>7.7697355106754991</v>
      </c>
      <c r="AB61" s="31">
        <v>-1.0426267038175396E-2</v>
      </c>
      <c r="AD61" s="29">
        <v>-1.0426267038175396E-2</v>
      </c>
    </row>
    <row r="62" spans="1:30" x14ac:dyDescent="0.25">
      <c r="A62" s="95"/>
      <c r="B62" s="100"/>
      <c r="C62" s="16" t="s">
        <v>30</v>
      </c>
      <c r="D62" s="2">
        <v>315840.28024016425</v>
      </c>
      <c r="E62" s="2">
        <v>1948169.585036329</v>
      </c>
      <c r="F62" s="2">
        <v>1530581.2870043737</v>
      </c>
      <c r="G62" s="2">
        <v>90074.020705117873</v>
      </c>
      <c r="H62" s="2">
        <v>-408017.47409398906</v>
      </c>
      <c r="I62" s="2">
        <v>3476647.6988919959</v>
      </c>
      <c r="J62" s="2">
        <v>9.0846213822821973</v>
      </c>
      <c r="K62" s="2">
        <v>56.035864250991231</v>
      </c>
      <c r="L62" s="2">
        <v>44.0246300334707</v>
      </c>
      <c r="M62" s="2">
        <v>2.5908296872825041</v>
      </c>
      <c r="N62" s="2">
        <v>-11.735945354026633</v>
      </c>
      <c r="O62" s="2">
        <v>100</v>
      </c>
      <c r="P62" s="2">
        <v>3.5377948926283693</v>
      </c>
      <c r="Q62" s="2">
        <v>6.5652944858126716</v>
      </c>
      <c r="R62" s="2">
        <v>3.2727667797846465</v>
      </c>
      <c r="S62" s="2">
        <v>17.903701415586241</v>
      </c>
      <c r="T62" s="2">
        <v>3943.9415616202959</v>
      </c>
      <c r="U62" s="12">
        <v>-8.7007723250824682</v>
      </c>
      <c r="V62" s="2">
        <v>0.34260905749909276</v>
      </c>
      <c r="W62" s="2">
        <v>3.3583359765197014</v>
      </c>
      <c r="X62" s="2">
        <v>1.8735268575295554</v>
      </c>
      <c r="Y62" s="2">
        <v>0.49694546320108995</v>
      </c>
      <c r="Z62" s="2">
        <v>-14.772189679917568</v>
      </c>
      <c r="AA62" s="39">
        <v>-8.7007723251681295</v>
      </c>
      <c r="AB62" s="31">
        <v>1.7277923100650128E-2</v>
      </c>
      <c r="AD62" s="29">
        <v>1.7277923100650128E-2</v>
      </c>
    </row>
    <row r="63" spans="1:30" x14ac:dyDescent="0.25">
      <c r="A63" s="95"/>
      <c r="B63" s="101"/>
      <c r="C63" s="28" t="s">
        <v>31</v>
      </c>
      <c r="D63" s="20">
        <v>217940.18140320582</v>
      </c>
      <c r="E63" s="20">
        <v>1895708.563063388</v>
      </c>
      <c r="F63" s="20">
        <v>1695682.3493247449</v>
      </c>
      <c r="G63" s="20">
        <v>113206.06815176332</v>
      </c>
      <c r="H63" s="20">
        <v>-108831.24554001246</v>
      </c>
      <c r="I63" s="20">
        <v>3813705.9164030892</v>
      </c>
      <c r="J63" s="20">
        <v>5.7146561948005914</v>
      </c>
      <c r="K63" s="20">
        <v>49.707780427163414</v>
      </c>
      <c r="L63" s="20">
        <v>44.462850216936339</v>
      </c>
      <c r="M63" s="20">
        <v>2.9684005697674256</v>
      </c>
      <c r="N63" s="20">
        <v>-2.8536874086677622</v>
      </c>
      <c r="O63" s="20">
        <v>100</v>
      </c>
      <c r="P63" s="20">
        <v>2.5226119815689856</v>
      </c>
      <c r="Q63" s="20">
        <v>-1.3950309372402501</v>
      </c>
      <c r="R63" s="20">
        <v>2.0088714804740846</v>
      </c>
      <c r="S63" s="20">
        <v>31.934943924466495</v>
      </c>
      <c r="T63" s="20">
        <v>-72.371058856577164</v>
      </c>
      <c r="U63" s="40">
        <v>8.2202438240723978</v>
      </c>
      <c r="V63" s="20">
        <v>4.3269611642064401E-2</v>
      </c>
      <c r="W63" s="20">
        <v>1.1399949128179261</v>
      </c>
      <c r="X63" s="20">
        <v>2.4992071433914966</v>
      </c>
      <c r="Y63" s="20">
        <v>1.1056268881153417</v>
      </c>
      <c r="Z63" s="20">
        <v>3.4321452681055402</v>
      </c>
      <c r="AA63" s="41">
        <v>8.2202438240723694</v>
      </c>
      <c r="AB63" s="31">
        <v>-1.3393973842639184E-3</v>
      </c>
      <c r="AD63" s="29">
        <v>-1.3393973842639184E-3</v>
      </c>
    </row>
    <row r="64" spans="1:30" x14ac:dyDescent="0.25">
      <c r="A64" s="95"/>
      <c r="B64" s="60"/>
      <c r="C64" s="83" t="s">
        <v>51</v>
      </c>
      <c r="D64" s="35">
        <v>1855530.2530581173</v>
      </c>
      <c r="E64" s="35">
        <v>7134252.675161778</v>
      </c>
      <c r="F64" s="35">
        <v>7099596.8439113302</v>
      </c>
      <c r="G64" s="35">
        <v>430590.58713054389</v>
      </c>
      <c r="H64" s="35">
        <v>-354302.53811586805</v>
      </c>
      <c r="I64" s="35">
        <v>16165667.821145903</v>
      </c>
      <c r="J64" s="35">
        <v>11.478215893010896</v>
      </c>
      <c r="K64" s="35">
        <v>44.132124661312425</v>
      </c>
      <c r="L64" s="35">
        <v>43.917745449554062</v>
      </c>
      <c r="M64" s="35">
        <v>2.663611499967228</v>
      </c>
      <c r="N64" s="35">
        <v>-2.191697503844622</v>
      </c>
      <c r="O64" s="34">
        <v>99.999999999999986</v>
      </c>
      <c r="P64" s="34">
        <v>7.984166975057974</v>
      </c>
      <c r="Q64" s="34">
        <v>-1.6947470080193199</v>
      </c>
      <c r="R64" s="34">
        <v>11.529235184483454</v>
      </c>
      <c r="S64" s="34">
        <v>7.4983954372278845</v>
      </c>
      <c r="T64" s="34">
        <v>4.156195426741192</v>
      </c>
      <c r="U64" s="87">
        <v>4.6557235631555614</v>
      </c>
      <c r="V64" s="34">
        <v>0.8247285759359595</v>
      </c>
      <c r="W64" s="34">
        <v>-0.85614683195119146</v>
      </c>
      <c r="X64" s="34">
        <v>4.653054139505433</v>
      </c>
      <c r="Y64" s="34">
        <v>0.18892967203479824</v>
      </c>
      <c r="Z64" s="34">
        <v>-0.15484199236938001</v>
      </c>
      <c r="AA64" s="88">
        <v>4.65572356315562</v>
      </c>
      <c r="AB64" s="31">
        <v>0</v>
      </c>
      <c r="AD64" s="29">
        <v>-6.7922497937036308E-3</v>
      </c>
    </row>
    <row r="65" spans="1:30" x14ac:dyDescent="0.25">
      <c r="A65" s="95"/>
      <c r="B65" s="100">
        <v>2014</v>
      </c>
      <c r="C65" s="16" t="s">
        <v>28</v>
      </c>
      <c r="D65" s="2">
        <v>587519.22664626746</v>
      </c>
      <c r="E65" s="2">
        <v>1804654.2869280232</v>
      </c>
      <c r="F65" s="2">
        <v>1577356.2565891091</v>
      </c>
      <c r="G65" s="2">
        <v>103218.03089017306</v>
      </c>
      <c r="H65" s="2">
        <v>-152925.228670618</v>
      </c>
      <c r="I65" s="2">
        <v>3919822.5723829549</v>
      </c>
      <c r="J65" s="2">
        <v>14.988413781420221</v>
      </c>
      <c r="K65" s="2">
        <v>46.039182988604772</v>
      </c>
      <c r="L65" s="2">
        <v>40.240501386525665</v>
      </c>
      <c r="M65" s="2">
        <v>2.6332322186568851</v>
      </c>
      <c r="N65" s="2">
        <v>-3.9013303752075457</v>
      </c>
      <c r="O65" s="2">
        <v>99.999999999999986</v>
      </c>
      <c r="P65" s="2">
        <v>9.2896931522094377</v>
      </c>
      <c r="Q65" s="2">
        <v>-6.3688118738166537</v>
      </c>
      <c r="R65" s="2">
        <v>14.119562935844414</v>
      </c>
      <c r="S65" s="2">
        <v>14.090844790990204</v>
      </c>
      <c r="T65" s="2">
        <v>2296.8306120195548</v>
      </c>
      <c r="U65" s="12">
        <v>-8.3882648909933408</v>
      </c>
      <c r="V65" s="2">
        <v>1.1921286576395782</v>
      </c>
      <c r="W65" s="2">
        <v>-7.7945908555919505</v>
      </c>
      <c r="X65" s="2">
        <v>1.4397880879071392</v>
      </c>
      <c r="Y65" s="2">
        <v>0.39650055215670149</v>
      </c>
      <c r="Z65" s="2">
        <v>-3.6220913320209602</v>
      </c>
      <c r="AA65" s="39">
        <v>-8.3882648899094914</v>
      </c>
      <c r="AB65" s="31">
        <v>9.0402303919585592E-2</v>
      </c>
      <c r="AD65" s="29">
        <v>9.0402303919585592E-2</v>
      </c>
    </row>
    <row r="66" spans="1:30" x14ac:dyDescent="0.25">
      <c r="A66" s="95"/>
      <c r="B66" s="100"/>
      <c r="C66" s="16" t="s">
        <v>29</v>
      </c>
      <c r="D66" s="2">
        <v>649053.31546035374</v>
      </c>
      <c r="E66" s="2">
        <v>1707931.9310165639</v>
      </c>
      <c r="F66" s="2">
        <v>1702874.0786173199</v>
      </c>
      <c r="G66" s="2">
        <v>123776.6965167634</v>
      </c>
      <c r="H66" s="2">
        <v>-124822.08144228173</v>
      </c>
      <c r="I66" s="2">
        <v>4058813.9401687193</v>
      </c>
      <c r="J66" s="2">
        <v>15.991206422075447</v>
      </c>
      <c r="K66" s="2">
        <v>42.079581774215733</v>
      </c>
      <c r="L66" s="2">
        <v>41.9549677250427</v>
      </c>
      <c r="M66" s="2">
        <v>3.0495779885790522</v>
      </c>
      <c r="N66" s="2">
        <v>-3.0753339099129304</v>
      </c>
      <c r="O66" s="2">
        <v>100</v>
      </c>
      <c r="P66" s="2">
        <v>6.9606244249070386</v>
      </c>
      <c r="Q66" s="2">
        <v>-7.5619738696659624</v>
      </c>
      <c r="R66" s="2">
        <v>12.922554941462266</v>
      </c>
      <c r="S66" s="2">
        <v>36.06191150904553</v>
      </c>
      <c r="T66" s="2">
        <v>668.62110582482114</v>
      </c>
      <c r="U66" s="12">
        <v>-4.9284779798828566</v>
      </c>
      <c r="V66" s="2">
        <v>1.2826960142389281</v>
      </c>
      <c r="W66" s="2">
        <v>-8.7295683867058642</v>
      </c>
      <c r="X66" s="2">
        <v>3.9730705015167924</v>
      </c>
      <c r="Y66" s="2">
        <v>1.0476309898852816</v>
      </c>
      <c r="Z66" s="2">
        <v>-2.5023070976033965</v>
      </c>
      <c r="AA66" s="39">
        <v>-4.9284779786682584</v>
      </c>
      <c r="AB66" s="31">
        <v>7.3136864532852286E-3</v>
      </c>
      <c r="AD66" s="29">
        <v>7.3136864532852286E-3</v>
      </c>
    </row>
    <row r="67" spans="1:30" x14ac:dyDescent="0.25">
      <c r="A67" s="95"/>
      <c r="B67" s="100"/>
      <c r="C67" s="16" t="s">
        <v>30</v>
      </c>
      <c r="D67" s="2">
        <v>358176.24212570384</v>
      </c>
      <c r="E67" s="2">
        <v>1907015.023521116</v>
      </c>
      <c r="F67" s="2">
        <v>1762150.6825035186</v>
      </c>
      <c r="G67" s="2">
        <v>122988.45521719949</v>
      </c>
      <c r="H67" s="2">
        <v>-50673.590816514436</v>
      </c>
      <c r="I67" s="2">
        <v>4099656.8125510234</v>
      </c>
      <c r="J67" s="2">
        <v>8.7367372075914709</v>
      </c>
      <c r="K67" s="2">
        <v>46.516455174560583</v>
      </c>
      <c r="L67" s="2">
        <v>42.982882789328293</v>
      </c>
      <c r="M67" s="2">
        <v>2.9999695301487823</v>
      </c>
      <c r="N67" s="2">
        <v>-1.2360447016291261</v>
      </c>
      <c r="O67" s="2">
        <v>100</v>
      </c>
      <c r="P67" s="2">
        <v>7.8923442529714265</v>
      </c>
      <c r="Q67" s="2">
        <v>0.85213013403853211</v>
      </c>
      <c r="R67" s="2">
        <v>9.0840542715035895</v>
      </c>
      <c r="S67" s="2">
        <v>28.324431373791242</v>
      </c>
      <c r="T67" s="2">
        <v>-73.269850532510574</v>
      </c>
      <c r="U67" s="12">
        <v>22.562701438441806</v>
      </c>
      <c r="V67" s="2">
        <v>2.0049736544767325</v>
      </c>
      <c r="W67" s="2">
        <v>2.8528907676610364</v>
      </c>
      <c r="X67" s="2">
        <v>9.4094421083438942</v>
      </c>
      <c r="Y67" s="2">
        <v>2.1047726721954794</v>
      </c>
      <c r="Z67" s="2">
        <v>6.1906222357646987</v>
      </c>
      <c r="AA67" s="39">
        <v>22.562701438441842</v>
      </c>
      <c r="AB67" s="31">
        <v>6.8605054384320852E-3</v>
      </c>
      <c r="AD67" s="29">
        <v>6.8605054384320852E-3</v>
      </c>
    </row>
    <row r="68" spans="1:30" x14ac:dyDescent="0.25">
      <c r="A68" s="95"/>
      <c r="B68" s="101"/>
      <c r="C68" s="28" t="s">
        <v>31</v>
      </c>
      <c r="D68" s="20">
        <v>260781.46882579222</v>
      </c>
      <c r="E68" s="20">
        <v>1714651.4336960749</v>
      </c>
      <c r="F68" s="20">
        <v>2057215.8262013833</v>
      </c>
      <c r="G68" s="20">
        <v>80607.404506407882</v>
      </c>
      <c r="H68" s="20">
        <v>-25881.637186453874</v>
      </c>
      <c r="I68" s="20">
        <v>4087374.4960432043</v>
      </c>
      <c r="J68" s="20">
        <v>6.3801706713745592</v>
      </c>
      <c r="K68" s="20">
        <v>41.94994697344098</v>
      </c>
      <c r="L68" s="20">
        <v>50.330984552378979</v>
      </c>
      <c r="M68" s="20">
        <v>1.9721071456613564</v>
      </c>
      <c r="N68" s="20">
        <v>-0.6332093428558766</v>
      </c>
      <c r="O68" s="20">
        <v>99.999999999999986</v>
      </c>
      <c r="P68" s="20">
        <v>8.0520778045710415</v>
      </c>
      <c r="Q68" s="20">
        <v>5.5053771915427774</v>
      </c>
      <c r="R68" s="20">
        <v>10.634500266814314</v>
      </c>
      <c r="S68" s="20">
        <v>-36.279069418642173</v>
      </c>
      <c r="T68" s="20">
        <v>-48.364861438461539</v>
      </c>
      <c r="U68" s="40">
        <v>12.551842418123613</v>
      </c>
      <c r="V68" s="20">
        <v>0.73337807513727649</v>
      </c>
      <c r="W68" s="20">
        <v>5.2641695679524751</v>
      </c>
      <c r="X68" s="20">
        <v>7.7028965203608095</v>
      </c>
      <c r="Y68" s="20">
        <v>-1.8598320200683955</v>
      </c>
      <c r="Z68" s="20">
        <v>0.71123027474145417</v>
      </c>
      <c r="AA68" s="41">
        <v>12.55184241812362</v>
      </c>
      <c r="AB68" s="31">
        <v>-0.11057846815287675</v>
      </c>
      <c r="AD68" s="29">
        <v>-0.11057846815287675</v>
      </c>
    </row>
    <row r="69" spans="1:30" x14ac:dyDescent="0.25">
      <c r="A69" s="95"/>
      <c r="B69" s="60"/>
      <c r="C69" s="83" t="s">
        <v>51</v>
      </c>
      <c r="D69" s="35">
        <v>2159875.8514858913</v>
      </c>
      <c r="E69" s="35">
        <v>5832104.4006484691</v>
      </c>
      <c r="F69" s="35">
        <v>7568677.6647639861</v>
      </c>
      <c r="G69" s="35">
        <v>471057.30780678277</v>
      </c>
      <c r="H69" s="35">
        <v>-224397.89211850998</v>
      </c>
      <c r="I69" s="35">
        <v>15807317.33258662</v>
      </c>
      <c r="J69" s="35">
        <v>13.663772327979585</v>
      </c>
      <c r="K69" s="35">
        <v>36.894966286440308</v>
      </c>
      <c r="L69" s="35">
        <v>47.880848505275694</v>
      </c>
      <c r="M69" s="35">
        <v>2.979995263558751</v>
      </c>
      <c r="N69" s="35">
        <v>-1.419582383254343</v>
      </c>
      <c r="O69" s="34">
        <v>100</v>
      </c>
      <c r="P69" s="34">
        <v>3.8224767355103069</v>
      </c>
      <c r="Q69" s="34">
        <v>3.5185774131645076</v>
      </c>
      <c r="R69" s="34">
        <v>-1.4104318475498303</v>
      </c>
      <c r="S69" s="34">
        <v>-10.17093042760952</v>
      </c>
      <c r="T69" s="34">
        <v>15.424275013620999</v>
      </c>
      <c r="U69" s="87">
        <v>0.76317771091500219</v>
      </c>
      <c r="V69" s="34">
        <v>0.43875213216199277</v>
      </c>
      <c r="W69" s="34">
        <v>1.5528229702825578</v>
      </c>
      <c r="X69" s="34">
        <v>-0.61942986854639004</v>
      </c>
      <c r="Y69" s="34">
        <v>-0.27091407252347316</v>
      </c>
      <c r="Z69" s="34">
        <v>-0.33805345045966129</v>
      </c>
      <c r="AA69" s="88">
        <v>0.76317771091502618</v>
      </c>
      <c r="AB69" s="31">
        <v>0</v>
      </c>
      <c r="AD69" s="29">
        <v>-1.7031574687292883E-2</v>
      </c>
    </row>
    <row r="70" spans="1:30" x14ac:dyDescent="0.25">
      <c r="A70" s="95"/>
      <c r="B70" s="100">
        <v>2015</v>
      </c>
      <c r="C70" s="16" t="s">
        <v>28</v>
      </c>
      <c r="D70" s="2">
        <v>601384.93526002055</v>
      </c>
      <c r="E70" s="2">
        <v>1298239.0331348798</v>
      </c>
      <c r="F70" s="2">
        <v>1777599.639169897</v>
      </c>
      <c r="G70" s="2">
        <v>108093.07104186152</v>
      </c>
      <c r="H70" s="2">
        <v>-111217.11928171814</v>
      </c>
      <c r="I70" s="2">
        <v>3674099.5593249407</v>
      </c>
      <c r="J70" s="2">
        <v>16.368226433431644</v>
      </c>
      <c r="K70" s="2">
        <v>35.334889873626921</v>
      </c>
      <c r="L70" s="2">
        <v>48.381912641923712</v>
      </c>
      <c r="M70" s="2">
        <v>2.9420289052189417</v>
      </c>
      <c r="N70" s="2">
        <v>-3.0270578542012228</v>
      </c>
      <c r="O70" s="2">
        <v>100.00000000000001</v>
      </c>
      <c r="P70" s="2">
        <v>3.5517039748398389</v>
      </c>
      <c r="Q70" s="2">
        <v>5.872063277485907</v>
      </c>
      <c r="R70" s="2">
        <v>10.088070972301821</v>
      </c>
      <c r="S70" s="2">
        <v>-8.1048545830737879</v>
      </c>
      <c r="T70" s="2">
        <v>59.880398368613044</v>
      </c>
      <c r="U70" s="12">
        <v>7.2883062559017304</v>
      </c>
      <c r="V70" s="2">
        <v>3.2035705091938054</v>
      </c>
      <c r="W70" s="2">
        <v>-2.1889755576764145</v>
      </c>
      <c r="X70" s="2">
        <v>14.487971613385325</v>
      </c>
      <c r="Y70" s="2">
        <v>-1.6713737132516753</v>
      </c>
      <c r="Z70" s="2">
        <v>-6.5428865957490805</v>
      </c>
      <c r="AA70" s="39">
        <v>7.2883062559019587</v>
      </c>
      <c r="AB70" s="31">
        <v>-1.0658141036401503E-14</v>
      </c>
      <c r="AD70" s="29">
        <v>-1.0658141036401503E-14</v>
      </c>
    </row>
    <row r="71" spans="1:30" x14ac:dyDescent="0.25">
      <c r="A71" s="95"/>
      <c r="B71" s="100"/>
      <c r="C71" s="16" t="s">
        <v>29</v>
      </c>
      <c r="D71" s="2">
        <v>765770.74660848058</v>
      </c>
      <c r="E71" s="2">
        <v>1412106.8840633556</v>
      </c>
      <c r="F71" s="2">
        <v>1886508.0453676167</v>
      </c>
      <c r="G71" s="2">
        <v>88166.504481452765</v>
      </c>
      <c r="H71" s="2">
        <v>-17573.258374276738</v>
      </c>
      <c r="I71" s="2">
        <v>4134978.9221466295</v>
      </c>
      <c r="J71" s="2">
        <v>18.519338575272325</v>
      </c>
      <c r="K71" s="2">
        <v>34.150280101797364</v>
      </c>
      <c r="L71" s="2">
        <v>45.623159897227637</v>
      </c>
      <c r="M71" s="2">
        <v>2.1322117026822007</v>
      </c>
      <c r="N71" s="2">
        <v>-0.42499027697954433</v>
      </c>
      <c r="O71" s="2">
        <v>99.999999999999986</v>
      </c>
      <c r="P71" s="2">
        <v>2.3260495742319449</v>
      </c>
      <c r="Q71" s="2">
        <v>6.9965553083887215</v>
      </c>
      <c r="R71" s="2">
        <v>2.0309090056999111</v>
      </c>
      <c r="S71" s="2">
        <v>-41.799692523402413</v>
      </c>
      <c r="T71" s="2">
        <v>-74.911247710718015</v>
      </c>
      <c r="U71" s="12">
        <v>9.2042303775945697</v>
      </c>
      <c r="V71" s="2">
        <v>1.1702806172630873</v>
      </c>
      <c r="W71" s="2">
        <v>6.9908235071092699</v>
      </c>
      <c r="X71" s="2">
        <v>1.8974445987401014</v>
      </c>
      <c r="Y71" s="2">
        <v>-4.5687973806598992</v>
      </c>
      <c r="Z71" s="2">
        <v>3.7144790351419643</v>
      </c>
      <c r="AA71" s="39">
        <v>9.2042303775945236</v>
      </c>
      <c r="AB71" s="31">
        <v>0</v>
      </c>
      <c r="AD71" s="29">
        <v>0</v>
      </c>
    </row>
    <row r="72" spans="1:30" x14ac:dyDescent="0.25">
      <c r="A72" s="95"/>
      <c r="B72" s="100"/>
      <c r="C72" s="16" t="s">
        <v>30</v>
      </c>
      <c r="D72" s="2">
        <v>449734.74925504881</v>
      </c>
      <c r="E72" s="2">
        <v>1590841.9923974019</v>
      </c>
      <c r="F72" s="2">
        <v>1907963.2794370679</v>
      </c>
      <c r="G72" s="2">
        <v>95574.962777745852</v>
      </c>
      <c r="H72" s="2">
        <v>-7170.3166991950493</v>
      </c>
      <c r="I72" s="2">
        <v>4036944.6671680692</v>
      </c>
      <c r="J72" s="2">
        <v>11.140473460354345</v>
      </c>
      <c r="K72" s="2">
        <v>39.40707945133623</v>
      </c>
      <c r="L72" s="2">
        <v>47.262557125300184</v>
      </c>
      <c r="M72" s="2">
        <v>2.3675073764335743</v>
      </c>
      <c r="N72" s="2">
        <v>-0.1776174134243225</v>
      </c>
      <c r="O72" s="2">
        <v>100</v>
      </c>
      <c r="P72" s="2">
        <v>4.0848660749693408</v>
      </c>
      <c r="Q72" s="2">
        <v>1.9745778004229777</v>
      </c>
      <c r="R72" s="2">
        <v>-2.8041684791543133</v>
      </c>
      <c r="S72" s="2">
        <v>-37.429880974234564</v>
      </c>
      <c r="T72" s="2">
        <v>-79.275845861077215</v>
      </c>
      <c r="U72" s="12">
        <v>-0.81900240674738711</v>
      </c>
      <c r="V72" s="2">
        <v>0.31147145408251697</v>
      </c>
      <c r="W72" s="2">
        <v>0.43092076385363554</v>
      </c>
      <c r="X72" s="2">
        <v>-1.0237488666136199</v>
      </c>
      <c r="Y72" s="2">
        <v>-1.0787983728807349</v>
      </c>
      <c r="Z72" s="2">
        <v>0.54115261481078236</v>
      </c>
      <c r="AA72" s="39">
        <v>-0.81900240674741975</v>
      </c>
      <c r="AB72" s="31">
        <v>0</v>
      </c>
      <c r="AD72" s="29">
        <v>0</v>
      </c>
    </row>
    <row r="73" spans="1:30" x14ac:dyDescent="0.25">
      <c r="A73" s="95"/>
      <c r="B73" s="101"/>
      <c r="C73" s="28" t="s">
        <v>31</v>
      </c>
      <c r="D73" s="20">
        <v>342985.42036234139</v>
      </c>
      <c r="E73" s="20">
        <v>1530916.491052832</v>
      </c>
      <c r="F73" s="20">
        <v>1996606.7007894046</v>
      </c>
      <c r="G73" s="20">
        <v>179222.76950572265</v>
      </c>
      <c r="H73" s="20">
        <v>-88437.197763320073</v>
      </c>
      <c r="I73" s="20">
        <v>3961294.1839469802</v>
      </c>
      <c r="J73" s="20">
        <v>8.6584182955226847</v>
      </c>
      <c r="K73" s="20">
        <v>38.646877004409887</v>
      </c>
      <c r="L73" s="20">
        <v>50.402888754907181</v>
      </c>
      <c r="M73" s="20">
        <v>4.5243488916328722</v>
      </c>
      <c r="N73" s="20">
        <v>-2.2325329464726207</v>
      </c>
      <c r="O73" s="20">
        <v>100.00000000000001</v>
      </c>
      <c r="P73" s="20">
        <v>7.7594040821167454</v>
      </c>
      <c r="Q73" s="20">
        <v>0.26117054438128662</v>
      </c>
      <c r="R73" s="20">
        <v>-11.754197660770444</v>
      </c>
      <c r="S73" s="20">
        <v>83.247125655388032</v>
      </c>
      <c r="T73" s="20">
        <v>325.44497808051045</v>
      </c>
      <c r="U73" s="40">
        <v>-10.388620440970314</v>
      </c>
      <c r="V73" s="20">
        <v>1.2409559895413149</v>
      </c>
      <c r="W73" s="20">
        <v>-3.3235217221174875</v>
      </c>
      <c r="X73" s="20">
        <v>-8.6494210420020412</v>
      </c>
      <c r="Y73" s="20">
        <v>3.7620427232287921</v>
      </c>
      <c r="Z73" s="20">
        <v>-3.4186763896208916</v>
      </c>
      <c r="AA73" s="41">
        <v>-10.388620440970314</v>
      </c>
      <c r="AB73" s="31">
        <v>2.8421709430404007E-14</v>
      </c>
      <c r="AD73" s="29">
        <v>2.8421709430404007E-14</v>
      </c>
    </row>
    <row r="74" spans="1:30" x14ac:dyDescent="0.25">
      <c r="A74" s="95"/>
      <c r="B74" s="60"/>
      <c r="C74" s="83" t="s">
        <v>51</v>
      </c>
      <c r="D74" s="35">
        <v>2755506.7669501984</v>
      </c>
      <c r="E74" s="35">
        <v>7056538.5581172267</v>
      </c>
      <c r="F74" s="35">
        <v>8742254.3814584855</v>
      </c>
      <c r="G74" s="35">
        <v>578391.97297271993</v>
      </c>
      <c r="H74" s="35">
        <v>-71147.67793886998</v>
      </c>
      <c r="I74" s="35">
        <v>19061544.00155976</v>
      </c>
      <c r="J74" s="35">
        <v>14.455842437132699</v>
      </c>
      <c r="K74" s="35">
        <v>37.019763758590628</v>
      </c>
      <c r="L74" s="35">
        <v>45.863306669927304</v>
      </c>
      <c r="M74" s="35">
        <v>3.0343395735696514</v>
      </c>
      <c r="N74" s="35">
        <v>-0.37325243922028634</v>
      </c>
      <c r="O74" s="34">
        <v>100</v>
      </c>
      <c r="P74" s="34">
        <v>2.4507675745839066</v>
      </c>
      <c r="Q74" s="34">
        <v>0.7944565201924263</v>
      </c>
      <c r="R74" s="34">
        <v>-4.0837279969998264</v>
      </c>
      <c r="S74" s="34">
        <v>1.5783901870596111</v>
      </c>
      <c r="T74" s="34">
        <v>-73.770212520218479</v>
      </c>
      <c r="U74" s="87">
        <v>-0.23307695480529844</v>
      </c>
      <c r="V74" s="34">
        <v>0.33486730167909112</v>
      </c>
      <c r="W74" s="34">
        <v>0.29311446528542756</v>
      </c>
      <c r="X74" s="34">
        <v>-1.9553236156110061</v>
      </c>
      <c r="Y74" s="34">
        <v>4.7035952814852518E-2</v>
      </c>
      <c r="Z74" s="34">
        <v>1.0472289410263111</v>
      </c>
      <c r="AA74" s="88">
        <v>-0.23307695480532375</v>
      </c>
      <c r="AB74" s="31">
        <v>0</v>
      </c>
      <c r="AD74" s="29">
        <v>7.7216545490035315E-3</v>
      </c>
    </row>
    <row r="75" spans="1:30" x14ac:dyDescent="0.25">
      <c r="A75" s="95"/>
      <c r="B75" s="100">
        <v>2016</v>
      </c>
      <c r="C75" s="16" t="s">
        <v>28</v>
      </c>
      <c r="D75" s="2">
        <v>702962.36951377138</v>
      </c>
      <c r="E75" s="2">
        <v>1501339.5913597676</v>
      </c>
      <c r="F75" s="2">
        <v>2013889.0725158155</v>
      </c>
      <c r="G75" s="2">
        <v>113661.92115151905</v>
      </c>
      <c r="H75" s="2">
        <v>-5588.3051457377442</v>
      </c>
      <c r="I75" s="2">
        <v>4326264.6493951352</v>
      </c>
      <c r="J75" s="2">
        <v>16.248713994231817</v>
      </c>
      <c r="K75" s="2">
        <v>34.702906849900486</v>
      </c>
      <c r="L75" s="2">
        <v>46.550297675325567</v>
      </c>
      <c r="M75" s="2">
        <v>2.6272530777193759</v>
      </c>
      <c r="N75" s="2">
        <v>-0.12917159717723364</v>
      </c>
      <c r="O75" s="2">
        <v>100.00000000000001</v>
      </c>
      <c r="P75" s="2">
        <v>-0.88903932199026769</v>
      </c>
      <c r="Q75" s="2">
        <v>9.720862975457095</v>
      </c>
      <c r="R75" s="2">
        <v>-0.71778357710866203</v>
      </c>
      <c r="S75" s="2">
        <v>-10.821684054464143</v>
      </c>
      <c r="T75" s="2">
        <v>-94.989434613745559</v>
      </c>
      <c r="U75" s="12">
        <v>5.228642738118964</v>
      </c>
      <c r="V75" s="2">
        <v>-0.17392967178725249</v>
      </c>
      <c r="W75" s="2">
        <v>3.4755070995355313</v>
      </c>
      <c r="X75" s="2">
        <v>-0.39306760057146656</v>
      </c>
      <c r="Y75" s="2">
        <v>-0.32716199465923618</v>
      </c>
      <c r="Z75" s="2">
        <v>2.647294905601365</v>
      </c>
      <c r="AA75" s="39">
        <v>5.2286427381189409</v>
      </c>
      <c r="AB75" s="31">
        <v>0</v>
      </c>
      <c r="AD75" s="29">
        <v>0</v>
      </c>
    </row>
    <row r="76" spans="1:30" x14ac:dyDescent="0.25">
      <c r="A76" s="95"/>
      <c r="B76" s="100"/>
      <c r="C76" s="16" t="s">
        <v>29</v>
      </c>
      <c r="D76" s="2">
        <v>949194.38767520688</v>
      </c>
      <c r="E76" s="2">
        <v>1631100.5904079261</v>
      </c>
      <c r="F76" s="2">
        <v>2143307.3455058141</v>
      </c>
      <c r="G76" s="2">
        <v>129582.16006976386</v>
      </c>
      <c r="H76" s="2">
        <v>-21964.650673863016</v>
      </c>
      <c r="I76" s="2">
        <v>4831219.832984847</v>
      </c>
      <c r="J76" s="2">
        <v>19.647095774749111</v>
      </c>
      <c r="K76" s="2">
        <v>33.761671933694473</v>
      </c>
      <c r="L76" s="2">
        <v>44.363689080602775</v>
      </c>
      <c r="M76" s="2">
        <v>2.682183062444186</v>
      </c>
      <c r="N76" s="2">
        <v>-0.45463985149052333</v>
      </c>
      <c r="O76" s="2">
        <v>100.00000000000001</v>
      </c>
      <c r="P76" s="2">
        <v>3.6690319116362389</v>
      </c>
      <c r="Q76" s="2">
        <v>3.2861355892379436</v>
      </c>
      <c r="R76" s="2">
        <v>-5.5801248970702204</v>
      </c>
      <c r="S76" s="2">
        <v>24.781814253537377</v>
      </c>
      <c r="T76" s="2">
        <v>10.438404110324811</v>
      </c>
      <c r="U76" s="12">
        <v>-0.30843395111605787</v>
      </c>
      <c r="V76" s="2">
        <v>0.67798854859048907</v>
      </c>
      <c r="W76" s="2">
        <v>1.1035877480626706</v>
      </c>
      <c r="X76" s="2">
        <v>-2.598631827065943</v>
      </c>
      <c r="Y76" s="2">
        <v>0.554278302757929</v>
      </c>
      <c r="Z76" s="2">
        <v>-4.5656723461193136E-2</v>
      </c>
      <c r="AA76" s="39">
        <v>-0.30843395111604749</v>
      </c>
      <c r="AB76" s="31">
        <v>-5.6843418860808015E-14</v>
      </c>
      <c r="AD76" s="29">
        <v>-5.6843418860808015E-14</v>
      </c>
    </row>
    <row r="77" spans="1:30" x14ac:dyDescent="0.25">
      <c r="A77" s="95"/>
      <c r="B77" s="100"/>
      <c r="C77" s="16" t="s">
        <v>30</v>
      </c>
      <c r="D77" s="2">
        <v>632778.98968924978</v>
      </c>
      <c r="E77" s="2">
        <v>1834484.2703455752</v>
      </c>
      <c r="F77" s="2">
        <v>2276365.2174792308</v>
      </c>
      <c r="G77" s="2">
        <v>146297.5030835653</v>
      </c>
      <c r="H77" s="2">
        <v>-20590.391897076872</v>
      </c>
      <c r="I77" s="2">
        <v>4869335.5887005441</v>
      </c>
      <c r="J77" s="2">
        <v>12.995181337627141</v>
      </c>
      <c r="K77" s="2">
        <v>37.674221398963695</v>
      </c>
      <c r="L77" s="2">
        <v>46.748990206417737</v>
      </c>
      <c r="M77" s="2">
        <v>3.0044654022830866</v>
      </c>
      <c r="N77" s="2">
        <v>-0.42285834529165672</v>
      </c>
      <c r="O77" s="2">
        <v>100</v>
      </c>
      <c r="P77" s="2">
        <v>7.3494802479554124</v>
      </c>
      <c r="Q77" s="2">
        <v>-7.3548657891329441</v>
      </c>
      <c r="R77" s="2">
        <v>-2.7227187165881617</v>
      </c>
      <c r="S77" s="2">
        <v>25.927413358799896</v>
      </c>
      <c r="T77" s="2">
        <v>126.00492189244409</v>
      </c>
      <c r="U77" s="12">
        <v>-2.9916842979465201</v>
      </c>
      <c r="V77" s="2">
        <v>0.82382108882414529</v>
      </c>
      <c r="W77" s="2">
        <v>-2.9389488756510076</v>
      </c>
      <c r="X77" s="2">
        <v>-1.2590578225143019</v>
      </c>
      <c r="Y77" s="2">
        <v>0.61817107876488842</v>
      </c>
      <c r="Z77" s="2">
        <v>-0.23566976737021259</v>
      </c>
      <c r="AA77" s="39">
        <v>-2.9916842979464882</v>
      </c>
      <c r="AB77" s="31">
        <v>4.8849813083506888E-14</v>
      </c>
      <c r="AD77" s="29">
        <v>4.8849813083506888E-14</v>
      </c>
    </row>
    <row r="78" spans="1:30" x14ac:dyDescent="0.25">
      <c r="A78" s="95"/>
      <c r="B78" s="101"/>
      <c r="C78" s="28" t="s">
        <v>31</v>
      </c>
      <c r="D78" s="20">
        <v>470571.02007197024</v>
      </c>
      <c r="E78" s="20">
        <v>2089614.1060039583</v>
      </c>
      <c r="F78" s="20">
        <v>2308692.7459576251</v>
      </c>
      <c r="G78" s="20">
        <v>188850.38866787165</v>
      </c>
      <c r="H78" s="20">
        <v>-23004.330222192359</v>
      </c>
      <c r="I78" s="20">
        <v>5034723.9304792322</v>
      </c>
      <c r="J78" s="20">
        <v>9.3465108826171281</v>
      </c>
      <c r="K78" s="20">
        <v>41.504045402645495</v>
      </c>
      <c r="L78" s="20">
        <v>45.855398981883624</v>
      </c>
      <c r="M78" s="20">
        <v>3.7509581712039539</v>
      </c>
      <c r="N78" s="20">
        <v>-0.45691343835018744</v>
      </c>
      <c r="O78" s="20">
        <v>100.00000000000001</v>
      </c>
      <c r="P78" s="20">
        <v>-0.44253018730564975</v>
      </c>
      <c r="Q78" s="20">
        <v>-0.99758916195665392</v>
      </c>
      <c r="R78" s="20">
        <v>-7.1075362932902664</v>
      </c>
      <c r="S78" s="20">
        <v>-15.564087814203091</v>
      </c>
      <c r="T78" s="20">
        <v>-81.13105023035493</v>
      </c>
      <c r="U78" s="40">
        <v>-2.7698855960002078</v>
      </c>
      <c r="V78" s="20">
        <v>-1.9765254365363139E-3</v>
      </c>
      <c r="W78" s="20">
        <v>-0.41645142385154255</v>
      </c>
      <c r="X78" s="20">
        <v>-3.5913825749916564</v>
      </c>
      <c r="Y78" s="20">
        <v>-0.68384465251430315</v>
      </c>
      <c r="Z78" s="20">
        <v>1.9237695807938395</v>
      </c>
      <c r="AA78" s="41">
        <v>-2.7698855960001989</v>
      </c>
      <c r="AB78" s="31">
        <v>2.0816681711721685E-16</v>
      </c>
      <c r="AD78" s="29">
        <v>2.0816681711721685E-16</v>
      </c>
    </row>
    <row r="79" spans="1:30" x14ac:dyDescent="0.25">
      <c r="A79" s="95"/>
      <c r="B79" s="60"/>
      <c r="C79" s="83" t="s">
        <v>51</v>
      </c>
      <c r="D79" s="35">
        <v>3463490.8536356268</v>
      </c>
      <c r="E79" s="35">
        <v>8640379.670289252</v>
      </c>
      <c r="F79" s="35">
        <v>10782849.078302532</v>
      </c>
      <c r="G79" s="35">
        <v>712196.30225422245</v>
      </c>
      <c r="H79" s="35">
        <v>-53677.405404979989</v>
      </c>
      <c r="I79" s="35">
        <v>23545238.499076653</v>
      </c>
      <c r="J79" s="35">
        <v>14.709941688513585</v>
      </c>
      <c r="K79" s="35">
        <v>36.696929914844958</v>
      </c>
      <c r="L79" s="35">
        <v>45.796304330174401</v>
      </c>
      <c r="M79" s="35">
        <v>3.0247996947754503</v>
      </c>
      <c r="N79" s="35">
        <v>-0.22797562830839446</v>
      </c>
      <c r="O79" s="34">
        <v>100</v>
      </c>
      <c r="P79" s="34">
        <v>-7.5575882790488436E-2</v>
      </c>
      <c r="Q79" s="34">
        <v>-2.3990298238127536</v>
      </c>
      <c r="R79" s="34">
        <v>1.3138779464911181</v>
      </c>
      <c r="S79" s="34">
        <v>-0.45601017504819197</v>
      </c>
      <c r="T79" s="34">
        <v>-39.008632464991052</v>
      </c>
      <c r="U79" s="87">
        <v>-0.16468865696148782</v>
      </c>
      <c r="V79" s="34">
        <v>-1.0925130536663056E-2</v>
      </c>
      <c r="W79" s="34">
        <v>-0.88811517327361611</v>
      </c>
      <c r="X79" s="34">
        <v>0.60258787186776874</v>
      </c>
      <c r="Y79" s="34">
        <v>-1.3836897200991537E-2</v>
      </c>
      <c r="Z79" s="34">
        <v>0.14560067218205563</v>
      </c>
      <c r="AA79" s="88">
        <v>-0.16468865696144636</v>
      </c>
      <c r="AB79" s="31">
        <v>0</v>
      </c>
      <c r="AD79" s="29">
        <v>6.1212854973091702E-4</v>
      </c>
    </row>
    <row r="80" spans="1:30" x14ac:dyDescent="0.25">
      <c r="A80" s="95"/>
      <c r="B80" s="100">
        <v>2017</v>
      </c>
      <c r="C80" s="16" t="s">
        <v>28</v>
      </c>
      <c r="D80" s="2">
        <v>992827.39304342994</v>
      </c>
      <c r="E80" s="2">
        <v>1962898.730491796</v>
      </c>
      <c r="F80" s="2">
        <v>2469563.0467616189</v>
      </c>
      <c r="G80" s="2">
        <v>166601.68385292942</v>
      </c>
      <c r="H80" s="2">
        <v>-4134.1870689890611</v>
      </c>
      <c r="I80" s="2">
        <v>5587756.6670807851</v>
      </c>
      <c r="J80" s="2">
        <v>17.767906732454641</v>
      </c>
      <c r="K80" s="2">
        <v>35.1285649580241</v>
      </c>
      <c r="L80" s="2">
        <v>44.195966179246568</v>
      </c>
      <c r="M80" s="2">
        <v>2.9815486568059026</v>
      </c>
      <c r="N80" s="2">
        <v>-7.3986526531207852E-2</v>
      </c>
      <c r="O80" s="2">
        <v>99.999999999999986</v>
      </c>
      <c r="P80" s="2">
        <v>-1.346909710517167</v>
      </c>
      <c r="Q80" s="2">
        <v>-11.393191791720056</v>
      </c>
      <c r="R80" s="2">
        <v>-2.4310807879956826</v>
      </c>
      <c r="S80" s="2">
        <v>12.862443743376502</v>
      </c>
      <c r="T80" s="2">
        <v>-46.379889491715922</v>
      </c>
      <c r="U80" s="12">
        <v>-4.9650598349639523</v>
      </c>
      <c r="V80" s="2">
        <v>-0.22110381742274712</v>
      </c>
      <c r="W80" s="2">
        <v>-3.9415888973275202</v>
      </c>
      <c r="X80" s="2">
        <v>-1.1700993343097554</v>
      </c>
      <c r="Y80" s="2">
        <v>0.30986133270355409</v>
      </c>
      <c r="Z80" s="2">
        <v>5.7870881392528564E-2</v>
      </c>
      <c r="AA80" s="39">
        <v>-4.9650598349639408</v>
      </c>
      <c r="AB80" s="31">
        <v>0</v>
      </c>
      <c r="AD80" s="29">
        <v>0</v>
      </c>
    </row>
    <row r="81" spans="1:30" x14ac:dyDescent="0.25">
      <c r="A81" s="95"/>
      <c r="B81" s="100"/>
      <c r="C81" s="16" t="s">
        <v>29</v>
      </c>
      <c r="D81" s="2">
        <v>1145187.9792362812</v>
      </c>
      <c r="E81" s="2">
        <v>1751645.4235752765</v>
      </c>
      <c r="F81" s="2">
        <v>2603973.7414395534</v>
      </c>
      <c r="G81" s="2">
        <v>189031.78333005428</v>
      </c>
      <c r="H81" s="2">
        <v>-17728.576603693171</v>
      </c>
      <c r="I81" s="2">
        <v>5672110.350977473</v>
      </c>
      <c r="J81" s="2">
        <v>20.189804294603178</v>
      </c>
      <c r="K81" s="2">
        <v>30.881723294988717</v>
      </c>
      <c r="L81" s="2">
        <v>45.908375900881609</v>
      </c>
      <c r="M81" s="2">
        <v>3.3326534857961372</v>
      </c>
      <c r="N81" s="2">
        <v>-0.31255697626965268</v>
      </c>
      <c r="O81" s="2">
        <v>100</v>
      </c>
      <c r="P81" s="2">
        <v>2.0821435898896254</v>
      </c>
      <c r="Q81" s="2">
        <v>-8.7625161902884656</v>
      </c>
      <c r="R81" s="2">
        <v>1.5661547185770814</v>
      </c>
      <c r="S81" s="2">
        <v>21.146852416058806</v>
      </c>
      <c r="T81" s="2">
        <v>-34.489634100685379</v>
      </c>
      <c r="U81" s="12">
        <v>-0.86498371679905972</v>
      </c>
      <c r="V81" s="2">
        <v>0.42952556288354432</v>
      </c>
      <c r="W81" s="2">
        <v>-3.2631682895171812</v>
      </c>
      <c r="X81" s="2">
        <v>1.1271335807341218</v>
      </c>
      <c r="Y81" s="2">
        <v>0.65627028575607604</v>
      </c>
      <c r="Z81" s="2">
        <v>0.18525514334434146</v>
      </c>
      <c r="AA81" s="39">
        <v>-0.86498371679909769</v>
      </c>
      <c r="AB81" s="31">
        <v>2.6645352591003757E-15</v>
      </c>
      <c r="AD81" s="29">
        <v>2.6645352591003757E-15</v>
      </c>
    </row>
    <row r="82" spans="1:30" x14ac:dyDescent="0.25">
      <c r="A82" s="95"/>
      <c r="B82" s="100"/>
      <c r="C82" s="16" t="s">
        <v>30</v>
      </c>
      <c r="D82" s="2">
        <v>797076.34370163316</v>
      </c>
      <c r="E82" s="2">
        <v>2362010.345622594</v>
      </c>
      <c r="F82" s="2">
        <v>2776594.0860606078</v>
      </c>
      <c r="G82" s="2">
        <v>182554.85448279558</v>
      </c>
      <c r="H82" s="2">
        <v>-21543.235355588153</v>
      </c>
      <c r="I82" s="2">
        <v>6096692.3945120415</v>
      </c>
      <c r="J82" s="2">
        <v>13.073914380511049</v>
      </c>
      <c r="K82" s="2">
        <v>38.742488431083807</v>
      </c>
      <c r="L82" s="2">
        <v>45.542630436135639</v>
      </c>
      <c r="M82" s="2">
        <v>2.9943261471929099</v>
      </c>
      <c r="N82" s="2">
        <v>-0.35335939492339108</v>
      </c>
      <c r="O82" s="2">
        <v>100.00000000000001</v>
      </c>
      <c r="P82" s="2">
        <v>0.7348464205327474</v>
      </c>
      <c r="Q82" s="2">
        <v>6.7081023744186581</v>
      </c>
      <c r="R82" s="2">
        <v>3.5993655561192099</v>
      </c>
      <c r="S82" s="2">
        <v>-0.79628919759355199</v>
      </c>
      <c r="T82" s="2">
        <v>-16.295285114222281</v>
      </c>
      <c r="U82" s="12">
        <v>4.259547521873202</v>
      </c>
      <c r="V82" s="2">
        <v>0.10618761175027844</v>
      </c>
      <c r="W82" s="2">
        <v>2.3807330058673863</v>
      </c>
      <c r="X82" s="2">
        <v>1.7269061809613091</v>
      </c>
      <c r="Y82" s="2">
        <v>-2.430554441110943E-2</v>
      </c>
      <c r="Z82" s="2">
        <v>7.0026267705315934E-2</v>
      </c>
      <c r="AA82" s="39">
        <v>4.2595475218731806</v>
      </c>
      <c r="AB82" s="31">
        <v>-1.9984014443252818E-14</v>
      </c>
      <c r="AD82" s="29">
        <v>-1.9984014443252818E-14</v>
      </c>
    </row>
    <row r="83" spans="1:30" x14ac:dyDescent="0.25">
      <c r="A83" s="95"/>
      <c r="B83" s="101"/>
      <c r="C83" s="28" t="s">
        <v>31</v>
      </c>
      <c r="D83" s="20">
        <v>528399.13765428215</v>
      </c>
      <c r="E83" s="20">
        <v>2563825.1705995845</v>
      </c>
      <c r="F83" s="20">
        <v>2932718.2040407537</v>
      </c>
      <c r="G83" s="20">
        <v>174007.9805884432</v>
      </c>
      <c r="H83" s="20">
        <v>-10271.40637670961</v>
      </c>
      <c r="I83" s="20">
        <v>6188679.0865063546</v>
      </c>
      <c r="J83" s="20">
        <v>8.5381570165173173</v>
      </c>
      <c r="K83" s="20">
        <v>41.427663880482775</v>
      </c>
      <c r="L83" s="20">
        <v>47.388435610357973</v>
      </c>
      <c r="M83" s="20">
        <v>2.811714392621294</v>
      </c>
      <c r="N83" s="20">
        <v>-0.16597089997936937</v>
      </c>
      <c r="O83" s="20">
        <v>99.999999999999986</v>
      </c>
      <c r="P83" s="20">
        <v>-4.0955307926728182</v>
      </c>
      <c r="Q83" s="20">
        <v>3.5304679505407961</v>
      </c>
      <c r="R83" s="20">
        <v>2.5667052491883595</v>
      </c>
      <c r="S83" s="20">
        <v>-26.558040486134303</v>
      </c>
      <c r="T83" s="20">
        <v>-63.455674577296506</v>
      </c>
      <c r="U83" s="40">
        <v>1.2577881731044727</v>
      </c>
      <c r="V83" s="20">
        <v>-0.35678385075377439</v>
      </c>
      <c r="W83" s="20">
        <v>1.2473701722184192</v>
      </c>
      <c r="X83" s="20">
        <v>1.1818289951915208</v>
      </c>
      <c r="Y83" s="20">
        <v>-1.1443894196625488</v>
      </c>
      <c r="Z83" s="20">
        <v>0.32976227611082948</v>
      </c>
      <c r="AA83" s="41">
        <v>1.2577881731044462</v>
      </c>
      <c r="AB83" s="31">
        <v>-7.4051875742497941E-14</v>
      </c>
      <c r="AD83" s="29">
        <v>-7.4051875742497941E-14</v>
      </c>
    </row>
    <row r="84" spans="1:30" x14ac:dyDescent="0.25">
      <c r="A84" s="95"/>
      <c r="B84" s="60"/>
      <c r="C84" s="83" t="s">
        <v>51</v>
      </c>
      <c r="D84" s="35">
        <v>3851649.904073704</v>
      </c>
      <c r="E84" s="35">
        <v>11940943.442716137</v>
      </c>
      <c r="F84" s="35">
        <v>12509728.629343167</v>
      </c>
      <c r="G84" s="35">
        <v>939632.2912147101</v>
      </c>
      <c r="H84" s="35">
        <v>-48173.142954089999</v>
      </c>
      <c r="I84" s="35">
        <v>29193781.124393627</v>
      </c>
      <c r="J84" s="35">
        <v>13.193391728402585</v>
      </c>
      <c r="K84" s="35">
        <v>40.902353113617643</v>
      </c>
      <c r="L84" s="35">
        <v>42.850662529939768</v>
      </c>
      <c r="M84" s="35">
        <v>3.2186042883961195</v>
      </c>
      <c r="N84" s="35">
        <v>-0.16501166035610806</v>
      </c>
      <c r="O84" s="34">
        <v>100</v>
      </c>
      <c r="P84" s="34">
        <v>-0.67915358008843896</v>
      </c>
      <c r="Q84" s="34">
        <v>-3.6747217649591164</v>
      </c>
      <c r="R84" s="34">
        <v>1.5586558991432753</v>
      </c>
      <c r="S84" s="34">
        <v>5.4015252015555006</v>
      </c>
      <c r="T84" s="34">
        <v>-28.302808629129999</v>
      </c>
      <c r="U84" s="87">
        <v>-0.50669754361612718</v>
      </c>
      <c r="V84" s="34">
        <v>-9.9903095606458853E-2</v>
      </c>
      <c r="W84" s="34">
        <v>-1.3485100706526036</v>
      </c>
      <c r="X84" s="34">
        <v>0.71380679903186517</v>
      </c>
      <c r="Y84" s="34">
        <v>0.16338531780986984</v>
      </c>
      <c r="Z84" s="34">
        <v>6.4523505801181616E-2</v>
      </c>
      <c r="AA84" s="88">
        <v>-0.50669754361614583</v>
      </c>
      <c r="AB84" s="31">
        <v>0</v>
      </c>
      <c r="AD84" s="29">
        <v>-1.0108913469987213E-2</v>
      </c>
    </row>
    <row r="85" spans="1:30" x14ac:dyDescent="0.25">
      <c r="A85" s="95"/>
      <c r="B85" s="100">
        <v>2018</v>
      </c>
      <c r="C85" s="16" t="s">
        <v>28</v>
      </c>
      <c r="D85" s="2">
        <v>1093373.7841455238</v>
      </c>
      <c r="E85" s="2">
        <v>2282135.4475491969</v>
      </c>
      <c r="F85" s="2">
        <v>2961394.3943206696</v>
      </c>
      <c r="G85" s="2">
        <v>223939.95898870824</v>
      </c>
      <c r="H85" s="2">
        <v>-1.0064038543836475</v>
      </c>
      <c r="I85" s="2">
        <v>6560842.5786002446</v>
      </c>
      <c r="J85" s="2">
        <v>16.665142792967227</v>
      </c>
      <c r="K85" s="2">
        <v>34.784182370004224</v>
      </c>
      <c r="L85" s="2">
        <v>45.137409697650185</v>
      </c>
      <c r="M85" s="2">
        <v>3.4132804789302815</v>
      </c>
      <c r="N85" s="2">
        <v>-1.5339551929904158E-5</v>
      </c>
      <c r="O85" s="2">
        <v>99.999999999999972</v>
      </c>
      <c r="P85" s="2">
        <v>1.8495945260362561</v>
      </c>
      <c r="Q85" s="2">
        <v>-10.183180446148569</v>
      </c>
      <c r="R85" s="2">
        <v>3.568708454208263</v>
      </c>
      <c r="S85" s="2">
        <v>8.2190328289952106</v>
      </c>
      <c r="T85" s="2">
        <v>-99.979627710053975</v>
      </c>
      <c r="U85" s="12">
        <v>-1.4473618896704039</v>
      </c>
      <c r="V85" s="2">
        <v>0.21661646938055754</v>
      </c>
      <c r="W85" s="2">
        <v>-3.0054125114582941</v>
      </c>
      <c r="X85" s="2">
        <v>1.105987967839333</v>
      </c>
      <c r="Y85" s="2">
        <v>0.18120533085027599</v>
      </c>
      <c r="Z85" s="2">
        <v>5.4240853717718931E-2</v>
      </c>
      <c r="AA85" s="39">
        <v>-1.4473618896704086</v>
      </c>
      <c r="AB85" s="31">
        <v>-8.659739592076221E-15</v>
      </c>
      <c r="AD85" s="29">
        <v>-8.659739592076221E-15</v>
      </c>
    </row>
    <row r="86" spans="1:30" x14ac:dyDescent="0.25">
      <c r="A86" s="95"/>
      <c r="B86" s="100"/>
      <c r="C86" s="16" t="s">
        <v>29</v>
      </c>
      <c r="D86" s="2">
        <v>1399502.3322143557</v>
      </c>
      <c r="E86" s="2">
        <v>2619049.6045417069</v>
      </c>
      <c r="F86" s="2">
        <v>3038206.8637250755</v>
      </c>
      <c r="G86" s="2">
        <v>225494.35095785817</v>
      </c>
      <c r="H86" s="2">
        <v>-8688.4481823393562</v>
      </c>
      <c r="I86" s="2">
        <v>7273564.7032566564</v>
      </c>
      <c r="J86" s="2">
        <v>19.240941537067023</v>
      </c>
      <c r="K86" s="2">
        <v>36.007785884809095</v>
      </c>
      <c r="L86" s="2">
        <v>41.770534637091394</v>
      </c>
      <c r="M86" s="2">
        <v>3.1001903489893423</v>
      </c>
      <c r="N86" s="2">
        <v>-0.11945240795684683</v>
      </c>
      <c r="O86" s="2">
        <v>100.00000000000001</v>
      </c>
      <c r="P86" s="2">
        <v>-1.0489392885163511</v>
      </c>
      <c r="Q86" s="2">
        <v>-4.6654249607465346</v>
      </c>
      <c r="R86" s="2">
        <v>-1.4651425562411902</v>
      </c>
      <c r="S86" s="2">
        <v>-9.6882628736032217</v>
      </c>
      <c r="T86" s="2">
        <v>-61.296093566206054</v>
      </c>
      <c r="U86" s="12">
        <v>-2.5631023413745027</v>
      </c>
      <c r="V86" s="2">
        <v>-0.20736937590216134</v>
      </c>
      <c r="W86" s="2">
        <v>-1.6501554951200266</v>
      </c>
      <c r="X86" s="2">
        <v>-0.59136698510984687</v>
      </c>
      <c r="Y86" s="2">
        <v>-0.28002847868032765</v>
      </c>
      <c r="Z86" s="2">
        <v>0.16581799343789047</v>
      </c>
      <c r="AA86" s="39">
        <v>-2.563102341374472</v>
      </c>
      <c r="AB86" s="31">
        <v>0</v>
      </c>
      <c r="AD86" s="29">
        <v>0</v>
      </c>
    </row>
    <row r="87" spans="1:30" x14ac:dyDescent="0.25">
      <c r="A87" s="95"/>
      <c r="B87" s="100"/>
      <c r="C87" s="16" t="s">
        <v>30</v>
      </c>
      <c r="D87" s="2">
        <v>804559.84486797592</v>
      </c>
      <c r="E87" s="2">
        <v>3310149.908718029</v>
      </c>
      <c r="F87" s="2">
        <v>3191476.950956197</v>
      </c>
      <c r="G87" s="2">
        <v>231170.83992600668</v>
      </c>
      <c r="H87" s="2">
        <v>-4500.6858892863065</v>
      </c>
      <c r="I87" s="2">
        <v>7532856.8585789222</v>
      </c>
      <c r="J87" s="2">
        <v>10.68067348115993</v>
      </c>
      <c r="K87" s="2">
        <v>43.942822369553042</v>
      </c>
      <c r="L87" s="2">
        <v>42.367417977968472</v>
      </c>
      <c r="M87" s="2">
        <v>3.0688335682727574</v>
      </c>
      <c r="N87" s="2">
        <v>-5.9747396954193066E-2</v>
      </c>
      <c r="O87" s="2">
        <v>100</v>
      </c>
      <c r="P87" s="2">
        <v>-3.5856437860168739</v>
      </c>
      <c r="Q87" s="2">
        <v>-5.4706788729480991</v>
      </c>
      <c r="R87" s="2">
        <v>0.54215410402591147</v>
      </c>
      <c r="S87" s="2">
        <v>4.6904134664451362</v>
      </c>
      <c r="T87" s="2">
        <v>-82.064616477519763</v>
      </c>
      <c r="U87" s="12">
        <v>-1.9506974555346801</v>
      </c>
      <c r="V87" s="2">
        <v>-0.57318312984252584</v>
      </c>
      <c r="W87" s="2">
        <v>-2.5899554894983479</v>
      </c>
      <c r="X87" s="2">
        <v>0.64955263914179584</v>
      </c>
      <c r="Y87" s="2">
        <v>0.18285038422865982</v>
      </c>
      <c r="Z87" s="2">
        <v>0.38003814043574741</v>
      </c>
      <c r="AA87" s="39">
        <v>-1.9506974555346708</v>
      </c>
      <c r="AB87" s="31">
        <v>0</v>
      </c>
      <c r="AD87" s="29">
        <v>0</v>
      </c>
    </row>
    <row r="88" spans="1:30" x14ac:dyDescent="0.25">
      <c r="A88" s="95"/>
      <c r="B88" s="101"/>
      <c r="C88" s="28" t="s">
        <v>31</v>
      </c>
      <c r="D88" s="20">
        <v>554213.94284584885</v>
      </c>
      <c r="E88" s="20">
        <v>3729608.4819072029</v>
      </c>
      <c r="F88" s="20">
        <v>3318650.4203412244</v>
      </c>
      <c r="G88" s="20">
        <v>259027.14134213704</v>
      </c>
      <c r="H88" s="20">
        <v>-34983.002478609953</v>
      </c>
      <c r="I88" s="20">
        <v>7826516.9839578029</v>
      </c>
      <c r="J88" s="20">
        <v>7.0812335037646275</v>
      </c>
      <c r="K88" s="20">
        <v>47.653489918336213</v>
      </c>
      <c r="L88" s="20">
        <v>42.402647654678837</v>
      </c>
      <c r="M88" s="20">
        <v>3.3096093942308067</v>
      </c>
      <c r="N88" s="20">
        <v>-0.44698047101048194</v>
      </c>
      <c r="O88" s="20">
        <v>100.00000000000001</v>
      </c>
      <c r="P88" s="20">
        <v>-0.38759356575714321</v>
      </c>
      <c r="Q88" s="20">
        <v>4.3679240581031564</v>
      </c>
      <c r="R88" s="20">
        <v>3.5799216076347591</v>
      </c>
      <c r="S88" s="20">
        <v>22.461628908794822</v>
      </c>
      <c r="T88" s="20">
        <v>187.68669396795053</v>
      </c>
      <c r="U88" s="40">
        <v>4.0872563840689509</v>
      </c>
      <c r="V88" s="20">
        <v>-1.157963872260942E-3</v>
      </c>
      <c r="W88" s="20">
        <v>2.5297177897779015</v>
      </c>
      <c r="X88" s="20">
        <v>1.2977702884948716</v>
      </c>
      <c r="Y88" s="20">
        <v>0.52336182389273211</v>
      </c>
      <c r="Z88" s="20">
        <v>-0.26243555422426967</v>
      </c>
      <c r="AA88" s="41">
        <v>4.0872563840689748</v>
      </c>
      <c r="AB88" s="31">
        <v>-6.2172489379008766E-15</v>
      </c>
      <c r="AD88" s="29">
        <v>-6.2172489379008766E-15</v>
      </c>
    </row>
    <row r="89" spans="1:30" x14ac:dyDescent="0.25">
      <c r="A89" s="95"/>
      <c r="B89" s="60"/>
      <c r="C89" s="83" t="s">
        <v>51</v>
      </c>
      <c r="D89" s="35">
        <v>4279721.2952980213</v>
      </c>
      <c r="E89" s="35">
        <v>14647845.426577693</v>
      </c>
      <c r="F89" s="35">
        <v>15029141.247056581</v>
      </c>
      <c r="G89" s="35">
        <v>814130.29810387013</v>
      </c>
      <c r="H89" s="35">
        <v>-35803.436061610002</v>
      </c>
      <c r="I89" s="35">
        <v>34735034.830974549</v>
      </c>
      <c r="J89" s="35">
        <v>12.321050824113847</v>
      </c>
      <c r="K89" s="35">
        <v>42.17023388016198</v>
      </c>
      <c r="L89" s="35">
        <v>43.267960778477544</v>
      </c>
      <c r="M89" s="35">
        <v>2.3438303777887084</v>
      </c>
      <c r="N89" s="35">
        <v>-0.10307586054205628</v>
      </c>
      <c r="O89" s="34">
        <v>100.00000000000001</v>
      </c>
      <c r="P89" s="34">
        <v>-0.39963216749529806</v>
      </c>
      <c r="Q89" s="34">
        <v>-2.8955232419714605</v>
      </c>
      <c r="R89" s="34">
        <v>2.3596399640403121</v>
      </c>
      <c r="S89" s="34">
        <v>-27.713443244256794</v>
      </c>
      <c r="T89" s="34">
        <v>-37.992920003056931</v>
      </c>
      <c r="U89" s="87">
        <v>-1.0552341449430003</v>
      </c>
      <c r="V89" s="34">
        <v>-5.2725037330359992E-2</v>
      </c>
      <c r="W89" s="34">
        <v>-1.1843371409180246</v>
      </c>
      <c r="X89" s="34">
        <v>1.0111213579124958</v>
      </c>
      <c r="Y89" s="34">
        <v>-0.8919860727218738</v>
      </c>
      <c r="Z89" s="34">
        <v>6.2692748114812138E-2</v>
      </c>
      <c r="AA89" s="88">
        <v>-1.0552341449429505</v>
      </c>
      <c r="AB89" s="31">
        <v>-3.7467554502048639E-3</v>
      </c>
      <c r="AD89" s="29">
        <v>-3.7467554502048639E-3</v>
      </c>
    </row>
    <row r="90" spans="1:30" x14ac:dyDescent="0.25">
      <c r="A90" s="95"/>
      <c r="B90" s="100">
        <v>2019</v>
      </c>
      <c r="C90" s="16" t="s">
        <v>28</v>
      </c>
      <c r="D90" s="2">
        <v>1199631.4102747017</v>
      </c>
      <c r="E90" s="2">
        <v>3159227.8154757526</v>
      </c>
      <c r="F90" s="2">
        <v>3408257.6820487413</v>
      </c>
      <c r="G90" s="2">
        <v>162941.07511298306</v>
      </c>
      <c r="H90" s="2">
        <v>-0.99942405561337444</v>
      </c>
      <c r="I90" s="2">
        <v>7930056.9834881229</v>
      </c>
      <c r="J90" s="2">
        <v>15.127651828638317</v>
      </c>
      <c r="K90" s="2">
        <v>39.838652131426819</v>
      </c>
      <c r="L90" s="2">
        <v>42.978980972587941</v>
      </c>
      <c r="M90" s="2">
        <v>2.0547276703339858</v>
      </c>
      <c r="N90" s="2">
        <v>-1.2602987061686495E-5</v>
      </c>
      <c r="O90" s="2">
        <v>100</v>
      </c>
      <c r="P90" s="2">
        <v>1.8505711630230905</v>
      </c>
      <c r="Q90" s="2">
        <v>12.567092009728526</v>
      </c>
      <c r="R90" s="2">
        <v>-0.29552559692869806</v>
      </c>
      <c r="S90" s="2">
        <v>-39.637429952570983</v>
      </c>
      <c r="T90" s="2">
        <v>-17.629403788584014</v>
      </c>
      <c r="U90" s="12">
        <v>2.0022813584470214</v>
      </c>
      <c r="V90" s="2">
        <v>0.22959372451531193</v>
      </c>
      <c r="W90" s="2">
        <v>2.7509668281495232</v>
      </c>
      <c r="X90" s="2">
        <v>-2.419419394964839E-2</v>
      </c>
      <c r="Y90" s="2">
        <v>-0.95408696598540532</v>
      </c>
      <c r="Z90" s="2">
        <v>1.9657172423479367E-6</v>
      </c>
      <c r="AA90" s="39">
        <v>2.002281358447024</v>
      </c>
      <c r="AB90" s="31">
        <v>2.6534330288541241E-14</v>
      </c>
      <c r="AD90" s="29">
        <v>2.6534330288541241E-14</v>
      </c>
    </row>
    <row r="91" spans="1:30" x14ac:dyDescent="0.25">
      <c r="A91" s="95"/>
      <c r="B91" s="100"/>
      <c r="C91" s="16" t="s">
        <v>29</v>
      </c>
      <c r="D91" s="2">
        <v>1552149.9177794077</v>
      </c>
      <c r="E91" s="2">
        <v>3140723.1354257357</v>
      </c>
      <c r="F91" s="2">
        <v>3502603.6620548791</v>
      </c>
      <c r="G91" s="2">
        <v>165476.77359691972</v>
      </c>
      <c r="H91" s="2">
        <v>-16464.797400359195</v>
      </c>
      <c r="I91" s="2">
        <v>8344488.6914565843</v>
      </c>
      <c r="J91" s="2">
        <v>18.60089905051414</v>
      </c>
      <c r="K91" s="2">
        <v>37.638293388081784</v>
      </c>
      <c r="L91" s="2">
        <v>41.975054333059163</v>
      </c>
      <c r="M91" s="2">
        <v>1.9830666649035231</v>
      </c>
      <c r="N91" s="2">
        <v>-0.19731343655862943</v>
      </c>
      <c r="O91" s="2">
        <v>99.999999999999972</v>
      </c>
      <c r="P91" s="2">
        <v>0.19130389071506215</v>
      </c>
      <c r="Q91" s="2">
        <v>-2.1538686337392079</v>
      </c>
      <c r="R91" s="2">
        <v>2.329633498396916</v>
      </c>
      <c r="S91" s="2">
        <v>-39.764768916724847</v>
      </c>
      <c r="T91" s="2">
        <v>50.348684604202873</v>
      </c>
      <c r="U91" s="12">
        <v>-2.3369874966320197</v>
      </c>
      <c r="V91" s="2">
        <v>-8.794352664986238E-3</v>
      </c>
      <c r="W91" s="2">
        <v>-1.8248989055326934</v>
      </c>
      <c r="X91" s="2">
        <v>0.63394890832867556</v>
      </c>
      <c r="Y91" s="2">
        <v>-1.0822786888874716</v>
      </c>
      <c r="Z91" s="2">
        <v>-5.4964457875565594E-2</v>
      </c>
      <c r="AA91" s="39">
        <v>-2.3369874966320414</v>
      </c>
      <c r="AB91" s="31">
        <v>4.7961634663806763E-14</v>
      </c>
      <c r="AD91" s="29">
        <v>4.7961634663806763E-14</v>
      </c>
    </row>
    <row r="92" spans="1:30" x14ac:dyDescent="0.25">
      <c r="A92" s="95"/>
      <c r="B92" s="100"/>
      <c r="C92" s="16" t="s">
        <v>30</v>
      </c>
      <c r="D92" s="2">
        <v>900176.0126741057</v>
      </c>
      <c r="E92" s="2">
        <v>3707758.3998581413</v>
      </c>
      <c r="F92" s="2">
        <v>3839397.1407262208</v>
      </c>
      <c r="G92" s="2">
        <v>174736.52296776936</v>
      </c>
      <c r="H92" s="2">
        <v>-17062.148245442157</v>
      </c>
      <c r="I92" s="2">
        <v>8605005.9279807936</v>
      </c>
      <c r="J92" s="2">
        <v>10.461073707654451</v>
      </c>
      <c r="K92" s="2">
        <v>43.088388676196821</v>
      </c>
      <c r="L92" s="2">
        <v>44.618181240778689</v>
      </c>
      <c r="M92" s="2">
        <v>2.0306380312834036</v>
      </c>
      <c r="N92" s="2">
        <v>-0.19828165591334895</v>
      </c>
      <c r="O92" s="2">
        <v>100.00000000000001</v>
      </c>
      <c r="P92" s="2">
        <v>-1.4665771761827671</v>
      </c>
      <c r="Q92" s="2">
        <v>-6.327375639422101</v>
      </c>
      <c r="R92" s="2">
        <v>1.7888443090386517</v>
      </c>
      <c r="S92" s="2">
        <v>-36.804978459141125</v>
      </c>
      <c r="T92" s="2">
        <v>202.57417501840547</v>
      </c>
      <c r="U92" s="12">
        <v>-2.6056543607639497</v>
      </c>
      <c r="V92" s="2">
        <v>-0.52062894272825788</v>
      </c>
      <c r="W92" s="2">
        <v>-1.4676892730487685</v>
      </c>
      <c r="X92" s="2">
        <v>2.4576058075081768</v>
      </c>
      <c r="Y92" s="2">
        <v>-2.7652036740886921</v>
      </c>
      <c r="Z92" s="2">
        <v>-0.30973827840638873</v>
      </c>
      <c r="AA92" s="39">
        <v>-2.6056543607639306</v>
      </c>
      <c r="AB92" s="31">
        <v>3.1086244689504383E-14</v>
      </c>
      <c r="AD92" s="29">
        <v>3.1086244689504383E-14</v>
      </c>
    </row>
    <row r="93" spans="1:30" x14ac:dyDescent="0.25">
      <c r="A93" s="95"/>
      <c r="B93" s="101"/>
      <c r="C93" s="28" t="s">
        <v>31</v>
      </c>
      <c r="D93" s="20">
        <v>627763.95456980611</v>
      </c>
      <c r="E93" s="20">
        <v>4640136.0758180618</v>
      </c>
      <c r="F93" s="20">
        <v>4278882.7622267399</v>
      </c>
      <c r="G93" s="20">
        <v>310975.92642619798</v>
      </c>
      <c r="H93" s="20">
        <v>-2275.4909917530363</v>
      </c>
      <c r="I93" s="20">
        <v>9855483.2280490547</v>
      </c>
      <c r="J93" s="20">
        <v>6.3696922823953228</v>
      </c>
      <c r="K93" s="20">
        <v>47.081771319056884</v>
      </c>
      <c r="L93" s="20">
        <v>43.416265475942247</v>
      </c>
      <c r="M93" s="20">
        <v>3.1553595012079114</v>
      </c>
      <c r="N93" s="20">
        <v>-2.3088578602385605E-2</v>
      </c>
      <c r="O93" s="20">
        <v>99.999999999999972</v>
      </c>
      <c r="P93" s="20">
        <v>-5.0205867947893239</v>
      </c>
      <c r="Q93" s="20">
        <v>-11.603039261911277</v>
      </c>
      <c r="R93" s="20">
        <v>5.4862437064845579</v>
      </c>
      <c r="S93" s="20">
        <v>3.9035538382444344</v>
      </c>
      <c r="T93" s="20">
        <v>-94.575511759315859</v>
      </c>
      <c r="U93" s="40">
        <v>-1.195392164185165</v>
      </c>
      <c r="V93" s="20">
        <v>-0.40873744462609946</v>
      </c>
      <c r="W93" s="20">
        <v>-2.5420698553571324</v>
      </c>
      <c r="X93" s="20">
        <v>1.1968368973541494</v>
      </c>
      <c r="Y93" s="20">
        <v>0.12650117229186467</v>
      </c>
      <c r="Z93" s="20">
        <v>0.43207706615203717</v>
      </c>
      <c r="AA93" s="41">
        <v>-1.1953921641851804</v>
      </c>
      <c r="AB93" s="31">
        <v>0</v>
      </c>
      <c r="AD93" s="29">
        <v>0</v>
      </c>
    </row>
    <row r="94" spans="1:30" x14ac:dyDescent="0.25">
      <c r="A94" s="95"/>
      <c r="B94" s="60"/>
      <c r="C94" s="83" t="s">
        <v>51</v>
      </c>
      <c r="D94" s="35">
        <v>5778526.1288539115</v>
      </c>
      <c r="E94" s="35">
        <v>14202949.876480516</v>
      </c>
      <c r="F94" s="35">
        <v>17359085.021283943</v>
      </c>
      <c r="G94" s="35">
        <v>1463757.8480866002</v>
      </c>
      <c r="H94" s="35">
        <v>-560671.89931941405</v>
      </c>
      <c r="I94" s="35">
        <v>38243646.975385562</v>
      </c>
      <c r="J94" s="35">
        <v>15.109767466928812</v>
      </c>
      <c r="K94" s="35">
        <v>37.13806344259438</v>
      </c>
      <c r="L94" s="35">
        <v>45.390767863892862</v>
      </c>
      <c r="M94" s="35">
        <v>3.8274536134817536</v>
      </c>
      <c r="N94" s="35">
        <v>-1.466052386897815</v>
      </c>
      <c r="O94" s="34">
        <v>99.999999999999986</v>
      </c>
      <c r="P94" s="34">
        <v>4.3375720633597155</v>
      </c>
      <c r="Q94" s="34">
        <v>-10.00759392725648</v>
      </c>
      <c r="R94" s="34">
        <v>-3.667928926489239</v>
      </c>
      <c r="S94" s="34">
        <v>54.910174166426231</v>
      </c>
      <c r="T94" s="34">
        <v>1249.2384376909106</v>
      </c>
      <c r="U94" s="87">
        <v>-5.2734912830002543</v>
      </c>
      <c r="V94" s="34">
        <v>0.53443445845911508</v>
      </c>
      <c r="W94" s="34">
        <v>-4.2202257649009507</v>
      </c>
      <c r="X94" s="34">
        <v>-1.5870380492957812</v>
      </c>
      <c r="Y94" s="34">
        <v>1.2870013426093851</v>
      </c>
      <c r="Z94" s="34">
        <v>-1.2876632698720454</v>
      </c>
      <c r="AA94" s="88">
        <v>-5.2734912830002774</v>
      </c>
      <c r="AB94" s="31">
        <v>0</v>
      </c>
      <c r="AD94" s="29">
        <v>0.17324611877814677</v>
      </c>
    </row>
    <row r="95" spans="1:30" x14ac:dyDescent="0.25">
      <c r="A95" s="95"/>
      <c r="B95" s="100">
        <v>2020</v>
      </c>
      <c r="C95" s="16" t="s">
        <v>28</v>
      </c>
      <c r="D95" s="2">
        <v>1561524.2723049861</v>
      </c>
      <c r="E95" s="2">
        <v>3694750.1228386355</v>
      </c>
      <c r="F95" s="2">
        <v>4175420.4434855259</v>
      </c>
      <c r="G95" s="2">
        <v>330130.9766451171</v>
      </c>
      <c r="H95" s="2">
        <v>-178179.53411200413</v>
      </c>
      <c r="I95" s="2">
        <v>9583646.2811622601</v>
      </c>
      <c r="J95" s="2">
        <v>16.29363424414295</v>
      </c>
      <c r="K95" s="2">
        <v>38.552655371902496</v>
      </c>
      <c r="L95" s="2">
        <v>43.568181890151628</v>
      </c>
      <c r="M95" s="2">
        <v>3.4447324844827256</v>
      </c>
      <c r="N95" s="2">
        <v>-1.8592039906797908</v>
      </c>
      <c r="O95" s="2">
        <v>100.00000000000001</v>
      </c>
      <c r="P95" s="2">
        <v>5.402090979085088</v>
      </c>
      <c r="Q95" s="2">
        <v>-6.4783025670789272</v>
      </c>
      <c r="R95" s="2">
        <v>6.9615500560471304</v>
      </c>
      <c r="S95" s="2">
        <v>78.641170581257427</v>
      </c>
      <c r="T95" s="2">
        <v>15240810.338093096</v>
      </c>
      <c r="U95" s="12">
        <v>1.0934140664197827</v>
      </c>
      <c r="V95" s="2">
        <v>0.9700292296679367</v>
      </c>
      <c r="W95" s="2">
        <v>-2.4030935261082336</v>
      </c>
      <c r="X95" s="2">
        <v>2.8924640864474433</v>
      </c>
      <c r="Y95" s="2">
        <v>1.6260439616173972</v>
      </c>
      <c r="Z95" s="2">
        <v>-1.992029685204759</v>
      </c>
      <c r="AA95" s="39">
        <v>1.0934140664197847</v>
      </c>
      <c r="AB95" s="31">
        <v>2.19824158875781E-14</v>
      </c>
      <c r="AD95" s="29">
        <v>2.19824158875781E-14</v>
      </c>
    </row>
    <row r="96" spans="1:30" x14ac:dyDescent="0.25">
      <c r="A96" s="95"/>
      <c r="B96" s="100"/>
      <c r="C96" s="16" t="s">
        <v>29</v>
      </c>
      <c r="D96" s="2">
        <v>1983935.6831640499</v>
      </c>
      <c r="E96" s="2">
        <v>2392252.5980722765</v>
      </c>
      <c r="F96" s="2">
        <v>3645383.5592946005</v>
      </c>
      <c r="G96" s="2">
        <v>335188.91556326527</v>
      </c>
      <c r="H96" s="2">
        <v>-75132.235887055023</v>
      </c>
      <c r="I96" s="2">
        <v>8281628.5202071359</v>
      </c>
      <c r="J96" s="2">
        <v>23.955864215875607</v>
      </c>
      <c r="K96" s="2">
        <v>28.886258206766836</v>
      </c>
      <c r="L96" s="2">
        <v>44.017714032933029</v>
      </c>
      <c r="M96" s="2">
        <v>4.0473792653873071</v>
      </c>
      <c r="N96" s="2">
        <v>-0.90721572096276371</v>
      </c>
      <c r="O96" s="2">
        <v>100.00000000000001</v>
      </c>
      <c r="P96" s="2">
        <v>-0.80101018880462505</v>
      </c>
      <c r="Q96" s="2">
        <v>-10.544076800746979</v>
      </c>
      <c r="R96" s="2">
        <v>-16.298811765963734</v>
      </c>
      <c r="S96" s="2">
        <v>75.021478533817429</v>
      </c>
      <c r="T96" s="2">
        <v>288.24680778192237</v>
      </c>
      <c r="U96" s="12">
        <v>-10.491406571704104</v>
      </c>
      <c r="V96" s="2">
        <v>-0.1343668390855367</v>
      </c>
      <c r="W96" s="2">
        <v>-3.38749567200278</v>
      </c>
      <c r="X96" s="2">
        <v>-7.75132652646937</v>
      </c>
      <c r="Y96" s="2">
        <v>1.2704960938163146</v>
      </c>
      <c r="Z96" s="2">
        <v>-0.4887136279627361</v>
      </c>
      <c r="AA96" s="39">
        <v>-10.491406571704109</v>
      </c>
      <c r="AB96" s="31">
        <v>-3.5527136788005009E-14</v>
      </c>
      <c r="AD96" s="29">
        <v>-3.5527136788005009E-14</v>
      </c>
    </row>
    <row r="97" spans="1:30" x14ac:dyDescent="0.25">
      <c r="A97" s="95"/>
      <c r="B97" s="100"/>
      <c r="C97" s="16" t="s">
        <v>30</v>
      </c>
      <c r="D97" s="2">
        <v>1243556.8649165735</v>
      </c>
      <c r="E97" s="2">
        <v>3781235.7350496785</v>
      </c>
      <c r="F97" s="2">
        <v>4370709.6692162678</v>
      </c>
      <c r="G97" s="2">
        <v>383473.04152285616</v>
      </c>
      <c r="H97" s="2">
        <v>-138015.8398971131</v>
      </c>
      <c r="I97" s="2">
        <v>9640959.4708082639</v>
      </c>
      <c r="J97" s="2">
        <v>12.898683670250074</v>
      </c>
      <c r="K97" s="2">
        <v>39.220533459339116</v>
      </c>
      <c r="L97" s="2">
        <v>45.334799741149027</v>
      </c>
      <c r="M97" s="2">
        <v>3.9775402301396374</v>
      </c>
      <c r="N97" s="2">
        <v>-1.4315571008778687</v>
      </c>
      <c r="O97" s="2">
        <v>99.999999999999986</v>
      </c>
      <c r="P97" s="2">
        <v>3.9184982957368106</v>
      </c>
      <c r="Q97" s="2">
        <v>-11.276040635121248</v>
      </c>
      <c r="R97" s="2">
        <v>-6.8746175277901926</v>
      </c>
      <c r="S97" s="2">
        <v>88.109567293146483</v>
      </c>
      <c r="T97" s="2">
        <v>588.18552661558363</v>
      </c>
      <c r="U97" s="12">
        <v>-6.9106673362738462</v>
      </c>
      <c r="V97" s="2">
        <v>0.29277866147929549</v>
      </c>
      <c r="W97" s="2">
        <v>-3.9582009729876124</v>
      </c>
      <c r="X97" s="2">
        <v>-3.6702426808354258</v>
      </c>
      <c r="Y97" s="2">
        <v>1.2159286387120039</v>
      </c>
      <c r="Z97" s="2">
        <v>-0.7909309826421177</v>
      </c>
      <c r="AA97" s="39">
        <v>-6.910667336273856</v>
      </c>
      <c r="AB97" s="31">
        <v>7.1054273576010019E-15</v>
      </c>
      <c r="AD97" s="29">
        <v>7.1054273576010019E-15</v>
      </c>
    </row>
    <row r="98" spans="1:30" x14ac:dyDescent="0.25">
      <c r="A98" s="95"/>
      <c r="B98" s="101"/>
      <c r="C98" s="28" t="s">
        <v>31</v>
      </c>
      <c r="D98" s="20">
        <v>989509.30846830201</v>
      </c>
      <c r="E98" s="20">
        <v>4334711.4205199257</v>
      </c>
      <c r="F98" s="20">
        <v>5167571.349287549</v>
      </c>
      <c r="G98" s="20">
        <v>414964.91435536166</v>
      </c>
      <c r="H98" s="20">
        <v>-169344.28942324177</v>
      </c>
      <c r="I98" s="20">
        <v>10737412.703207897</v>
      </c>
      <c r="J98" s="20">
        <v>9.2155283197103657</v>
      </c>
      <c r="K98" s="20">
        <v>40.370166820773242</v>
      </c>
      <c r="L98" s="20">
        <v>48.126783352042445</v>
      </c>
      <c r="M98" s="20">
        <v>3.8646639169544752</v>
      </c>
      <c r="N98" s="20">
        <v>-1.5771424094805322</v>
      </c>
      <c r="O98" s="20">
        <v>100</v>
      </c>
      <c r="P98" s="20">
        <v>16.809078605445052</v>
      </c>
      <c r="Q98" s="20">
        <v>-11.641285570759081</v>
      </c>
      <c r="R98" s="20">
        <v>1.0048178310890989</v>
      </c>
      <c r="S98" s="20">
        <v>11.373884851864034</v>
      </c>
      <c r="T98" s="20">
        <v>6040.0597871523405</v>
      </c>
      <c r="U98" s="40">
        <v>-4.9113214217650096</v>
      </c>
      <c r="V98" s="20">
        <v>0.97338538661100638</v>
      </c>
      <c r="W98" s="20">
        <v>-4.8703255004677901</v>
      </c>
      <c r="X98" s="20">
        <v>-8.8754114439125439E-2</v>
      </c>
      <c r="Y98" s="20">
        <v>0.31825017103188691</v>
      </c>
      <c r="Z98" s="20">
        <v>-1.2438773645009824</v>
      </c>
      <c r="AA98" s="41">
        <v>-4.9113214217650052</v>
      </c>
      <c r="AB98" s="31">
        <v>1.7763568394002505E-14</v>
      </c>
      <c r="AD98" s="29">
        <v>1.7763568394002505E-14</v>
      </c>
    </row>
    <row r="99" spans="1:30" x14ac:dyDescent="0.25">
      <c r="A99" s="95"/>
      <c r="B99" s="60"/>
      <c r="C99" s="83" t="s">
        <v>51</v>
      </c>
      <c r="D99" s="35">
        <v>8823858.8014526796</v>
      </c>
      <c r="E99" s="35">
        <v>20442414.610767432</v>
      </c>
      <c r="F99" s="35">
        <v>22582357.724334691</v>
      </c>
      <c r="G99" s="35">
        <v>1826380.43585019</v>
      </c>
      <c r="H99" s="35">
        <v>-1251263.1963042</v>
      </c>
      <c r="I99" s="35">
        <v>52423748.376100793</v>
      </c>
      <c r="J99" s="35">
        <v>16.831796799702605</v>
      </c>
      <c r="K99" s="35">
        <v>38.99456876701862</v>
      </c>
      <c r="L99" s="35">
        <v>43.076579649214189</v>
      </c>
      <c r="M99" s="35">
        <v>3.483879906387636</v>
      </c>
      <c r="N99" s="35">
        <v>-2.3868251223230583</v>
      </c>
      <c r="O99" s="34">
        <v>99.999999999999986</v>
      </c>
      <c r="P99" s="34">
        <v>8.8303474433556204</v>
      </c>
      <c r="Q99" s="34">
        <v>-6.0465503499042796</v>
      </c>
      <c r="R99" s="34">
        <v>7.1704972511360836</v>
      </c>
      <c r="S99" s="34">
        <v>-8.0213089803138047</v>
      </c>
      <c r="T99" s="34">
        <v>64.514846175774011</v>
      </c>
      <c r="U99" s="87">
        <v>1.0905836994481177</v>
      </c>
      <c r="V99" s="34">
        <v>1.3342449652129273</v>
      </c>
      <c r="W99" s="34">
        <v>-2.2455717050358697</v>
      </c>
      <c r="X99" s="34">
        <v>3.2547437619499888</v>
      </c>
      <c r="Y99" s="34">
        <v>-0.30701188041555716</v>
      </c>
      <c r="Z99" s="34">
        <v>-0.94582144226338871</v>
      </c>
      <c r="AA99" s="88">
        <v>1.0905836994481009</v>
      </c>
      <c r="AB99" s="31">
        <v>1.8853384066332968E-3</v>
      </c>
      <c r="AD99" s="29">
        <v>1.8853384066332968E-3</v>
      </c>
    </row>
    <row r="100" spans="1:30" x14ac:dyDescent="0.25">
      <c r="A100" s="95"/>
      <c r="B100" s="100">
        <v>2021</v>
      </c>
      <c r="C100" s="16" t="s">
        <v>28</v>
      </c>
      <c r="D100" s="2">
        <v>2021485.662696895</v>
      </c>
      <c r="E100" s="2">
        <v>4509856.3811153937</v>
      </c>
      <c r="F100" s="2">
        <v>4922469.4398602126</v>
      </c>
      <c r="G100" s="2">
        <v>411693.49289528985</v>
      </c>
      <c r="H100" s="2">
        <v>-235268.27806965695</v>
      </c>
      <c r="I100" s="2">
        <v>11630236.698498135</v>
      </c>
      <c r="J100" s="2">
        <v>17.381294251370985</v>
      </c>
      <c r="K100" s="2">
        <v>38.776995671100757</v>
      </c>
      <c r="L100" s="2">
        <v>42.324757160753855</v>
      </c>
      <c r="M100" s="2">
        <v>3.5398548074989189</v>
      </c>
      <c r="N100" s="2">
        <v>-2.0229018907245302</v>
      </c>
      <c r="O100" s="2">
        <v>99.999999999999972</v>
      </c>
      <c r="P100" s="2">
        <v>-6.3615760453852914</v>
      </c>
      <c r="Q100" s="2">
        <v>-14.312892452260527</v>
      </c>
      <c r="R100" s="2">
        <v>-4.7695623919852892</v>
      </c>
      <c r="S100" s="2">
        <v>-5.2145787821098395</v>
      </c>
      <c r="T100" s="2">
        <v>0.53286044193194471</v>
      </c>
      <c r="U100" s="12">
        <v>-8.232559360337433</v>
      </c>
      <c r="V100" s="2">
        <v>-1.0640384794690956</v>
      </c>
      <c r="W100" s="2">
        <v>-4.9969589026465986</v>
      </c>
      <c r="X100" s="2">
        <v>-1.9886117408356583</v>
      </c>
      <c r="Y100" s="2">
        <v>-0.1733944969675017</v>
      </c>
      <c r="Z100" s="2">
        <v>-9.5557404185638815E-3</v>
      </c>
      <c r="AA100" s="39">
        <v>-8.2325593603374188</v>
      </c>
      <c r="AB100" s="31">
        <v>0</v>
      </c>
      <c r="AD100" s="29">
        <v>0</v>
      </c>
    </row>
    <row r="101" spans="1:30" x14ac:dyDescent="0.25">
      <c r="A101" s="95"/>
      <c r="B101" s="100"/>
      <c r="C101" s="16" t="s">
        <v>29</v>
      </c>
      <c r="D101" s="2">
        <v>3152589.4268393405</v>
      </c>
      <c r="E101" s="2">
        <v>4360262.03607227</v>
      </c>
      <c r="F101" s="2">
        <v>4842761.8763775453</v>
      </c>
      <c r="G101" s="2">
        <v>471170.45687237021</v>
      </c>
      <c r="H101" s="2">
        <v>-309139.20114494173</v>
      </c>
      <c r="I101" s="2">
        <v>12517644.595016584</v>
      </c>
      <c r="J101" s="2">
        <v>25.185164851975607</v>
      </c>
      <c r="K101" s="2">
        <v>34.832927257002808</v>
      </c>
      <c r="L101" s="2">
        <v>38.687485010602586</v>
      </c>
      <c r="M101" s="2">
        <v>3.764050443323407</v>
      </c>
      <c r="N101" s="2">
        <v>-2.4696275629043947</v>
      </c>
      <c r="O101" s="2">
        <v>100.00000000000001</v>
      </c>
      <c r="P101" s="2">
        <v>13.614536519296422</v>
      </c>
      <c r="Q101" s="2">
        <v>-11.019432202973519</v>
      </c>
      <c r="R101" s="2">
        <v>9.9626664154915971</v>
      </c>
      <c r="S101" s="2">
        <v>0.56848638238955118</v>
      </c>
      <c r="T101" s="2">
        <v>198.53306526258564</v>
      </c>
      <c r="U101" s="12">
        <v>2.4309944440894498</v>
      </c>
      <c r="V101" s="2">
        <v>3.3465187124214242</v>
      </c>
      <c r="W101" s="2">
        <v>-3.6773723647769421</v>
      </c>
      <c r="X101" s="2">
        <v>4.4917245069668628</v>
      </c>
      <c r="Y101" s="2">
        <v>2.2595371088374741E-2</v>
      </c>
      <c r="Z101" s="2">
        <v>-1.7524717816102395</v>
      </c>
      <c r="AA101" s="39">
        <v>2.43099444408948</v>
      </c>
      <c r="AB101" s="31">
        <v>4.2632564145606011E-14</v>
      </c>
      <c r="AD101" s="29">
        <v>4.2632564145606011E-14</v>
      </c>
    </row>
    <row r="102" spans="1:30" x14ac:dyDescent="0.25">
      <c r="A102" s="95"/>
      <c r="B102" s="100"/>
      <c r="C102" s="16" t="s">
        <v>30</v>
      </c>
      <c r="D102" s="2">
        <v>1980396.4271160075</v>
      </c>
      <c r="E102" s="2">
        <v>5348034.6017144378</v>
      </c>
      <c r="F102" s="2">
        <v>5649585.3693397883</v>
      </c>
      <c r="G102" s="2">
        <v>464865.17981548893</v>
      </c>
      <c r="H102" s="2">
        <v>-335997.41482432419</v>
      </c>
      <c r="I102" s="2">
        <v>13106884.163161399</v>
      </c>
      <c r="J102" s="2">
        <v>15.109589758046148</v>
      </c>
      <c r="K102" s="2">
        <v>40.803249156239467</v>
      </c>
      <c r="L102" s="2">
        <v>43.103954372456286</v>
      </c>
      <c r="M102" s="2">
        <v>3.5467253241014589</v>
      </c>
      <c r="N102" s="2">
        <v>-2.5635186108433659</v>
      </c>
      <c r="O102" s="2">
        <v>100</v>
      </c>
      <c r="P102" s="2">
        <v>13.933024372685438</v>
      </c>
      <c r="Q102" s="2">
        <v>-5.721960808749202</v>
      </c>
      <c r="R102" s="2">
        <v>11.302506826489122</v>
      </c>
      <c r="S102" s="2">
        <v>-12.55123643005696</v>
      </c>
      <c r="T102" s="2">
        <v>78.55992478011504</v>
      </c>
      <c r="U102" s="12">
        <v>2.5303235888149942</v>
      </c>
      <c r="V102" s="2">
        <v>1.2599407817710659</v>
      </c>
      <c r="W102" s="2">
        <v>-1.1238231814126904</v>
      </c>
      <c r="X102" s="2">
        <v>3.5177285060557044</v>
      </c>
      <c r="Y102" s="2">
        <v>-0.34770511697352591</v>
      </c>
      <c r="Z102" s="2">
        <v>-0.7758174006255486</v>
      </c>
      <c r="AA102" s="39">
        <v>2.5303235888150053</v>
      </c>
      <c r="AB102" s="31">
        <v>-3.1974423109204508E-14</v>
      </c>
      <c r="AD102" s="29">
        <v>-3.1974423109204508E-14</v>
      </c>
    </row>
    <row r="103" spans="1:30" x14ac:dyDescent="0.25">
      <c r="A103" s="95"/>
      <c r="B103" s="101"/>
      <c r="C103" s="28" t="s">
        <v>31</v>
      </c>
      <c r="D103" s="20">
        <v>1669387.2848004359</v>
      </c>
      <c r="E103" s="20">
        <v>6224261.5918653291</v>
      </c>
      <c r="F103" s="20">
        <v>7167541.0387571426</v>
      </c>
      <c r="G103" s="20">
        <v>478651.30626704096</v>
      </c>
      <c r="H103" s="20">
        <v>-370858.30226527707</v>
      </c>
      <c r="I103" s="20">
        <v>15168982.919424674</v>
      </c>
      <c r="J103" s="20">
        <v>11.005268406378772</v>
      </c>
      <c r="K103" s="20">
        <v>41.032820888042778</v>
      </c>
      <c r="L103" s="20">
        <v>47.251296127301536</v>
      </c>
      <c r="M103" s="20">
        <v>3.155460776833646</v>
      </c>
      <c r="N103" s="20">
        <v>-2.4448461985567516</v>
      </c>
      <c r="O103" s="20">
        <v>100</v>
      </c>
      <c r="P103" s="20">
        <v>21.025706568548316</v>
      </c>
      <c r="Q103" s="20">
        <v>5.7855258451491522</v>
      </c>
      <c r="R103" s="20">
        <v>12.967907956397255</v>
      </c>
      <c r="S103" s="20">
        <v>-13.591698635219757</v>
      </c>
      <c r="T103" s="20">
        <v>66.48359528370321</v>
      </c>
      <c r="U103" s="40">
        <v>8.2540336069668001</v>
      </c>
      <c r="V103" s="20">
        <v>1.521069347041645</v>
      </c>
      <c r="W103" s="20">
        <v>2.6500987361527533</v>
      </c>
      <c r="X103" s="20">
        <v>5.3524374226039253</v>
      </c>
      <c r="Y103" s="20">
        <v>-0.42535239376909362</v>
      </c>
      <c r="Z103" s="20">
        <v>-0.84421950506242327</v>
      </c>
      <c r="AA103" s="41">
        <v>8.2540336069668072</v>
      </c>
      <c r="AB103" s="31">
        <v>0</v>
      </c>
      <c r="AD103" s="29">
        <v>0</v>
      </c>
    </row>
    <row r="104" spans="1:30" x14ac:dyDescent="0.25">
      <c r="A104" s="95"/>
      <c r="B104" s="60"/>
      <c r="C104" s="83" t="s">
        <v>51</v>
      </c>
      <c r="D104" s="35">
        <v>12454214.876257153</v>
      </c>
      <c r="E104" s="35">
        <v>23041326.088736616</v>
      </c>
      <c r="F104" s="35">
        <v>28511344.457773425</v>
      </c>
      <c r="G104" s="35">
        <v>2080833.7340851002</v>
      </c>
      <c r="H104" s="35">
        <v>-1990241.69541605</v>
      </c>
      <c r="I104" s="35">
        <v>64097477.461436242</v>
      </c>
      <c r="J104" s="35">
        <v>19.430117017865697</v>
      </c>
      <c r="K104" s="35">
        <v>35.947321175937468</v>
      </c>
      <c r="L104" s="35">
        <v>44.481227010730741</v>
      </c>
      <c r="M104" s="35">
        <v>3.2463582288975696</v>
      </c>
      <c r="N104" s="35">
        <v>-3.1050234334314695</v>
      </c>
      <c r="O104" s="34">
        <v>100</v>
      </c>
      <c r="P104" s="34">
        <v>3.8454764011748779</v>
      </c>
      <c r="Q104" s="34">
        <v>4.7867543020731205</v>
      </c>
      <c r="R104" s="34">
        <v>4.6299024726974949</v>
      </c>
      <c r="S104" s="34">
        <v>-3.9295709863777972</v>
      </c>
      <c r="T104" s="34">
        <v>34.361796622114866</v>
      </c>
      <c r="U104" s="87">
        <v>3.5574920667565095</v>
      </c>
      <c r="V104" s="34">
        <v>0.64726277382627118</v>
      </c>
      <c r="W104" s="34">
        <v>1.866574198030146</v>
      </c>
      <c r="X104" s="34">
        <v>1.9944036263324776</v>
      </c>
      <c r="Y104" s="34">
        <v>-0.12333089504600768</v>
      </c>
      <c r="Z104" s="34">
        <v>-0.82741763638635069</v>
      </c>
      <c r="AA104" s="88">
        <v>3.5574920667565366</v>
      </c>
      <c r="AB104" s="31">
        <v>0</v>
      </c>
      <c r="AD104" s="29">
        <v>-5.9500664909144518E-3</v>
      </c>
    </row>
    <row r="105" spans="1:30" x14ac:dyDescent="0.25">
      <c r="A105" s="95"/>
      <c r="B105" s="100">
        <v>2022</v>
      </c>
      <c r="C105" s="16" t="s">
        <v>28</v>
      </c>
      <c r="D105" s="2">
        <v>2733039.6860048221</v>
      </c>
      <c r="E105" s="2">
        <v>5927713.1779635381</v>
      </c>
      <c r="F105" s="2">
        <v>6270362.8079914115</v>
      </c>
      <c r="G105" s="2">
        <v>435122.7316546237</v>
      </c>
      <c r="H105" s="2">
        <v>-423421.52357184107</v>
      </c>
      <c r="I105" s="2">
        <v>14942816.880042555</v>
      </c>
      <c r="J105" s="2">
        <v>18.289989818820821</v>
      </c>
      <c r="K105" s="2">
        <v>39.669315535014817</v>
      </c>
      <c r="L105" s="2">
        <v>41.96238807132832</v>
      </c>
      <c r="M105" s="2">
        <v>2.9119190521284399</v>
      </c>
      <c r="N105" s="2">
        <v>-2.8336124772924021</v>
      </c>
      <c r="O105" s="2">
        <v>100</v>
      </c>
      <c r="P105" s="2">
        <v>-2.9510925869724502</v>
      </c>
      <c r="Q105" s="2">
        <v>8.1007905688072555</v>
      </c>
      <c r="R105" s="2">
        <v>5.8531398704189996</v>
      </c>
      <c r="S105" s="2">
        <v>-17.326447473073841</v>
      </c>
      <c r="T105" s="2">
        <v>43.496499362990477</v>
      </c>
      <c r="U105" s="12">
        <v>3.5307507926012534</v>
      </c>
      <c r="V105" s="2">
        <v>-0.46140778721448272</v>
      </c>
      <c r="W105" s="2">
        <v>1.9864917826615407</v>
      </c>
      <c r="X105" s="2">
        <v>3.3814536039225342</v>
      </c>
      <c r="Y105" s="2">
        <v>-0.523000140625968</v>
      </c>
      <c r="Z105" s="2">
        <v>-0.85278666614240173</v>
      </c>
      <c r="AA105" s="39">
        <v>3.5307507926012223</v>
      </c>
      <c r="AB105" s="31">
        <v>-5.3290705182007514E-15</v>
      </c>
      <c r="AD105" s="29">
        <v>-5.3290705182007514E-15</v>
      </c>
    </row>
    <row r="106" spans="1:30" x14ac:dyDescent="0.25">
      <c r="A106" s="95"/>
      <c r="B106" s="100"/>
      <c r="C106" s="16" t="s">
        <v>29</v>
      </c>
      <c r="D106" s="2">
        <v>5419680.9543793425</v>
      </c>
      <c r="E106" s="2">
        <v>5157774.6852286234</v>
      </c>
      <c r="F106" s="2">
        <v>6603920.5538493209</v>
      </c>
      <c r="G106" s="2">
        <v>471008.90142466663</v>
      </c>
      <c r="H106" s="2">
        <v>-572570.01556942228</v>
      </c>
      <c r="I106" s="2">
        <v>17079815.079312529</v>
      </c>
      <c r="J106" s="2">
        <v>31.73149667729006</v>
      </c>
      <c r="K106" s="2">
        <v>30.198071005322774</v>
      </c>
      <c r="L106" s="2">
        <v>38.665058861486997</v>
      </c>
      <c r="M106" s="2">
        <v>2.7576932141095813</v>
      </c>
      <c r="N106" s="2">
        <v>-3.3523197582093989</v>
      </c>
      <c r="O106" s="2">
        <v>100.00000000000001</v>
      </c>
      <c r="P106" s="2">
        <v>24.634768256616795</v>
      </c>
      <c r="Q106" s="2">
        <v>13.061890585720676</v>
      </c>
      <c r="R106" s="2">
        <v>11.816109076124206</v>
      </c>
      <c r="S106" s="2">
        <v>-21.172320486172865</v>
      </c>
      <c r="T106" s="2">
        <v>47.108828850556563</v>
      </c>
      <c r="U106" s="12">
        <v>13.853799084921746</v>
      </c>
      <c r="V106" s="2">
        <v>7.7852574862728225</v>
      </c>
      <c r="W106" s="2">
        <v>2.466420777006177</v>
      </c>
      <c r="X106" s="2">
        <v>6.0310073694093713</v>
      </c>
      <c r="Y106" s="2">
        <v>-0.98461400215880202</v>
      </c>
      <c r="Z106" s="2">
        <v>-1.4442725456078145</v>
      </c>
      <c r="AA106" s="39">
        <v>13.853799084921754</v>
      </c>
      <c r="AB106" s="31">
        <v>4.9737991503207013E-14</v>
      </c>
      <c r="AD106" s="29">
        <v>4.9737991503207013E-14</v>
      </c>
    </row>
    <row r="107" spans="1:30" x14ac:dyDescent="0.25">
      <c r="A107" s="95"/>
      <c r="B107" s="100"/>
      <c r="C107" s="16" t="s">
        <v>30</v>
      </c>
      <c r="D107" s="2">
        <v>2268594.1217530225</v>
      </c>
      <c r="E107" s="2">
        <v>5574606.0737860268</v>
      </c>
      <c r="F107" s="2">
        <v>7055886.5139000341</v>
      </c>
      <c r="G107" s="2">
        <v>503433.65151587763</v>
      </c>
      <c r="H107" s="2">
        <v>-526358.85369476769</v>
      </c>
      <c r="I107" s="2">
        <v>14876161.507260192</v>
      </c>
      <c r="J107" s="2">
        <v>15.249862141156864</v>
      </c>
      <c r="K107" s="2">
        <v>37.473417259320456</v>
      </c>
      <c r="L107" s="2">
        <v>47.430827572398059</v>
      </c>
      <c r="M107" s="2">
        <v>3.3841636585498271</v>
      </c>
      <c r="N107" s="2">
        <v>-3.5382706314251999</v>
      </c>
      <c r="O107" s="2">
        <v>100</v>
      </c>
      <c r="P107" s="2">
        <v>-14.851856564668495</v>
      </c>
      <c r="Q107" s="2">
        <v>3.1845998215016493</v>
      </c>
      <c r="R107" s="2">
        <v>-0.61245242656659116</v>
      </c>
      <c r="S107" s="2">
        <v>-5.9223778177014736</v>
      </c>
      <c r="T107" s="2">
        <v>36.341303184621495</v>
      </c>
      <c r="U107" s="12">
        <v>-2.2261428124611768</v>
      </c>
      <c r="V107" s="2">
        <v>-1.9755425514338181</v>
      </c>
      <c r="W107" s="2">
        <v>0.21300011736866098</v>
      </c>
      <c r="X107" s="2">
        <v>0.58947910537516912</v>
      </c>
      <c r="Y107" s="2">
        <v>-0.19264190918334323</v>
      </c>
      <c r="Z107" s="2">
        <v>-0.86043757458784864</v>
      </c>
      <c r="AA107" s="39">
        <v>-2.2261428124611795</v>
      </c>
      <c r="AB107" s="31">
        <v>0</v>
      </c>
      <c r="AD107" s="29">
        <v>0</v>
      </c>
    </row>
    <row r="108" spans="1:30" x14ac:dyDescent="0.25">
      <c r="A108" s="95"/>
      <c r="B108" s="101"/>
      <c r="C108" s="28" t="s">
        <v>31</v>
      </c>
      <c r="D108" s="20">
        <v>2032900.1141199665</v>
      </c>
      <c r="E108" s="20">
        <v>6381232.1517584249</v>
      </c>
      <c r="F108" s="20">
        <v>8581174.5820326544</v>
      </c>
      <c r="G108" s="20">
        <v>671268.44948993227</v>
      </c>
      <c r="H108" s="20">
        <v>-467891.30258001899</v>
      </c>
      <c r="I108" s="20">
        <v>17198683.99482096</v>
      </c>
      <c r="J108" s="20">
        <v>11.820091087970066</v>
      </c>
      <c r="K108" s="20">
        <v>37.103025752900656</v>
      </c>
      <c r="L108" s="20">
        <v>49.89436740983615</v>
      </c>
      <c r="M108" s="20">
        <v>3.9030221713014281</v>
      </c>
      <c r="N108" s="20">
        <v>-2.7205064220083068</v>
      </c>
      <c r="O108" s="20">
        <v>99.999999999999986</v>
      </c>
      <c r="P108" s="20">
        <v>-7.4801424800362497</v>
      </c>
      <c r="Q108" s="20">
        <v>-2.1599733324824797</v>
      </c>
      <c r="R108" s="20">
        <v>2.9422285434816331</v>
      </c>
      <c r="S108" s="20">
        <v>28.69058499980332</v>
      </c>
      <c r="T108" s="20">
        <v>15.098591402533913</v>
      </c>
      <c r="U108" s="40">
        <v>-9.9438496798171627E-2</v>
      </c>
      <c r="V108" s="20">
        <v>-0.6740638263106441</v>
      </c>
      <c r="W108" s="20">
        <v>0.47272145678076738</v>
      </c>
      <c r="X108" s="20">
        <v>6.3878110952685418E-2</v>
      </c>
      <c r="Y108" s="20">
        <v>0.41409834013160973</v>
      </c>
      <c r="Z108" s="20">
        <v>-0.37607257835259139</v>
      </c>
      <c r="AA108" s="41">
        <v>-9.943849679817296E-2</v>
      </c>
      <c r="AB108" s="31">
        <v>0</v>
      </c>
      <c r="AD108" s="29">
        <v>0</v>
      </c>
    </row>
    <row r="109" spans="1:30" x14ac:dyDescent="0.25">
      <c r="A109" s="95"/>
      <c r="B109" s="60"/>
      <c r="C109" s="83" t="s">
        <v>51</v>
      </c>
      <c r="D109" s="35">
        <v>16204708.455581136</v>
      </c>
      <c r="E109" s="35">
        <v>27668419.175280411</v>
      </c>
      <c r="F109" s="35">
        <v>33754614.618540749</v>
      </c>
      <c r="G109" s="35">
        <v>2193461.2645629905</v>
      </c>
      <c r="H109" s="35">
        <v>-2321335.87132063</v>
      </c>
      <c r="I109" s="35">
        <v>77499867.642644659</v>
      </c>
      <c r="J109" s="35">
        <v>20.909336942743913</v>
      </c>
      <c r="K109" s="35">
        <v>35.701247004524866</v>
      </c>
      <c r="L109" s="35">
        <v>43.554415827114418</v>
      </c>
      <c r="M109" s="35">
        <v>2.830277433088193</v>
      </c>
      <c r="N109" s="35">
        <v>-2.9952772074713896</v>
      </c>
      <c r="O109" s="34">
        <v>100.00000000000001</v>
      </c>
      <c r="P109" s="34">
        <v>2.670190765250922</v>
      </c>
      <c r="Q109" s="34">
        <v>1.0609879968811242E-2</v>
      </c>
      <c r="R109" s="34">
        <v>2.4910183966199781</v>
      </c>
      <c r="S109" s="34">
        <v>-10.250922151902415</v>
      </c>
      <c r="T109" s="34">
        <v>-0.8724182664875002</v>
      </c>
      <c r="U109" s="87">
        <v>1.3201658708104134</v>
      </c>
      <c r="V109" s="34">
        <v>0.51882119028849627</v>
      </c>
      <c r="W109" s="34">
        <v>3.8139676287550495E-3</v>
      </c>
      <c r="X109" s="34">
        <v>1.1080355478796005</v>
      </c>
      <c r="Y109" s="34">
        <v>-0.34454732037350622</v>
      </c>
      <c r="Z109" s="34">
        <v>3.4042485387027241E-2</v>
      </c>
      <c r="AA109" s="88">
        <v>1.3201658708103727</v>
      </c>
      <c r="AB109" s="31">
        <v>-2.2135601859449849E-3</v>
      </c>
      <c r="AD109" s="29">
        <v>-2.2135601859449849E-3</v>
      </c>
    </row>
    <row r="110" spans="1:30" x14ac:dyDescent="0.25">
      <c r="A110" s="95"/>
      <c r="B110" s="100">
        <v>2023</v>
      </c>
      <c r="C110" s="16" t="s">
        <v>28</v>
      </c>
      <c r="D110" s="2">
        <v>3438169.7734331246</v>
      </c>
      <c r="E110" s="2">
        <v>5164795.0001313416</v>
      </c>
      <c r="F110" s="2">
        <v>7538147.3854972189</v>
      </c>
      <c r="G110" s="2">
        <v>454594.25022705953</v>
      </c>
      <c r="H110" s="2">
        <v>-497848.01700580341</v>
      </c>
      <c r="I110" s="2">
        <v>16097858.392282942</v>
      </c>
      <c r="J110" s="2">
        <v>21.35793277372429</v>
      </c>
      <c r="K110" s="2">
        <v>32.083739801110831</v>
      </c>
      <c r="L110" s="2">
        <v>46.827020102940445</v>
      </c>
      <c r="M110" s="2">
        <v>2.8239424099107788</v>
      </c>
      <c r="N110" s="2">
        <v>-3.0926350876863462</v>
      </c>
      <c r="O110" s="2">
        <v>100</v>
      </c>
      <c r="P110" s="2">
        <v>-2.316923830117716</v>
      </c>
      <c r="Q110" s="2">
        <v>-4.9283125202711915</v>
      </c>
      <c r="R110" s="2">
        <v>4.9124733343069522</v>
      </c>
      <c r="S110" s="2">
        <v>-6.3584292415456929</v>
      </c>
      <c r="T110" s="2">
        <v>3.0408803321611231</v>
      </c>
      <c r="U110" s="12">
        <v>-0.13031941251489343</v>
      </c>
      <c r="V110" s="2">
        <v>-0.3408131290680888</v>
      </c>
      <c r="W110" s="2">
        <v>-0.94638334428015625</v>
      </c>
      <c r="X110" s="2">
        <v>2.2002509075825105</v>
      </c>
      <c r="Y110" s="2">
        <v>-0.48582419203544819</v>
      </c>
      <c r="Z110" s="2">
        <v>-0.55754965471376605</v>
      </c>
      <c r="AA110" s="39">
        <v>-0.13031941251494877</v>
      </c>
      <c r="AB110" s="31">
        <v>1.1102230246251565E-15</v>
      </c>
      <c r="AD110" s="29">
        <v>1.1102230246251565E-15</v>
      </c>
    </row>
    <row r="111" spans="1:30" x14ac:dyDescent="0.25">
      <c r="A111" s="95"/>
      <c r="B111" s="100"/>
      <c r="C111" s="16" t="s">
        <v>29</v>
      </c>
      <c r="D111" s="2">
        <v>7038988.8117479924</v>
      </c>
      <c r="E111" s="2">
        <v>5469291.133564285</v>
      </c>
      <c r="F111" s="2">
        <v>7872600.6434681537</v>
      </c>
      <c r="G111" s="2">
        <v>511740.35392412206</v>
      </c>
      <c r="H111" s="2">
        <v>-250964.51453147014</v>
      </c>
      <c r="I111" s="2">
        <v>20641656.42817308</v>
      </c>
      <c r="J111" s="2">
        <v>34.100891254738265</v>
      </c>
      <c r="K111" s="2">
        <v>26.496377132309206</v>
      </c>
      <c r="L111" s="2">
        <v>38.139384166491183</v>
      </c>
      <c r="M111" s="2">
        <v>2.4791632188280461</v>
      </c>
      <c r="N111" s="2">
        <v>-1.2158157723666856</v>
      </c>
      <c r="O111" s="2">
        <v>100.00000000000001</v>
      </c>
      <c r="P111" s="2">
        <v>3.1390488521399789</v>
      </c>
      <c r="Q111" s="2">
        <v>3.0131892563825602</v>
      </c>
      <c r="R111" s="2">
        <v>4.1989985514743182</v>
      </c>
      <c r="S111" s="2">
        <v>-6.6431099327733421</v>
      </c>
      <c r="T111" s="2">
        <v>-63.014685707426473</v>
      </c>
      <c r="U111" s="12">
        <v>7.5301201228959371</v>
      </c>
      <c r="V111" s="2">
        <v>0.92848166134362309</v>
      </c>
      <c r="W111" s="2">
        <v>2.7535168209949368</v>
      </c>
      <c r="X111" s="2">
        <v>1.8133468641112191</v>
      </c>
      <c r="Y111" s="2">
        <v>-0.19069632726498342</v>
      </c>
      <c r="Z111" s="2">
        <v>2.2254711037111257</v>
      </c>
      <c r="AA111" s="39">
        <v>7.530120122895922</v>
      </c>
      <c r="AB111" s="31">
        <v>-4.2632564145606011E-14</v>
      </c>
      <c r="AD111" s="29">
        <v>-4.2632564145606011E-14</v>
      </c>
    </row>
    <row r="112" spans="1:30" x14ac:dyDescent="0.25">
      <c r="A112" s="95"/>
      <c r="B112" s="100"/>
      <c r="C112" s="16" t="s">
        <v>30</v>
      </c>
      <c r="D112" s="2">
        <v>2970519.6653499966</v>
      </c>
      <c r="E112" s="2">
        <v>8490460.9863272812</v>
      </c>
      <c r="F112" s="2">
        <v>8251289.2143395301</v>
      </c>
      <c r="G112" s="2">
        <v>601595.24062532035</v>
      </c>
      <c r="H112" s="2">
        <v>-625492.20475214499</v>
      </c>
      <c r="I112" s="2">
        <v>19688372.901889984</v>
      </c>
      <c r="J112" s="2">
        <v>15.087684899877338</v>
      </c>
      <c r="K112" s="2">
        <v>43.124239004596667</v>
      </c>
      <c r="L112" s="2">
        <v>41.909452119059814</v>
      </c>
      <c r="M112" s="2">
        <v>3.0555863789413005</v>
      </c>
      <c r="N112" s="2">
        <v>-3.1769624024751226</v>
      </c>
      <c r="O112" s="2">
        <v>100</v>
      </c>
      <c r="P112" s="2">
        <v>4.0152324950824152</v>
      </c>
      <c r="Q112" s="2">
        <v>5.8692403653567169</v>
      </c>
      <c r="R112" s="2">
        <v>2.3589113705395874</v>
      </c>
      <c r="S112" s="2">
        <v>3.5840969929082434</v>
      </c>
      <c r="T112" s="2">
        <v>1.0740256003994659</v>
      </c>
      <c r="U112" s="12">
        <v>2.9367615354349681</v>
      </c>
      <c r="V112" s="2">
        <v>0.29423613951218697</v>
      </c>
      <c r="W112" s="2">
        <v>2.0023772285900994</v>
      </c>
      <c r="X112" s="2">
        <v>0.59377463037887313</v>
      </c>
      <c r="Y112" s="2">
        <v>6.7808614954148388E-2</v>
      </c>
      <c r="Z112" s="2">
        <v>-2.1435078000340408E-2</v>
      </c>
      <c r="AA112" s="39">
        <v>2.9367615354349677</v>
      </c>
      <c r="AB112" s="31">
        <v>-1.2434497875801753E-14</v>
      </c>
      <c r="AD112" s="29">
        <v>-1.2434497875801753E-14</v>
      </c>
    </row>
    <row r="113" spans="1:30" x14ac:dyDescent="0.25">
      <c r="A113" s="95"/>
      <c r="B113" s="101"/>
      <c r="C113" s="28" t="s">
        <v>31</v>
      </c>
      <c r="D113" s="20">
        <v>2757030.2050500247</v>
      </c>
      <c r="E113" s="20">
        <v>8543872.0552575029</v>
      </c>
      <c r="F113" s="20">
        <v>10092577.375235848</v>
      </c>
      <c r="G113" s="20">
        <v>625531.41978648852</v>
      </c>
      <c r="H113" s="20">
        <v>-947031.13503121142</v>
      </c>
      <c r="I113" s="20">
        <v>21071979.920298651</v>
      </c>
      <c r="J113" s="20">
        <v>13.083868793905673</v>
      </c>
      <c r="K113" s="20">
        <v>40.546128496578469</v>
      </c>
      <c r="L113" s="20">
        <v>47.895724148415987</v>
      </c>
      <c r="M113" s="20">
        <v>2.968546013010926</v>
      </c>
      <c r="N113" s="20">
        <v>-4.4942674519110364</v>
      </c>
      <c r="O113" s="20">
        <v>100</v>
      </c>
      <c r="P113" s="20">
        <v>7.7816417246507257</v>
      </c>
      <c r="Q113" s="20">
        <v>-3.2590247477330649</v>
      </c>
      <c r="R113" s="20">
        <v>-0.74848459964987057</v>
      </c>
      <c r="S113" s="20">
        <v>-24.884555046028368</v>
      </c>
      <c r="T113" s="20">
        <v>60.736389672070089</v>
      </c>
      <c r="U113" s="40">
        <v>-4.8531501855034094</v>
      </c>
      <c r="V113" s="20">
        <v>0.48079269420338627</v>
      </c>
      <c r="W113" s="20">
        <v>-2.8925252852733534</v>
      </c>
      <c r="X113" s="20">
        <v>-0.61863546426162008</v>
      </c>
      <c r="Y113" s="20">
        <v>-0.67346578635452437</v>
      </c>
      <c r="Z113" s="20">
        <v>-1.149316343817306</v>
      </c>
      <c r="AA113" s="41">
        <v>-4.8531501855034174</v>
      </c>
      <c r="AB113" s="31">
        <v>-6.2172489379008766E-15</v>
      </c>
      <c r="AD113" s="29">
        <v>-6.2172489379008766E-15</v>
      </c>
    </row>
    <row r="114" spans="1:30" x14ac:dyDescent="0.25">
      <c r="A114" s="95"/>
      <c r="B114" s="60"/>
      <c r="C114" s="83" t="s">
        <v>51</v>
      </c>
      <c r="D114" s="35">
        <v>22417167.546721894</v>
      </c>
      <c r="E114" s="35">
        <v>35243354.58427462</v>
      </c>
      <c r="F114" s="35">
        <v>46396805.569438033</v>
      </c>
      <c r="G114" s="35">
        <v>2620111.792964471</v>
      </c>
      <c r="H114" s="35">
        <v>-2666351.6848179102</v>
      </c>
      <c r="I114" s="35">
        <v>104011087.8085811</v>
      </c>
      <c r="J114" s="35">
        <v>21.552670988287115</v>
      </c>
      <c r="K114" s="35">
        <v>33.88422842873775</v>
      </c>
      <c r="L114" s="35">
        <v>44.607557277763817</v>
      </c>
      <c r="M114" s="35">
        <v>2.5190696955178917</v>
      </c>
      <c r="N114" s="35">
        <v>-2.5635263903065644</v>
      </c>
      <c r="O114" s="34">
        <v>100</v>
      </c>
      <c r="P114" s="34">
        <v>5.8977805646122334</v>
      </c>
      <c r="Q114" s="34">
        <v>4.864766151954953</v>
      </c>
      <c r="R114" s="34">
        <v>4.2826998702718129</v>
      </c>
      <c r="S114" s="34">
        <v>-4.7124895662421835</v>
      </c>
      <c r="T114" s="34">
        <v>-8.3725550255727228</v>
      </c>
      <c r="U114" s="87">
        <v>4.9526786042598303</v>
      </c>
      <c r="V114" s="34">
        <v>1.2331868103984478</v>
      </c>
      <c r="W114" s="34">
        <v>1.736782180101943</v>
      </c>
      <c r="X114" s="34">
        <v>1.8653049101254728</v>
      </c>
      <c r="Y114" s="34">
        <v>-0.13337652872998823</v>
      </c>
      <c r="Z114" s="34">
        <v>0.2507812323639802</v>
      </c>
      <c r="AA114" s="88">
        <v>4.9526786042598561</v>
      </c>
      <c r="AB114" s="31">
        <v>-1.3786932109751682E-3</v>
      </c>
      <c r="AD114" s="29">
        <v>-1.3786932109751682E-3</v>
      </c>
    </row>
    <row r="115" spans="1:30" x14ac:dyDescent="0.25">
      <c r="A115" s="95"/>
      <c r="B115" s="100">
        <v>2024</v>
      </c>
      <c r="C115" s="16" t="s">
        <v>28</v>
      </c>
      <c r="D115" s="2">
        <v>4637867.212157446</v>
      </c>
      <c r="E115" s="2">
        <v>7926902.68819548</v>
      </c>
      <c r="F115" s="2">
        <v>10082825.690708</v>
      </c>
      <c r="G115" s="2">
        <v>578874.10894440277</v>
      </c>
      <c r="H115" s="2">
        <v>-721769.18109118019</v>
      </c>
      <c r="I115" s="2">
        <v>22504700.518914144</v>
      </c>
      <c r="J115" s="2">
        <v>20.60843781617772</v>
      </c>
      <c r="K115" s="2">
        <v>35.223320041665474</v>
      </c>
      <c r="L115" s="2">
        <v>44.803198701683939</v>
      </c>
      <c r="M115" s="2">
        <v>2.5722364465942849</v>
      </c>
      <c r="N115" s="2">
        <v>-3.2071930061213969</v>
      </c>
      <c r="O115" s="2">
        <v>100.00000000000001</v>
      </c>
      <c r="P115" s="2">
        <v>6.9406449973162125</v>
      </c>
      <c r="Q115" s="2">
        <v>5.6275572311415374</v>
      </c>
      <c r="R115" s="2">
        <v>4.730625360911958</v>
      </c>
      <c r="S115" s="2">
        <v>4.7485883653952641</v>
      </c>
      <c r="T115" s="2">
        <v>18.441097490271673</v>
      </c>
      <c r="U115" s="12">
        <v>4.5891966764515502</v>
      </c>
      <c r="V115" s="2">
        <v>0.92377746413672268</v>
      </c>
      <c r="W115" s="2">
        <v>0.89852506953705569</v>
      </c>
      <c r="X115" s="2">
        <v>3.1268451516543769</v>
      </c>
      <c r="Y115" s="2">
        <v>0.11100456633789593</v>
      </c>
      <c r="Z115" s="2">
        <v>-0.47095557521452741</v>
      </c>
      <c r="AA115" s="39">
        <v>4.5891966764515235</v>
      </c>
      <c r="AB115" s="31">
        <v>2.8421709430404007E-14</v>
      </c>
      <c r="AD115" s="29">
        <v>2.8421709430404007E-14</v>
      </c>
    </row>
    <row r="116" spans="1:30" x14ac:dyDescent="0.25">
      <c r="A116" s="95"/>
      <c r="B116" s="100"/>
      <c r="C116" s="16" t="s">
        <v>29</v>
      </c>
      <c r="D116" s="2">
        <v>9829147.8107731063</v>
      </c>
      <c r="E116" s="2">
        <v>8170132.5559858456</v>
      </c>
      <c r="F116" s="2">
        <v>11257935.748535631</v>
      </c>
      <c r="G116" s="2">
        <v>629512.80840120709</v>
      </c>
      <c r="H116" s="2">
        <v>-591897.5790906162</v>
      </c>
      <c r="I116" s="2">
        <v>29294831.344605174</v>
      </c>
      <c r="J116" s="2">
        <v>33.552498374711433</v>
      </c>
      <c r="K116" s="2">
        <v>27.889331260787159</v>
      </c>
      <c r="L116" s="2">
        <v>38.429768091526668</v>
      </c>
      <c r="M116" s="2">
        <v>2.1488869520907339</v>
      </c>
      <c r="N116" s="2">
        <v>-2.0204846791159898</v>
      </c>
      <c r="O116" s="2">
        <v>100</v>
      </c>
      <c r="P116" s="2">
        <v>8.2734573197286636</v>
      </c>
      <c r="Q116" s="2">
        <v>6.7322610417370754</v>
      </c>
      <c r="R116" s="2">
        <v>6.8193390875879629</v>
      </c>
      <c r="S116" s="2">
        <v>-3.1931118438298114</v>
      </c>
      <c r="T116" s="2">
        <v>85.282147484424343</v>
      </c>
      <c r="U116" s="12">
        <v>7.0567666064378329</v>
      </c>
      <c r="V116" s="2">
        <v>2.5575059635305104</v>
      </c>
      <c r="W116" s="2">
        <v>1.7754650847058264</v>
      </c>
      <c r="X116" s="2">
        <v>3.9311333217156008</v>
      </c>
      <c r="Y116" s="2">
        <v>-8.612915622741478E-2</v>
      </c>
      <c r="Z116" s="2">
        <v>-1.1212086072866709</v>
      </c>
      <c r="AA116" s="39">
        <v>7.0567666064378516</v>
      </c>
      <c r="AB116" s="31">
        <v>0</v>
      </c>
      <c r="AD116" s="29">
        <v>0</v>
      </c>
    </row>
    <row r="117" spans="1:30" x14ac:dyDescent="0.25">
      <c r="A117" s="95"/>
      <c r="B117" s="100"/>
      <c r="C117" s="16" t="s">
        <v>30</v>
      </c>
      <c r="D117" s="2">
        <v>4160666.402061413</v>
      </c>
      <c r="E117" s="2">
        <v>9348006.1265569031</v>
      </c>
      <c r="F117" s="2">
        <v>11396128.372945715</v>
      </c>
      <c r="G117" s="2">
        <v>713650.81880114798</v>
      </c>
      <c r="H117" s="2">
        <v>-619686.78239081881</v>
      </c>
      <c r="I117" s="2">
        <v>24998764.937974364</v>
      </c>
      <c r="J117" s="2">
        <v>16.64348783783776</v>
      </c>
      <c r="K117" s="2">
        <v>37.393871856272462</v>
      </c>
      <c r="L117" s="2">
        <v>45.586765591104985</v>
      </c>
      <c r="M117" s="2">
        <v>2.8547443066560341</v>
      </c>
      <c r="N117" s="2">
        <v>-2.478869591871252</v>
      </c>
      <c r="O117" s="2">
        <v>99.999999999999972</v>
      </c>
      <c r="P117" s="2">
        <v>4.6569998890657445</v>
      </c>
      <c r="Q117" s="2">
        <v>4.6093589884840185</v>
      </c>
      <c r="R117" s="2">
        <v>3.7369634573148716</v>
      </c>
      <c r="S117" s="2">
        <v>-6.4612218755502937</v>
      </c>
      <c r="T117" s="2">
        <v>-21.599403900566443</v>
      </c>
      <c r="U117" s="12">
        <v>4.6137440134466488</v>
      </c>
      <c r="V117" s="2">
        <v>0.58784951320192724</v>
      </c>
      <c r="W117" s="2">
        <v>1.4533115853617244</v>
      </c>
      <c r="X117" s="2">
        <v>2.0929498595039737</v>
      </c>
      <c r="Y117" s="2">
        <v>-0.19649407400565155</v>
      </c>
      <c r="Z117" s="2">
        <v>0.67612712938467523</v>
      </c>
      <c r="AA117" s="39">
        <v>4.6137440134466488</v>
      </c>
      <c r="AB117" s="31">
        <v>-1.3322676295501878E-14</v>
      </c>
      <c r="AD117" s="29">
        <v>-1.3322676295501878E-14</v>
      </c>
    </row>
    <row r="118" spans="1:30" x14ac:dyDescent="0.25">
      <c r="A118" s="95"/>
      <c r="B118" s="101"/>
      <c r="C118" s="28" t="s">
        <v>31</v>
      </c>
      <c r="D118" s="20">
        <v>3789486.1217299299</v>
      </c>
      <c r="E118" s="20">
        <v>9798313.2135363873</v>
      </c>
      <c r="F118" s="20">
        <v>13659915.75724869</v>
      </c>
      <c r="G118" s="20">
        <v>698074.05681771308</v>
      </c>
      <c r="H118" s="20">
        <v>-732998.14224529499</v>
      </c>
      <c r="I118" s="20">
        <v>27212791.007087424</v>
      </c>
      <c r="J118" s="20">
        <v>13.925385752394817</v>
      </c>
      <c r="K118" s="20">
        <v>36.006278117464944</v>
      </c>
      <c r="L118" s="20">
        <v>50.196673151574345</v>
      </c>
      <c r="M118" s="20">
        <v>2.5652424135249614</v>
      </c>
      <c r="N118" s="20">
        <v>-2.6935794349590587</v>
      </c>
      <c r="O118" s="20">
        <v>100</v>
      </c>
      <c r="P118" s="20">
        <v>-0.96537154388775548</v>
      </c>
      <c r="Q118" s="20">
        <v>2.8819198082850477</v>
      </c>
      <c r="R118" s="20">
        <v>2.2696641200403036</v>
      </c>
      <c r="S118" s="20">
        <v>-11.693181245089519</v>
      </c>
      <c r="T118" s="20">
        <v>-38.321995486730451</v>
      </c>
      <c r="U118" s="40">
        <v>3.2927220057372324</v>
      </c>
      <c r="V118" s="20">
        <v>-2.4651458729507136E-3</v>
      </c>
      <c r="W118" s="20">
        <v>0.59104591154779995</v>
      </c>
      <c r="X118" s="20">
        <v>1.7473899554111765</v>
      </c>
      <c r="Y118" s="20">
        <v>-0.24510146714168646</v>
      </c>
      <c r="Z118" s="20">
        <v>1.2018527517929152</v>
      </c>
      <c r="AA118" s="41">
        <v>3.2927220057372542</v>
      </c>
      <c r="AB118" s="31">
        <v>0</v>
      </c>
      <c r="AD118" s="29">
        <v>0</v>
      </c>
    </row>
    <row r="119" spans="1:30" x14ac:dyDescent="0.25">
      <c r="A119" s="95"/>
      <c r="B119" s="60"/>
      <c r="C119" s="83" t="s">
        <v>51</v>
      </c>
      <c r="D119" s="35">
        <v>32625275.048265766</v>
      </c>
      <c r="E119" s="35">
        <v>35181730.845284611</v>
      </c>
      <c r="F119" s="35">
        <v>59654788.742200255</v>
      </c>
      <c r="G119" s="35">
        <v>2998084.8374792105</v>
      </c>
      <c r="H119" s="35">
        <v>-2157857.6300483798</v>
      </c>
      <c r="I119" s="35">
        <v>128302021.84318146</v>
      </c>
      <c r="J119" s="35">
        <v>25.428496433316038</v>
      </c>
      <c r="K119" s="35">
        <v>27.421026060123872</v>
      </c>
      <c r="L119" s="35">
        <v>46.495595225392449</v>
      </c>
      <c r="M119" s="35">
        <v>2.3367401342619933</v>
      </c>
      <c r="N119" s="35">
        <v>-1.6818578530943533</v>
      </c>
      <c r="O119" s="34">
        <v>99.999999999999986</v>
      </c>
      <c r="P119" s="34">
        <v>3.3307499856807254</v>
      </c>
      <c r="Q119" s="34">
        <v>7.9262413370258855E-2</v>
      </c>
      <c r="R119" s="34">
        <v>3.8248238551985594</v>
      </c>
      <c r="S119" s="34">
        <v>-9.6016457182175969</v>
      </c>
      <c r="T119" s="34">
        <v>-36.064541426703848</v>
      </c>
      <c r="U119" s="87">
        <v>3.1335354244999678</v>
      </c>
      <c r="V119" s="34">
        <v>0.71786558585618077</v>
      </c>
      <c r="W119" s="34">
        <v>2.6857457204514684E-2</v>
      </c>
      <c r="X119" s="34">
        <v>1.7061604919812834</v>
      </c>
      <c r="Y119" s="34">
        <v>-0.24187214755861064</v>
      </c>
      <c r="Z119" s="34">
        <v>0.92452403701659669</v>
      </c>
      <c r="AA119" s="88">
        <v>3.1335354244999651</v>
      </c>
      <c r="AB119" s="31">
        <v>0</v>
      </c>
      <c r="AD119" s="29">
        <v>-1.9897696970008427E-2</v>
      </c>
    </row>
    <row r="120" spans="1:30" x14ac:dyDescent="0.25">
      <c r="A120" s="95"/>
      <c r="B120" s="100">
        <v>2025</v>
      </c>
      <c r="C120" s="16" t="s">
        <v>28</v>
      </c>
      <c r="D120" s="2">
        <v>7009204.2669484112</v>
      </c>
      <c r="E120" s="2">
        <v>8463761.0233401936</v>
      </c>
      <c r="F120" s="2">
        <v>13536857.66281984</v>
      </c>
      <c r="G120" s="2">
        <v>741956.34534883394</v>
      </c>
      <c r="H120" s="2">
        <v>-646648.25452412863</v>
      </c>
      <c r="I120" s="2">
        <v>29105131.043933149</v>
      </c>
      <c r="J120" s="2">
        <v>24.082366289188904</v>
      </c>
      <c r="K120" s="2">
        <v>29.07996191655846</v>
      </c>
      <c r="L120" s="2">
        <v>46.510210321288156</v>
      </c>
      <c r="M120" s="2">
        <v>2.5492286711538164</v>
      </c>
      <c r="N120" s="2">
        <v>-2.2217671981893377</v>
      </c>
      <c r="O120" s="2">
        <v>100</v>
      </c>
      <c r="P120" s="2">
        <v>3.7552718879954767</v>
      </c>
      <c r="Q120" s="2">
        <v>1.0288964062889079</v>
      </c>
      <c r="R120" s="2">
        <v>4.7173406362807953</v>
      </c>
      <c r="S120" s="2">
        <v>-2.3352256766686139</v>
      </c>
      <c r="T120" s="2">
        <v>-31.332993381670548</v>
      </c>
      <c r="U120" s="12">
        <v>4.3489423632096873</v>
      </c>
      <c r="V120" s="2">
        <v>0.52120305244546705</v>
      </c>
      <c r="W120" s="2">
        <v>0.54622716393393378</v>
      </c>
      <c r="X120" s="2">
        <v>2.5652575175442447</v>
      </c>
      <c r="Y120" s="2">
        <v>-4.5988515987593105E-2</v>
      </c>
      <c r="Z120" s="2">
        <v>0.76224314527356907</v>
      </c>
      <c r="AA120" s="39">
        <v>4.3489423632096216</v>
      </c>
      <c r="AB120" s="31">
        <v>4.4408920985006262E-14</v>
      </c>
      <c r="AD120" s="29">
        <v>4.4408920985006262E-14</v>
      </c>
    </row>
    <row r="121" spans="1:30" x14ac:dyDescent="0.25">
      <c r="A121" s="95"/>
      <c r="B121" s="100"/>
      <c r="C121" s="16" t="s">
        <v>29</v>
      </c>
      <c r="D121" s="2">
        <v>14842082.768601043</v>
      </c>
      <c r="E121" s="2">
        <v>7815826.8641462019</v>
      </c>
      <c r="F121" s="2">
        <v>14564446.098023234</v>
      </c>
      <c r="G121" s="2">
        <v>632985.27955181547</v>
      </c>
      <c r="H121" s="2">
        <v>-466329.70504508674</v>
      </c>
      <c r="I121" s="2">
        <v>37389011.305277206</v>
      </c>
      <c r="J121" s="2">
        <v>39.696376690512231</v>
      </c>
      <c r="K121" s="2">
        <v>20.90407473022174</v>
      </c>
      <c r="L121" s="2">
        <v>38.953814475344423</v>
      </c>
      <c r="M121" s="2">
        <v>1.6929714305188752</v>
      </c>
      <c r="N121" s="2">
        <v>-1.2472373265972601</v>
      </c>
      <c r="O121" s="2">
        <v>100.00000000000001</v>
      </c>
      <c r="P121" s="2">
        <v>4.1236027937850963</v>
      </c>
      <c r="Q121" s="2">
        <v>-2.9477700691651449</v>
      </c>
      <c r="R121" s="2">
        <v>1.4818842049265868</v>
      </c>
      <c r="S121" s="2">
        <v>-25.314050430053527</v>
      </c>
      <c r="T121" s="2">
        <v>-41.138879892664193</v>
      </c>
      <c r="U121" s="12">
        <v>1.5467542612716727</v>
      </c>
      <c r="V121" s="2">
        <v>0.50829882293181183</v>
      </c>
      <c r="W121" s="2">
        <v>-0.12635399296516592</v>
      </c>
      <c r="X121" s="2">
        <v>1.0102832763908864</v>
      </c>
      <c r="Y121" s="2">
        <v>-0.29944666546897492</v>
      </c>
      <c r="Z121" s="2">
        <v>0.45397282038310799</v>
      </c>
      <c r="AA121" s="39">
        <v>1.5467542612716654</v>
      </c>
      <c r="AB121" s="31">
        <v>1.0658141036401503E-14</v>
      </c>
      <c r="AD121" s="29">
        <v>1.0658141036401503E-14</v>
      </c>
    </row>
    <row r="122" spans="1:30" x14ac:dyDescent="0.25">
      <c r="A122" s="95"/>
      <c r="B122" s="100"/>
      <c r="C122" s="16" t="s">
        <v>30</v>
      </c>
      <c r="D122" s="2">
        <v>5857563.1833065087</v>
      </c>
      <c r="E122" s="2">
        <v>9283706.9021357317</v>
      </c>
      <c r="F122" s="2">
        <v>14570583.403574925</v>
      </c>
      <c r="G122" s="2">
        <v>711127.92142116779</v>
      </c>
      <c r="H122" s="2">
        <v>-574199.68535816064</v>
      </c>
      <c r="I122" s="2">
        <v>29848781.725080173</v>
      </c>
      <c r="J122" s="2">
        <v>19.624128171317434</v>
      </c>
      <c r="K122" s="2">
        <v>31.102465044109923</v>
      </c>
      <c r="L122" s="2">
        <v>48.814667003082818</v>
      </c>
      <c r="M122" s="2">
        <v>2.382435330094725</v>
      </c>
      <c r="N122" s="2">
        <v>-1.9236955486049017</v>
      </c>
      <c r="O122" s="2">
        <v>100</v>
      </c>
      <c r="P122" s="2">
        <v>1.2429099696856838</v>
      </c>
      <c r="Q122" s="2">
        <v>-1.108836440862575</v>
      </c>
      <c r="R122" s="2">
        <v>4.6481820534598484</v>
      </c>
      <c r="S122" s="2">
        <v>-20.401196815756222</v>
      </c>
      <c r="T122" s="2">
        <v>-25.563457037184207</v>
      </c>
      <c r="U122" s="12">
        <v>1.7147757792437659</v>
      </c>
      <c r="V122" s="2">
        <v>8.617636595121396E-2</v>
      </c>
      <c r="W122" s="2">
        <v>0.16072409797710277</v>
      </c>
      <c r="X122" s="2">
        <v>1.4472135409553493</v>
      </c>
      <c r="Y122" s="2">
        <v>-0.25494487377376385</v>
      </c>
      <c r="Z122" s="2">
        <v>0.27560664813386176</v>
      </c>
      <c r="AA122" s="39">
        <v>1.7147757792437639</v>
      </c>
      <c r="AB122" s="31">
        <v>0</v>
      </c>
      <c r="AD122" s="29">
        <v>0</v>
      </c>
    </row>
    <row r="123" spans="1:30" x14ac:dyDescent="0.25">
      <c r="A123" s="95"/>
      <c r="B123" s="101"/>
      <c r="C123" s="28" t="s">
        <v>31</v>
      </c>
      <c r="D123" s="20">
        <v>4916424.829409807</v>
      </c>
      <c r="E123" s="20">
        <v>9618436.0556624793</v>
      </c>
      <c r="F123" s="20">
        <v>16982901.577782258</v>
      </c>
      <c r="G123" s="20">
        <v>912015.29115739325</v>
      </c>
      <c r="H123" s="20">
        <v>-470679.98512100388</v>
      </c>
      <c r="I123" s="20">
        <v>31959097.768890936</v>
      </c>
      <c r="J123" s="20">
        <v>15.383490688512074</v>
      </c>
      <c r="K123" s="20">
        <v>30.096081326254108</v>
      </c>
      <c r="L123" s="20">
        <v>53.139490046284898</v>
      </c>
      <c r="M123" s="20">
        <v>2.8536953632187676</v>
      </c>
      <c r="N123" s="20">
        <v>-1.4727574242698582</v>
      </c>
      <c r="O123" s="20">
        <v>99.999999999999986</v>
      </c>
      <c r="P123" s="20">
        <v>2.7055624943852052</v>
      </c>
      <c r="Q123" s="20">
        <v>3.0662615995107529</v>
      </c>
      <c r="R123" s="20">
        <v>4.3220367877726744</v>
      </c>
      <c r="S123" s="20">
        <v>8.0062900031236524</v>
      </c>
      <c r="T123" s="20">
        <v>-46.643248824548323</v>
      </c>
      <c r="U123" s="40">
        <v>5.1319229676380047</v>
      </c>
      <c r="V123" s="20">
        <v>0.27830388114411297</v>
      </c>
      <c r="W123" s="20">
        <v>1.0397518050553936</v>
      </c>
      <c r="X123" s="20">
        <v>2.6631862831877511</v>
      </c>
      <c r="Y123" s="20">
        <v>0.16233929427780938</v>
      </c>
      <c r="Z123" s="20">
        <v>0.9883417039729262</v>
      </c>
      <c r="AA123" s="41">
        <v>5.1319229676379932</v>
      </c>
      <c r="AB123" s="31">
        <v>0</v>
      </c>
      <c r="AD123" s="29">
        <v>0</v>
      </c>
    </row>
    <row r="124" spans="1:30" x14ac:dyDescent="0.25">
      <c r="A124" s="95"/>
      <c r="B124" s="60"/>
      <c r="C124" s="83" t="s">
        <v>51</v>
      </c>
      <c r="D124" s="35">
        <v>7976048.2093389928</v>
      </c>
      <c r="E124" s="35">
        <v>9608699.6589875668</v>
      </c>
      <c r="F124" s="35">
        <v>16130332.198822001</v>
      </c>
      <c r="G124" s="35">
        <v>721398.66688568331</v>
      </c>
      <c r="H124" s="35">
        <v>-419348.06139361113</v>
      </c>
      <c r="I124" s="35">
        <v>34017130.672640629</v>
      </c>
      <c r="J124" s="35">
        <v>23.447151631028028</v>
      </c>
      <c r="K124" s="35">
        <v>28.246649464517219</v>
      </c>
      <c r="L124" s="35">
        <v>47.418262151649785</v>
      </c>
      <c r="M124" s="35">
        <v>2.1206922883295722</v>
      </c>
      <c r="N124" s="35">
        <v>-1.2327555355245916</v>
      </c>
      <c r="O124" s="34">
        <v>100.00000000000003</v>
      </c>
      <c r="P124" s="34"/>
      <c r="Q124" s="34"/>
      <c r="R124" s="34"/>
      <c r="S124" s="34"/>
      <c r="T124" s="34"/>
      <c r="U124" s="87"/>
      <c r="V124" s="34"/>
      <c r="W124" s="34"/>
      <c r="X124" s="34"/>
      <c r="Y124" s="34"/>
      <c r="Z124" s="34"/>
      <c r="AA124" s="88"/>
      <c r="AB124" s="31">
        <v>0</v>
      </c>
      <c r="AD124" s="29">
        <v>-1.9897696970008427E-2</v>
      </c>
    </row>
    <row r="125" spans="1:30" x14ac:dyDescent="0.25">
      <c r="A125" s="95"/>
      <c r="B125" s="100">
        <v>2026</v>
      </c>
      <c r="C125" s="16" t="s">
        <v>28</v>
      </c>
      <c r="D125" s="2">
        <v>7976048.2093389928</v>
      </c>
      <c r="E125" s="2">
        <v>9608699.6589875668</v>
      </c>
      <c r="F125" s="2">
        <v>16130332.198822001</v>
      </c>
      <c r="G125" s="2">
        <v>721398.66688568331</v>
      </c>
      <c r="H125" s="2">
        <v>-419348.06139361113</v>
      </c>
      <c r="I125" s="2">
        <v>34017130.672640629</v>
      </c>
      <c r="J125" s="2">
        <v>23.447151631028028</v>
      </c>
      <c r="K125" s="2">
        <v>28.246649464517219</v>
      </c>
      <c r="L125" s="2">
        <v>47.418262151649785</v>
      </c>
      <c r="M125" s="2">
        <v>2.1206922883295722</v>
      </c>
      <c r="N125" s="2">
        <v>-1.2327555355245916</v>
      </c>
      <c r="O125" s="2">
        <v>100.00000000000003</v>
      </c>
      <c r="P125" s="2">
        <v>2.3079212872114709</v>
      </c>
      <c r="Q125" s="2">
        <v>1.7481620023882982</v>
      </c>
      <c r="R125" s="2">
        <v>3.5886202274250962</v>
      </c>
      <c r="S125" s="2">
        <v>-13.746692686535056</v>
      </c>
      <c r="T125" s="2">
        <v>-42.252058966554685</v>
      </c>
      <c r="U125" s="12">
        <v>5.3245569463718994</v>
      </c>
      <c r="V125" s="2">
        <v>0.43712173198882392</v>
      </c>
      <c r="W125" s="2">
        <v>0.7942385531277566</v>
      </c>
      <c r="X125" s="2">
        <v>3.5230602771669965</v>
      </c>
      <c r="Y125" s="2">
        <v>-0.34150002689354175</v>
      </c>
      <c r="Z125" s="2">
        <v>0.91163641098186121</v>
      </c>
      <c r="AA125" s="39">
        <v>5.3245569463718976</v>
      </c>
      <c r="AB125" s="31">
        <v>4.4408920985006262E-14</v>
      </c>
      <c r="AD125" s="29">
        <v>4.4408920985006262E-14</v>
      </c>
    </row>
    <row r="126" spans="1:30" x14ac:dyDescent="0.25">
      <c r="A126" s="95"/>
      <c r="B126" s="100"/>
      <c r="C126" s="16" t="s">
        <v>29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2"/>
      <c r="V126" s="2"/>
      <c r="W126" s="2"/>
      <c r="X126" s="2"/>
      <c r="Y126" s="2"/>
      <c r="Z126" s="2"/>
      <c r="AA126" s="39"/>
      <c r="AB126" s="31">
        <v>1.0658141036401503E-14</v>
      </c>
      <c r="AD126" s="29">
        <v>1.0658141036401503E-14</v>
      </c>
    </row>
    <row r="127" spans="1:30" x14ac:dyDescent="0.25">
      <c r="A127" s="95"/>
      <c r="B127" s="100"/>
      <c r="C127" s="16" t="s">
        <v>30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2"/>
      <c r="V127" s="2"/>
      <c r="W127" s="2"/>
      <c r="X127" s="2"/>
      <c r="Y127" s="2"/>
      <c r="Z127" s="2"/>
      <c r="AA127" s="39"/>
      <c r="AB127" s="31">
        <v>0</v>
      </c>
      <c r="AD127" s="29">
        <v>0</v>
      </c>
    </row>
    <row r="128" spans="1:30" x14ac:dyDescent="0.25">
      <c r="A128" s="95"/>
      <c r="B128" s="101"/>
      <c r="C128" s="28" t="s">
        <v>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40"/>
      <c r="V128" s="20"/>
      <c r="W128" s="20"/>
      <c r="X128" s="20"/>
      <c r="Y128" s="20"/>
      <c r="Z128" s="20"/>
      <c r="AA128" s="41"/>
      <c r="AB128" s="31">
        <v>0</v>
      </c>
      <c r="AD128" s="29">
        <v>0</v>
      </c>
    </row>
    <row r="129" spans="4:4" x14ac:dyDescent="0.25">
      <c r="D129" s="4"/>
    </row>
  </sheetData>
  <mergeCells count="32">
    <mergeCell ref="B125:B128"/>
    <mergeCell ref="A1:A128"/>
    <mergeCell ref="B3:C3"/>
    <mergeCell ref="C1:AA1"/>
    <mergeCell ref="D2:I2"/>
    <mergeCell ref="J2:O2"/>
    <mergeCell ref="P2:U2"/>
    <mergeCell ref="V2:AA2"/>
    <mergeCell ref="B60:B63"/>
    <mergeCell ref="B5:B8"/>
    <mergeCell ref="B10:B13"/>
    <mergeCell ref="B15:B18"/>
    <mergeCell ref="B20:B23"/>
    <mergeCell ref="B25:B28"/>
    <mergeCell ref="B30:B33"/>
    <mergeCell ref="B35:B38"/>
    <mergeCell ref="B40:B43"/>
    <mergeCell ref="B45:B48"/>
    <mergeCell ref="B50:B53"/>
    <mergeCell ref="B55:B58"/>
    <mergeCell ref="B120:B123"/>
    <mergeCell ref="B65:B68"/>
    <mergeCell ref="B70:B73"/>
    <mergeCell ref="B75:B78"/>
    <mergeCell ref="B80:B83"/>
    <mergeCell ref="B85:B88"/>
    <mergeCell ref="B90:B93"/>
    <mergeCell ref="B95:B98"/>
    <mergeCell ref="B100:B103"/>
    <mergeCell ref="B105:B108"/>
    <mergeCell ref="B110:B113"/>
    <mergeCell ref="B115:B118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16</vt:i4>
      </vt:variant>
      <vt:variant>
        <vt:lpstr>Intervalos com Nome</vt:lpstr>
      </vt:variant>
      <vt:variant>
        <vt:i4>15</vt:i4>
      </vt:variant>
    </vt:vector>
  </HeadingPairs>
  <TitlesOfParts>
    <vt:vector size="31" baseType="lpstr">
      <vt:lpstr>Índice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'Q1'!Área_de_Impressão</vt:lpstr>
      <vt:lpstr>'Q10'!Área_de_Impressão</vt:lpstr>
      <vt:lpstr>'Q11'!Área_de_Impressão</vt:lpstr>
      <vt:lpstr>'Q12'!Área_de_Impressão</vt:lpstr>
      <vt:lpstr>'Q13'!Área_de_Impressão</vt:lpstr>
      <vt:lpstr>'Q14'!Área_de_Impressão</vt:lpstr>
      <vt:lpstr>'Q15'!Área_de_Impressão</vt:lpstr>
      <vt:lpstr>'Q2'!Área_de_Impressão</vt:lpstr>
      <vt:lpstr>'Q3'!Área_de_Impressão</vt:lpstr>
      <vt:lpstr>'Q4'!Área_de_Impressão</vt:lpstr>
      <vt:lpstr>'Q5'!Área_de_Impressão</vt:lpstr>
      <vt:lpstr>'Q6'!Área_de_Impressão</vt:lpstr>
      <vt:lpstr>'Q7'!Área_de_Impressão</vt:lpstr>
      <vt:lpstr>'Q8'!Área_de_Impressão</vt:lpstr>
      <vt:lpstr>'Q9'!Área_de_Impressão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Wilson Sila Fonseca Chimoco</cp:lastModifiedBy>
  <dcterms:created xsi:type="dcterms:W3CDTF">2025-05-22T14:25:59Z</dcterms:created>
  <dcterms:modified xsi:type="dcterms:W3CDTF">2026-05-29T07:40:14Z</dcterms:modified>
</cp:coreProperties>
</file>