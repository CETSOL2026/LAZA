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aogov-my.sharepoint.com/personal/cpedro_ine_gov_ao/Documents/Documentos/DES/IPCN/2026/Abril/"/>
    </mc:Choice>
  </mc:AlternateContent>
  <xr:revisionPtr revIDLastSave="0" documentId="8_{2FCF3D3E-64F0-4873-B6C5-05866C25CD3D}" xr6:coauthVersionLast="47" xr6:coauthVersionMax="47" xr10:uidLastSave="{00000000-0000-0000-0000-000000000000}"/>
  <bookViews>
    <workbookView xWindow="-108" yWindow="-108" windowWidth="23256" windowHeight="12456" tabRatio="844" firstSheet="1" activeTab="2" xr2:uid="{00000000-000D-0000-FFFF-FFFF00000000}"/>
  </bookViews>
  <sheets>
    <sheet name="IPC-Geral LKA" sheetId="9" r:id="rId1"/>
    <sheet name="QUAD_RESUM_GRAF_VH" sheetId="8" r:id="rId2"/>
    <sheet name="Classes VH_CH" sheetId="7" r:id="rId3"/>
    <sheet name="VAR HOMOL IPCN Prov_18" sheetId="11" r:id="rId4"/>
  </sheets>
  <externalReferences>
    <externalReference r:id="rId5"/>
  </externalReferences>
  <definedNames>
    <definedName name="_xlnm._FilterDatabase" localSheetId="3" hidden="1">'VAR HOMOL IPCN Prov_18'!$C$26:$E$26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8" l="1"/>
  <c r="N14" i="8"/>
  <c r="M23" i="8"/>
  <c r="L23" i="8" l="1"/>
  <c r="K23" i="8"/>
  <c r="J23" i="8"/>
  <c r="I23" i="8"/>
  <c r="H23" i="8"/>
  <c r="H78" i="9" l="1"/>
  <c r="G78" i="9"/>
  <c r="F78" i="9"/>
  <c r="H53" i="9"/>
  <c r="G53" i="9"/>
  <c r="F53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</calcChain>
</file>

<file path=xl/sharedStrings.xml><?xml version="1.0" encoding="utf-8"?>
<sst xmlns="http://schemas.openxmlformats.org/spreadsheetml/2006/main" count="267" uniqueCount="93">
  <si>
    <t>MOBILIARIO,EQUIP. DOMESTICO E MANUTENÇÃO</t>
  </si>
  <si>
    <t>SAUDE</t>
  </si>
  <si>
    <t>TRANSPORTES</t>
  </si>
  <si>
    <t>COMUNICAÇÕES</t>
  </si>
  <si>
    <t>LAZER, RECREAÇÃO E CULTURA</t>
  </si>
  <si>
    <t>ALIMENTAÇÃO E BEBIDAS NÃO ALCOÓLICAS</t>
  </si>
  <si>
    <t>BEBIDAS ALCOÓLICAS E TABACO</t>
  </si>
  <si>
    <t>VESTUÁRIO E CALÇADO</t>
  </si>
  <si>
    <t>HABITAÇÃO, AGUA, ELECTRICIDADE E COMBUSTíVEIS</t>
  </si>
  <si>
    <t>EDUCAÇÃO</t>
  </si>
  <si>
    <t>RESTAURANTES, HOTÉIS, CAFÉS E SIMILARES</t>
  </si>
  <si>
    <t>BENS E SERVIÇOS DIVERSOS</t>
  </si>
  <si>
    <t>Cont.pp</t>
  </si>
  <si>
    <t>VH%</t>
  </si>
  <si>
    <t>Total de Despesas</t>
  </si>
  <si>
    <t>Classes</t>
  </si>
  <si>
    <t>Participação</t>
  </si>
  <si>
    <t>Classes de Despesas</t>
  </si>
  <si>
    <t>Contribuição</t>
  </si>
  <si>
    <t xml:space="preserve">      Índice Geral</t>
  </si>
  <si>
    <t>01. Alimentação e bebidas não alcoólicas</t>
  </si>
  <si>
    <t>02. Bebidas alcoólicas e tabaco</t>
  </si>
  <si>
    <t>03. Vestuário e calçado</t>
  </si>
  <si>
    <t>04. Habitação, água, electricidade e combustíveis</t>
  </si>
  <si>
    <t>05. Mobiliário, equipamento doméstico e manutenção</t>
  </si>
  <si>
    <t>06. Saúde</t>
  </si>
  <si>
    <t>07. Transportes</t>
  </si>
  <si>
    <t>08. Comunicações</t>
  </si>
  <si>
    <t>09. Lazer, recreação e cultura</t>
  </si>
  <si>
    <t>10. Educação</t>
  </si>
  <si>
    <t>11. Hotéis, cafés e restaurantes</t>
  </si>
  <si>
    <t>12. Bens e serviços diversos</t>
  </si>
  <si>
    <t>Classes de Despesa</t>
  </si>
  <si>
    <t xml:space="preserve">     Índice Geral</t>
  </si>
  <si>
    <t>Variação</t>
  </si>
  <si>
    <t>Julho</t>
  </si>
  <si>
    <t xml:space="preserve">Janeiro </t>
  </si>
  <si>
    <t>Fevereiro</t>
  </si>
  <si>
    <t>Março</t>
  </si>
  <si>
    <t>Abril</t>
  </si>
  <si>
    <t>Maio</t>
  </si>
  <si>
    <t>Junho</t>
  </si>
  <si>
    <t>Agosto</t>
  </si>
  <si>
    <t>Setembro</t>
  </si>
  <si>
    <t>Outubro</t>
  </si>
  <si>
    <t>Novembro</t>
  </si>
  <si>
    <t>Dezembro</t>
  </si>
  <si>
    <t>Índice de Preços no Consumidor Nacional</t>
  </si>
  <si>
    <t>(Base: Dez. 2020 = 100)</t>
  </si>
  <si>
    <t>Mês</t>
  </si>
  <si>
    <t>Mensal</t>
  </si>
  <si>
    <t>Acumulada</t>
  </si>
  <si>
    <t>Homóloga</t>
  </si>
  <si>
    <t>Indice de Preços no Consumidor Nacional</t>
  </si>
  <si>
    <t xml:space="preserve"> (Dezembro 2014 = 100)</t>
  </si>
  <si>
    <t>Ano</t>
  </si>
  <si>
    <t>Meses</t>
  </si>
  <si>
    <t>Indice</t>
  </si>
  <si>
    <t>Janeiro</t>
  </si>
  <si>
    <t>%</t>
  </si>
  <si>
    <t>Ponto</t>
  </si>
  <si>
    <t>Variação Homóloga (%)</t>
  </si>
  <si>
    <t>DPA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</si>
  <si>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</si>
  <si>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</si>
  <si>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</si>
  <si>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</si>
  <si>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</si>
  <si>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</si>
  <si>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</si>
  <si>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</si>
  <si>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</si>
  <si>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</si>
  <si>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</si>
  <si>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</si>
  <si>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</si>
  <si>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</si>
  <si>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</si>
  <si>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Huila</t>
  </si>
  <si>
    <t>Cunene</t>
  </si>
  <si>
    <t>Lunda Sul</t>
  </si>
  <si>
    <t>Bengo</t>
  </si>
  <si>
    <t>ordem</t>
  </si>
  <si>
    <t>Provincia</t>
  </si>
  <si>
    <t>Indices</t>
  </si>
  <si>
    <t>Variação Homóloga</t>
  </si>
  <si>
    <t>249,17 </t>
  </si>
  <si>
    <t>256,03 </t>
  </si>
  <si>
    <t>Média anual</t>
  </si>
  <si>
    <t>-</t>
  </si>
  <si>
    <t>Variação Homóloga Abril 2025 a Abril 2026</t>
  </si>
  <si>
    <t>Contribuição e Participação do IPCN de Abrilde 2026 por Classes de Despesas</t>
  </si>
  <si>
    <t xml:space="preserve">Variação homóloga do IPCN de Abril de 2026 por Classes de Despesas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</si>
</sst>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z_-;\-* #,##0.00\ _K_z_-;_-* &quot;-&quot;??\ _K_z_-;_-@_-"/>
  </numFmts>
  <fonts count="2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indexed="8"/>
      <name val="Courier"/>
      <family val="3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sz val="8"/>
      <color rgb="FF000000"/>
      <name val="Calibri"/>
      <family val="2"/>
    </font>
    <font>
      <b/>
      <sz val="8"/>
      <color rgb="FF132314"/>
      <name val="Calibri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 Narrow"/>
      <family val="2"/>
    </font>
    <font>
      <b/>
      <sz val="10"/>
      <color indexed="61"/>
      <name val="Arial Narrow"/>
      <family val="2"/>
    </font>
    <font>
      <sz val="10"/>
      <name val="Arial Narrow"/>
      <family val="2"/>
    </font>
    <font>
      <sz val="10"/>
      <color rgb="FFC00000"/>
      <name val="Arial Narrow"/>
      <family val="2"/>
    </font>
    <font>
      <b/>
      <sz val="9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32314"/>
      <name val="Calibri"/>
      <family val="2"/>
    </font>
    <font>
      <b/>
      <sz val="8"/>
      <color rgb="FFFFFFFF"/>
      <name val="Calibri"/>
      <family val="2"/>
    </font>
    <font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CB9CA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ACB9CA"/>
      </right>
      <top style="medium">
        <color rgb="FFFFFFFF"/>
      </top>
      <bottom style="medium">
        <color rgb="FFFFFFFF"/>
      </bottom>
      <diagonal/>
    </border>
    <border>
      <left style="medium">
        <color rgb="FFACB9CA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ACB9CA"/>
      </left>
      <right style="medium">
        <color rgb="FFACB9CA"/>
      </right>
      <top/>
      <bottom/>
      <diagonal/>
    </border>
    <border>
      <left/>
      <right style="medium">
        <color rgb="FFACB9CA"/>
      </right>
      <top/>
      <bottom/>
      <diagonal/>
    </border>
    <border>
      <left style="medium">
        <color rgb="FFACB9CA"/>
      </left>
      <right style="medium">
        <color rgb="FFACB9CA"/>
      </right>
      <top/>
      <bottom style="medium">
        <color rgb="FFACB9CA"/>
      </bottom>
      <diagonal/>
    </border>
    <border>
      <left/>
      <right style="medium">
        <color rgb="FFACB9CA"/>
      </right>
      <top/>
      <bottom style="medium">
        <color rgb="FFACB9CA"/>
      </bottom>
      <diagonal/>
    </border>
    <border>
      <left style="medium">
        <color rgb="FFACB9CA"/>
      </left>
      <right style="medium">
        <color rgb="FFACB9CA"/>
      </right>
      <top style="medium">
        <color rgb="FFACB9CA"/>
      </top>
      <bottom style="medium">
        <color rgb="FFACB9CA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2" fillId="0" borderId="0"/>
    <xf numFmtId="43" fontId="4" fillId="0" borderId="0" applyFont="0" applyFill="0" applyBorder="0" applyAlignment="0" applyProtection="0"/>
  </cellStyleXfs>
  <cellXfs count="101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0" fillId="4" borderId="9" xfId="0" applyFill="1" applyBorder="1"/>
    <xf numFmtId="43" fontId="0" fillId="0" borderId="0" xfId="6" applyFont="1" applyBorder="1"/>
    <xf numFmtId="164" fontId="0" fillId="0" borderId="0" xfId="0" applyNumberFormat="1"/>
    <xf numFmtId="0" fontId="0" fillId="0" borderId="6" xfId="0" applyBorder="1"/>
    <xf numFmtId="43" fontId="0" fillId="0" borderId="6" xfId="6" applyFont="1" applyBorder="1"/>
    <xf numFmtId="164" fontId="0" fillId="0" borderId="6" xfId="0" applyNumberFormat="1" applyBorder="1"/>
    <xf numFmtId="0" fontId="6" fillId="5" borderId="0" xfId="0" applyFont="1" applyFill="1" applyAlignment="1">
      <alignment vertical="center"/>
    </xf>
    <xf numFmtId="0" fontId="1" fillId="2" borderId="9" xfId="0" applyFont="1" applyFill="1" applyBorder="1"/>
    <xf numFmtId="2" fontId="7" fillId="0" borderId="9" xfId="0" applyNumberFormat="1" applyFont="1" applyBorder="1"/>
    <xf numFmtId="0" fontId="7" fillId="0" borderId="9" xfId="0" applyFont="1" applyBorder="1"/>
    <xf numFmtId="0" fontId="7" fillId="7" borderId="9" xfId="0" applyFont="1" applyFill="1" applyBorder="1"/>
    <xf numFmtId="2" fontId="7" fillId="7" borderId="9" xfId="0" applyNumberFormat="1" applyFont="1" applyFill="1" applyBorder="1"/>
    <xf numFmtId="0" fontId="18" fillId="3" borderId="9" xfId="0" applyFont="1" applyFill="1" applyBorder="1" applyAlignment="1">
      <alignment vertical="center"/>
    </xf>
    <xf numFmtId="0" fontId="19" fillId="3" borderId="9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8" fillId="5" borderId="17" xfId="0" applyFont="1" applyFill="1" applyBorder="1" applyAlignment="1">
      <alignment vertical="center"/>
    </xf>
    <xf numFmtId="2" fontId="8" fillId="5" borderId="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5" borderId="0" xfId="0" applyFont="1" applyFill="1" applyAlignment="1">
      <alignment vertical="center"/>
    </xf>
    <xf numFmtId="0" fontId="6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5" xfId="0" applyFont="1" applyBorder="1"/>
    <xf numFmtId="0" fontId="15" fillId="0" borderId="14" xfId="0" applyFont="1" applyBorder="1"/>
    <xf numFmtId="17" fontId="14" fillId="0" borderId="10" xfId="0" applyNumberFormat="1" applyFont="1" applyBorder="1" applyAlignment="1">
      <alignment horizontal="left"/>
    </xf>
    <xf numFmtId="2" fontId="14" fillId="0" borderId="10" xfId="0" applyNumberFormat="1" applyFont="1" applyBorder="1"/>
    <xf numFmtId="0" fontId="14" fillId="0" borderId="16" xfId="0" applyFont="1" applyBorder="1" applyAlignment="1">
      <alignment horizontal="right"/>
    </xf>
    <xf numFmtId="0" fontId="14" fillId="0" borderId="11" xfId="0" applyFont="1" applyBorder="1"/>
    <xf numFmtId="17" fontId="14" fillId="0" borderId="12" xfId="0" applyNumberFormat="1" applyFont="1" applyBorder="1" applyAlignment="1">
      <alignment horizontal="left"/>
    </xf>
    <xf numFmtId="2" fontId="14" fillId="0" borderId="12" xfId="0" applyNumberFormat="1" applyFont="1" applyBorder="1"/>
    <xf numFmtId="0" fontId="2" fillId="0" borderId="17" xfId="0" applyFont="1" applyBorder="1"/>
    <xf numFmtId="0" fontId="14" fillId="0" borderId="13" xfId="0" applyFont="1" applyBorder="1"/>
    <xf numFmtId="17" fontId="14" fillId="0" borderId="0" xfId="0" applyNumberFormat="1" applyFont="1" applyAlignment="1">
      <alignment horizontal="left"/>
    </xf>
    <xf numFmtId="2" fontId="14" fillId="0" borderId="0" xfId="0" applyNumberFormat="1" applyFont="1"/>
    <xf numFmtId="0" fontId="2" fillId="0" borderId="15" xfId="0" applyFont="1" applyBorder="1"/>
    <xf numFmtId="0" fontId="14" fillId="0" borderId="14" xfId="0" applyFont="1" applyBorder="1"/>
    <xf numFmtId="2" fontId="14" fillId="0" borderId="0" xfId="0" applyNumberFormat="1" applyFont="1" applyAlignment="1">
      <alignment horizontal="right"/>
    </xf>
    <xf numFmtId="0" fontId="14" fillId="0" borderId="16" xfId="0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43" fontId="2" fillId="0" borderId="0" xfId="6" applyFont="1" applyFill="1"/>
    <xf numFmtId="2" fontId="2" fillId="0" borderId="10" xfId="0" applyNumberFormat="1" applyFont="1" applyBorder="1"/>
    <xf numFmtId="0" fontId="20" fillId="0" borderId="0" xfId="0" applyFont="1"/>
    <xf numFmtId="0" fontId="0" fillId="0" borderId="9" xfId="0" applyBorder="1"/>
    <xf numFmtId="2" fontId="2" fillId="0" borderId="9" xfId="0" applyNumberFormat="1" applyFont="1" applyBorder="1"/>
    <xf numFmtId="0" fontId="2" fillId="0" borderId="9" xfId="0" applyFont="1" applyBorder="1"/>
    <xf numFmtId="0" fontId="21" fillId="5" borderId="15" xfId="0" applyFont="1" applyFill="1" applyBorder="1" applyAlignment="1">
      <alignment vertical="center"/>
    </xf>
    <xf numFmtId="2" fontId="8" fillId="5" borderId="15" xfId="0" applyNumberFormat="1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vertical="center"/>
    </xf>
    <xf numFmtId="2" fontId="8" fillId="5" borderId="16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22" fillId="8" borderId="22" xfId="0" applyFont="1" applyFill="1" applyBorder="1" applyAlignment="1">
      <alignment horizontal="center" vertical="center"/>
    </xf>
    <xf numFmtId="0" fontId="22" fillId="8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vertical="center"/>
    </xf>
    <xf numFmtId="0" fontId="8" fillId="5" borderId="27" xfId="0" applyFont="1" applyFill="1" applyBorder="1" applyAlignment="1">
      <alignment horizontal="right" vertical="center"/>
    </xf>
    <xf numFmtId="0" fontId="23" fillId="0" borderId="27" xfId="0" applyFont="1" applyBorder="1" applyAlignment="1">
      <alignment horizontal="right" vertical="center"/>
    </xf>
    <xf numFmtId="43" fontId="8" fillId="5" borderId="27" xfId="6" applyFont="1" applyFill="1" applyBorder="1" applyAlignment="1">
      <alignment horizontal="right" vertical="center"/>
    </xf>
    <xf numFmtId="0" fontId="8" fillId="5" borderId="28" xfId="0" applyFont="1" applyFill="1" applyBorder="1" applyAlignment="1">
      <alignment vertical="center"/>
    </xf>
    <xf numFmtId="0" fontId="8" fillId="5" borderId="29" xfId="0" applyFont="1" applyFill="1" applyBorder="1" applyAlignment="1">
      <alignment horizontal="right" vertical="center"/>
    </xf>
    <xf numFmtId="0" fontId="23" fillId="0" borderId="29" xfId="0" applyFont="1" applyBorder="1" applyAlignment="1">
      <alignment horizontal="right" vertical="center"/>
    </xf>
    <xf numFmtId="43" fontId="8" fillId="5" borderId="29" xfId="6" applyFont="1" applyFill="1" applyBorder="1" applyAlignment="1">
      <alignment horizontal="right" vertical="center"/>
    </xf>
    <xf numFmtId="0" fontId="23" fillId="0" borderId="30" xfId="0" applyFont="1" applyBorder="1"/>
    <xf numFmtId="0" fontId="0" fillId="0" borderId="30" xfId="0" applyBorder="1" applyAlignment="1">
      <alignment horizontal="center"/>
    </xf>
    <xf numFmtId="2" fontId="23" fillId="0" borderId="30" xfId="0" applyNumberFormat="1" applyFont="1" applyBorder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readingOrder="1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4" xfId="0" applyFont="1" applyFill="1" applyBorder="1" applyAlignment="1">
      <alignment horizontal="center" vertical="center" wrapText="1"/>
    </xf>
    <xf numFmtId="0" fontId="22" fillId="8" borderId="20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164" fontId="2" fillId="0" borderId="0" xfId="0" applyNumberFormat="1" applyFont="1"/>
  </cellXfs>
  <cellStyles count="7">
    <cellStyle name="Normal" xfId="0" builtinId="0"/>
    <cellStyle name="Normal 2" xfId="5" xr:uid="{00000000-0005-0000-0000-000001000000}"/>
    <cellStyle name="Normal 2 2" xfId="3" xr:uid="{00000000-0005-0000-0000-000002000000}"/>
    <cellStyle name="Normal 3 2" xfId="2" xr:uid="{00000000-0005-0000-0000-000003000000}"/>
    <cellStyle name="Normal 4" xfId="4" xr:uid="{00000000-0005-0000-0000-000004000000}"/>
    <cellStyle name="Normal 5" xfId="1" xr:uid="{00000000-0005-0000-0000-000005000000}"/>
    <cellStyle name="Vírgula" xfId="6" builtinId="3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550643696228243E-2"/>
          <c:y val="6.5214674938148337E-2"/>
          <c:w val="0.92344937146014638"/>
          <c:h val="0.68112361168463809"/>
        </c:manualLayout>
      </c:layout>
      <c:lineChart>
        <c:grouping val="stacked"/>
        <c:varyColors val="0"/>
        <c:ser>
          <c:idx val="0"/>
          <c:order val="0"/>
          <c:spPr>
            <a:ln w="34925">
              <a:solidFill>
                <a:schemeClr val="tx2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'[1]IPC-Geral LKA'!$D$129:$D$141</c:f>
              <c:numCache>
                <c:formatCode>General</c:formatCode>
                <c:ptCount val="13"/>
                <c:pt idx="0">
                  <c:v>45755</c:v>
                </c:pt>
                <c:pt idx="1">
                  <c:v>45785</c:v>
                </c:pt>
                <c:pt idx="2">
                  <c:v>45816</c:v>
                </c:pt>
                <c:pt idx="3">
                  <c:v>45846</c:v>
                </c:pt>
                <c:pt idx="4">
                  <c:v>45877</c:v>
                </c:pt>
                <c:pt idx="5">
                  <c:v>45908</c:v>
                </c:pt>
                <c:pt idx="6">
                  <c:v>45938</c:v>
                </c:pt>
                <c:pt idx="7">
                  <c:v>45969</c:v>
                </c:pt>
                <c:pt idx="8">
                  <c:v>45999</c:v>
                </c:pt>
                <c:pt idx="9">
                  <c:v>46030</c:v>
                </c:pt>
                <c:pt idx="10">
                  <c:v>46061</c:v>
                </c:pt>
                <c:pt idx="11">
                  <c:v>46089</c:v>
                </c:pt>
                <c:pt idx="12">
                  <c:v>46120</c:v>
                </c:pt>
              </c:numCache>
            </c:numRef>
          </c:cat>
          <c:val>
            <c:numRef>
              <c:f>'[1]IPC-Geral LKA'!$H$129:$H$141</c:f>
              <c:numCache>
                <c:formatCode>General</c:formatCode>
                <c:ptCount val="13"/>
                <c:pt idx="0">
                  <c:v>22.31766051758764</c:v>
                </c:pt>
                <c:pt idx="1">
                  <c:v>20.736736268168215</c:v>
                </c:pt>
                <c:pt idx="2">
                  <c:v>19.728667898425101</c:v>
                </c:pt>
                <c:pt idx="3">
                  <c:v>19.483457409176992</c:v>
                </c:pt>
                <c:pt idx="4">
                  <c:v>18.878279219689702</c:v>
                </c:pt>
                <c:pt idx="5">
                  <c:v>18.157560003273176</c:v>
                </c:pt>
                <c:pt idx="6">
                  <c:v>17.430776962368412</c:v>
                </c:pt>
                <c:pt idx="7">
                  <c:v>16.558780988471767</c:v>
                </c:pt>
                <c:pt idx="8">
                  <c:v>15.697220310523321</c:v>
                </c:pt>
                <c:pt idx="9">
                  <c:v>14.564960080128799</c:v>
                </c:pt>
                <c:pt idx="10">
                  <c:v>13.350535116300975</c:v>
                </c:pt>
                <c:pt idx="11">
                  <c:v>12.420449132207082</c:v>
                </c:pt>
                <c:pt idx="12">
                  <c:v>11.578283828266223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0B-4E19-882A-D349BDB86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14368"/>
        <c:axId val="463212192"/>
      </c:lineChart>
      <c:catAx>
        <c:axId val="46321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PT"/>
                  <a:t>Meses</a:t>
                </a:r>
              </a:p>
            </c:rich>
          </c:tx>
          <c:layout>
            <c:manualLayout>
              <c:xMode val="edge"/>
              <c:yMode val="edge"/>
              <c:x val="0.46097870371507776"/>
              <c:y val="0.862014214515320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AO"/>
          </a:p>
        </c:txPr>
        <c:crossAx val="463212192"/>
        <c:crossesAt val="3"/>
        <c:auto val="0"/>
        <c:lblAlgn val="ctr"/>
        <c:lblOffset val="100"/>
        <c:noMultiLvlLbl val="0"/>
      </c:catAx>
      <c:valAx>
        <c:axId val="463212192"/>
        <c:scaling>
          <c:orientation val="minMax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PT"/>
                  <a:t>Percentagem</a:t>
                </a:r>
              </a:p>
            </c:rich>
          </c:tx>
          <c:layout>
            <c:manualLayout>
              <c:xMode val="edge"/>
              <c:yMode val="edge"/>
              <c:x val="1.2411053922471859E-2"/>
              <c:y val="0.2840005111720585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AO"/>
          </a:p>
        </c:txPr>
        <c:crossAx val="463214368"/>
        <c:crosses val="autoZero"/>
        <c:crossBetween val="between"/>
        <c:majorUnit val="4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ysClr val="windowText" lastClr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A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658792650919"/>
          <c:y val="7.3954272184602599E-2"/>
          <c:w val="0.73145002527679404"/>
          <c:h val="0.76229790176128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'Classes VH_CH'!$C$2</c:f>
              <c:strCache>
                <c:ptCount val="1"/>
                <c:pt idx="0">
                  <c:v>Classes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">
                    <a:srgbClr val="0070C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0070C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37-4DE4-9A81-E45454834A01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">
                    <a:schemeClr val="accent6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accent6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37-4DE4-9A81-E45454834A0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">
                    <a:srgbClr val="FFC00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FFC00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37-4DE4-9A81-E45454834A01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">
                    <a:schemeClr val="tx1">
                      <a:lumMod val="50000"/>
                      <a:lumOff val="50000"/>
                    </a:schemeClr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tx1">
                      <a:lumMod val="50000"/>
                      <a:lumOff val="50000"/>
                    </a:schemeClr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37-4DE4-9A81-E45454834A01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1000">
                    <a:srgbClr val="00B0F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00B0F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A37-4DE4-9A81-E45454834A01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1000">
                    <a:schemeClr val="accent2">
                      <a:lumMod val="40000"/>
                      <a:lumOff val="60000"/>
                    </a:schemeClr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accent2">
                      <a:lumMod val="40000"/>
                      <a:lumOff val="60000"/>
                    </a:schemeClr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A37-4DE4-9A81-E45454834A01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1000">
                    <a:srgbClr val="FFFF0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FFFF0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A37-4DE4-9A81-E45454834A01}"/>
              </c:ext>
            </c:extLst>
          </c:dPt>
          <c:dPt>
            <c:idx val="7"/>
            <c:invertIfNegative val="0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A37-4DE4-9A81-E45454834A01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1000">
                    <a:srgbClr val="92D05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92D05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A37-4DE4-9A81-E45454834A01}"/>
              </c:ext>
            </c:extLst>
          </c:dPt>
          <c:dPt>
            <c:idx val="9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A37-4DE4-9A81-E45454834A01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1000">
                    <a:schemeClr val="accent6">
                      <a:lumMod val="40000"/>
                      <a:lumOff val="60000"/>
                    </a:schemeClr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A37-4DE4-9A81-E45454834A01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1000">
                    <a:srgbClr val="FF000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FF000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A37-4DE4-9A81-E45454834A01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en-US" sz="5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endParaRPr lang="pt-A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'Classes VH_CH'!$B$4:$B$15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'Classes VH_CH'!$D$25:$D$36</c:f>
              <c:numCache>
                <c:formatCode>0.00</c:formatCode>
                <c:ptCount val="12"/>
                <c:pt idx="0">
                  <c:v>7.2746841566525093</c:v>
                </c:pt>
                <c:pt idx="1">
                  <c:v>0.14687797127421254</c:v>
                </c:pt>
                <c:pt idx="2">
                  <c:v>0.34821210697105553</c:v>
                </c:pt>
                <c:pt idx="3">
                  <c:v>0.57723666960200182</c:v>
                </c:pt>
                <c:pt idx="4">
                  <c:v>0.45866284003173113</c:v>
                </c:pt>
                <c:pt idx="5">
                  <c:v>0.53214387691338083</c:v>
                </c:pt>
                <c:pt idx="6">
                  <c:v>0.79114796689763056</c:v>
                </c:pt>
                <c:pt idx="7">
                  <c:v>0.14281042207861633</c:v>
                </c:pt>
                <c:pt idx="8">
                  <c:v>0.12750329414299078</c:v>
                </c:pt>
                <c:pt idx="9">
                  <c:v>0.25693532215520615</c:v>
                </c:pt>
                <c:pt idx="10">
                  <c:v>0.203894224417282</c:v>
                </c:pt>
                <c:pt idx="11">
                  <c:v>0.71817497712956413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37-4DE4-9A81-E4545483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581480592"/>
        <c:axId val="-1581469712"/>
      </c:barChart>
      <c:catAx>
        <c:axId val="-15814805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7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pt-PT"/>
                  <a:t>Classes</a:t>
                </a:r>
              </a:p>
            </c:rich>
          </c:tx>
          <c:layout>
            <c:manualLayout>
              <c:xMode val="edge"/>
              <c:yMode val="edge"/>
              <c:x val="0.44169685503092998"/>
              <c:y val="0.887211854423708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pt-AO"/>
          </a:p>
        </c:txPr>
        <c:crossAx val="-1581469712"/>
        <c:crosses val="autoZero"/>
        <c:auto val="0"/>
        <c:lblAlgn val="ctr"/>
        <c:lblOffset val="100"/>
        <c:noMultiLvlLbl val="0"/>
      </c:catAx>
      <c:valAx>
        <c:axId val="-1581469712"/>
        <c:scaling>
          <c:orientation val="minMax"/>
          <c:max val="14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7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pt-PT"/>
                  <a:t>Pontos Percentuais</a:t>
                </a:r>
              </a:p>
            </c:rich>
          </c:tx>
          <c:layout>
            <c:manualLayout>
              <c:xMode val="edge"/>
              <c:yMode val="edge"/>
              <c:x val="2.8268551236749099E-2"/>
              <c:y val="0.2464289995246659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pt-AO"/>
          </a:p>
        </c:txPr>
        <c:crossAx val="-1581480592"/>
        <c:crosses val="autoZero"/>
        <c:crossBetween val="between"/>
        <c:majorUnit val="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946819-5b52-4002-8df9-6ef11e58f93a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8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658792650919"/>
          <c:y val="7.3954272184602599E-2"/>
          <c:w val="0.73145002527679404"/>
          <c:h val="0.76229790176128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'Classes VH_CH'!$C$2</c:f>
              <c:strCache>
                <c:ptCount val="1"/>
                <c:pt idx="0">
                  <c:v>Classes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">
                    <a:srgbClr val="0070C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0070C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DE-4F64-AF85-BB91D68DF8B3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">
                    <a:schemeClr val="accent6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accent6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DE-4F64-AF85-BB91D68DF8B3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">
                    <a:srgbClr val="FFC00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FFC00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DE-4F64-AF85-BB91D68DF8B3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">
                    <a:schemeClr val="tx1">
                      <a:lumMod val="50000"/>
                      <a:lumOff val="50000"/>
                    </a:schemeClr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tx1">
                      <a:lumMod val="50000"/>
                      <a:lumOff val="50000"/>
                    </a:schemeClr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9DE-4F64-AF85-BB91D68DF8B3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1000">
                    <a:srgbClr val="00B0F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00B0F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9DE-4F64-AF85-BB91D68DF8B3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1000">
                    <a:schemeClr val="accent2">
                      <a:lumMod val="40000"/>
                      <a:lumOff val="60000"/>
                    </a:schemeClr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accent2">
                      <a:lumMod val="40000"/>
                      <a:lumOff val="60000"/>
                    </a:schemeClr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9DE-4F64-AF85-BB91D68DF8B3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1000">
                    <a:srgbClr val="FFFF0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FFFF0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9DE-4F64-AF85-BB91D68DF8B3}"/>
              </c:ext>
            </c:extLst>
          </c:dPt>
          <c:dPt>
            <c:idx val="7"/>
            <c:invertIfNegative val="0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9DE-4F64-AF85-BB91D68DF8B3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1000">
                    <a:srgbClr val="92D05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92D05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9DE-4F64-AF85-BB91D68DF8B3}"/>
              </c:ext>
            </c:extLst>
          </c:dPt>
          <c:dPt>
            <c:idx val="9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9DE-4F64-AF85-BB91D68DF8B3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1000">
                    <a:schemeClr val="accent6">
                      <a:lumMod val="40000"/>
                      <a:lumOff val="60000"/>
                    </a:schemeClr>
                  </a:gs>
                  <a:gs pos="50000">
                    <a:schemeClr val="bg1">
                      <a:lumMod val="100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9DE-4F64-AF85-BB91D68DF8B3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1000">
                    <a:srgbClr val="FF0000"/>
                  </a:gs>
                  <a:gs pos="50000">
                    <a:schemeClr val="bg1">
                      <a:lumMod val="100000"/>
                    </a:schemeClr>
                  </a:gs>
                  <a:gs pos="100000">
                    <a:srgbClr val="FF0000"/>
                  </a:gs>
                </a:gsLst>
                <a:lin ang="10800000" scaled="0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9DE-4F64-AF85-BB91D68DF8B3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en-US" sz="5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endParaRPr lang="pt-A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'Classes VH_CH'!$B$4:$B$15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'Classes VH_CH'!$D$44:$D$55</c:f>
              <c:numCache>
                <c:formatCode>0.00</c:formatCode>
                <c:ptCount val="12"/>
                <c:pt idx="0">
                  <c:v>11.95825636755616</c:v>
                </c:pt>
                <c:pt idx="1">
                  <c:v>9.6330073591696106</c:v>
                </c:pt>
                <c:pt idx="2">
                  <c:v>8.4718753068189443</c:v>
                </c:pt>
                <c:pt idx="3">
                  <c:v>15.166285513218568</c:v>
                </c:pt>
                <c:pt idx="4">
                  <c:v>10.377933151499548</c:v>
                </c:pt>
                <c:pt idx="5">
                  <c:v>12.279166187019342</c:v>
                </c:pt>
                <c:pt idx="6">
                  <c:v>16.452007984431049</c:v>
                </c:pt>
                <c:pt idx="7">
                  <c:v>6.5762143419808581</c:v>
                </c:pt>
                <c:pt idx="8">
                  <c:v>6.8042005177462102</c:v>
                </c:pt>
                <c:pt idx="9">
                  <c:v>13.401396797642789</c:v>
                </c:pt>
                <c:pt idx="10">
                  <c:v>6.6231651004399481</c:v>
                </c:pt>
                <c:pt idx="11">
                  <c:v>10.084408213321112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9DE-4F64-AF85-BB91D68DF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581480592"/>
        <c:axId val="-1581469712"/>
      </c:barChart>
      <c:catAx>
        <c:axId val="-15814805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7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pt-PT"/>
                  <a:t>Classes</a:t>
                </a:r>
              </a:p>
            </c:rich>
          </c:tx>
          <c:layout>
            <c:manualLayout>
              <c:xMode val="edge"/>
              <c:yMode val="edge"/>
              <c:x val="0.44169685503092998"/>
              <c:y val="0.887211854423708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pt-AO"/>
          </a:p>
        </c:txPr>
        <c:crossAx val="-1581469712"/>
        <c:crosses val="autoZero"/>
        <c:auto val="0"/>
        <c:lblAlgn val="ctr"/>
        <c:lblOffset val="100"/>
        <c:noMultiLvlLbl val="0"/>
      </c:catAx>
      <c:valAx>
        <c:axId val="-1581469712"/>
        <c:scaling>
          <c:orientation val="minMax"/>
          <c:max val="26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7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pt-PT"/>
                  <a:t>Pontos Percentuais</a:t>
                </a:r>
              </a:p>
            </c:rich>
          </c:tx>
          <c:layout>
            <c:manualLayout>
              <c:xMode val="edge"/>
              <c:yMode val="edge"/>
              <c:x val="2.8268551236749099E-2"/>
              <c:y val="0.2464289995246659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pt-AO"/>
          </a:p>
        </c:txPr>
        <c:crossAx val="-1581480592"/>
        <c:crosses val="autoZero"/>
        <c:crossBetween val="between"/>
        <c:majorUnit val="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946819-5b52-4002-8df9-6ef11e58f93a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8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54317972176729"/>
          <c:y val="6.4293891790993499E-2"/>
          <c:w val="0.78598128060734662"/>
          <c:h val="0.75504279997411006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rgbClr val="C4E5A6">
                    <a:lumMod val="26000"/>
                    <a:lumOff val="74000"/>
                  </a:srgbClr>
                </a:gs>
                <a:gs pos="100000">
                  <a:srgbClr val="92D05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A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'VAR HOMOL IPCN Prov_18'!$D$27:$D$44</c:f>
              <c:strCache>
                <c:ptCount val="18"/>
                <c:pt idx="0">
                  <c:v>Cabinda</c:v>
                </c:pt>
                <c:pt idx="1">
                  <c:v>Malanje</c:v>
                </c:pt>
                <c:pt idx="2">
                  <c:v>Lunda Sul</c:v>
                </c:pt>
                <c:pt idx="3">
                  <c:v>Moxico</c:v>
                </c:pt>
                <c:pt idx="4">
                  <c:v>Uíge</c:v>
                </c:pt>
                <c:pt idx="5">
                  <c:v>Bié</c:v>
                </c:pt>
                <c:pt idx="6">
                  <c:v>Bengo</c:v>
                </c:pt>
                <c:pt idx="7">
                  <c:v>Huila</c:v>
                </c:pt>
                <c:pt idx="8">
                  <c:v>Benguela</c:v>
                </c:pt>
                <c:pt idx="9">
                  <c:v>Cuanza Sul</c:v>
                </c:pt>
                <c:pt idx="10">
                  <c:v>Luanda</c:v>
                </c:pt>
                <c:pt idx="11">
                  <c:v>Cuando Cubango</c:v>
                </c:pt>
                <c:pt idx="12">
                  <c:v>Cuanza Norte</c:v>
                </c:pt>
                <c:pt idx="13">
                  <c:v>Zaire</c:v>
                </c:pt>
                <c:pt idx="14">
                  <c:v>Namibe</c:v>
                </c:pt>
                <c:pt idx="15">
                  <c:v>Lunda Norte</c:v>
                </c:pt>
                <c:pt idx="16">
                  <c:v>Huambo</c:v>
                </c:pt>
                <c:pt idx="17">
                  <c:v>Cunene</c:v>
                </c:pt>
              </c:strCache>
            </c:strRef>
          </c:cat>
          <c:val>
            <c:numRef>
              <c:f>'VAR HOMOL IPCN Prov_18'!$E$27:$E$44</c:f>
              <c:numCache>
                <c:formatCode>0.00</c:formatCode>
                <c:ptCount val="18"/>
                <c:pt idx="0">
                  <c:v>17.919213596141347</c:v>
                </c:pt>
                <c:pt idx="1">
                  <c:v>14.199683085588006</c:v>
                </c:pt>
                <c:pt idx="2">
                  <c:v>13.486664911015581</c:v>
                </c:pt>
                <c:pt idx="3">
                  <c:v>12.919361286711094</c:v>
                </c:pt>
                <c:pt idx="4">
                  <c:v>12.42539949499178</c:v>
                </c:pt>
                <c:pt idx="5">
                  <c:v>12.206196935352878</c:v>
                </c:pt>
                <c:pt idx="6">
                  <c:v>11.994667980467227</c:v>
                </c:pt>
                <c:pt idx="7">
                  <c:v>11.742636054681128</c:v>
                </c:pt>
                <c:pt idx="8">
                  <c:v>11.515616350846344</c:v>
                </c:pt>
                <c:pt idx="9">
                  <c:v>11.310036194589571</c:v>
                </c:pt>
                <c:pt idx="10">
                  <c:v>11.081509785655967</c:v>
                </c:pt>
                <c:pt idx="11">
                  <c:v>10.348541799677207</c:v>
                </c:pt>
                <c:pt idx="12">
                  <c:v>10.307704856064731</c:v>
                </c:pt>
                <c:pt idx="13">
                  <c:v>10.106744931434548</c:v>
                </c:pt>
                <c:pt idx="14">
                  <c:v>9.8286768394243893</c:v>
                </c:pt>
                <c:pt idx="15">
                  <c:v>9.2559611422768455</c:v>
                </c:pt>
                <c:pt idx="16">
                  <c:v>8.7778532649734444</c:v>
                </c:pt>
                <c:pt idx="17">
                  <c:v>8.559123774545327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C474-48B2-BE06-B83906113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999428832"/>
        <c:axId val="184863552"/>
        <c:axId val="0"/>
      </c:bar3DChart>
      <c:catAx>
        <c:axId val="199942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Provínciais</a:t>
                </a:r>
              </a:p>
            </c:rich>
          </c:tx>
          <c:layout>
            <c:manualLayout>
              <c:xMode val="edge"/>
              <c:yMode val="edge"/>
              <c:x val="0.41187639002062676"/>
              <c:y val="0.937212975172985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84863552"/>
        <c:crosses val="autoZero"/>
        <c:auto val="1"/>
        <c:lblAlgn val="ctr"/>
        <c:lblOffset val="100"/>
        <c:noMultiLvlLbl val="0"/>
      </c:catAx>
      <c:valAx>
        <c:axId val="184863552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b="1">
                    <a:solidFill>
                      <a:sysClr val="windowText" lastClr="000000"/>
                    </a:solidFill>
                  </a:rPr>
                  <a:t>Percentagem</a:t>
                </a:r>
                <a:endParaRPr lang="pt-AO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4.8484322853216522E-2"/>
              <c:y val="0.37654235834297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9994288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581025</xdr:colOff>
      <xdr:row>7</xdr:row>
      <xdr:rowOff>57150</xdr:rowOff>
    </xdr:from>
    <xdr:to>
      <xdr:col>27</xdr:col>
      <xdr:colOff>161926</xdr:colOff>
      <xdr:row>24</xdr:row>
      <xdr:rowOff>160762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16CA59-B893-4BCA-B6D1-22FE930B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21</xdr:row>
      <xdr:rowOff>6350</xdr:rowOff>
    </xdr:from>
    <xdr:to>
      <xdr:col>9</xdr:col>
      <xdr:colOff>139700</xdr:colOff>
      <xdr:row>36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39</xdr:row>
      <xdr:rowOff>9525</xdr:rowOff>
    </xdr:from>
    <xdr:to>
      <xdr:col>8</xdr:col>
      <xdr:colOff>590550</xdr:colOff>
      <xdr:row>55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E36A26-4E75-4D79-BA74-7B6CBD31E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554832</xdr:colOff>
      <xdr:row>4</xdr:row>
      <xdr:rowOff>126205</xdr:rowOff>
    </xdr:from>
    <xdr:to>
      <xdr:col>26</xdr:col>
      <xdr:colOff>142875</xdr:colOff>
      <xdr:row>27</xdr:row>
      <xdr:rowOff>130969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14829A-A410-D519-A966-D87E8435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asivi.tomas\Desktop\2026\IPC\ABRIL%202026\FINAL\INDICADORES%20ABRIL%202026\INDICADORES\QUADRO%20DE%20APOIO%20IPCN%20_ABRIL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-Geral LKA"/>
      <sheetName val="QUAD_RESUM_GRAF_VH"/>
      <sheetName val="VAR HOMOL IPCN Prov_18"/>
      <sheetName val="IPCN base2020_Calculo CONTRI_HO"/>
      <sheetName val="Calculo_VAR_ homóloga"/>
      <sheetName val="Classes VH_CH"/>
    </sheetNames>
    <sheetDataSet>
      <sheetData sheetId="0">
        <row r="129">
          <cell r="D129">
            <v>45755</v>
          </cell>
          <cell r="H129">
            <v>22.31766051758764</v>
          </cell>
        </row>
        <row r="130">
          <cell r="D130">
            <v>45785</v>
          </cell>
          <cell r="H130">
            <v>20.736736268168215</v>
          </cell>
        </row>
        <row r="131">
          <cell r="D131">
            <v>45816</v>
          </cell>
          <cell r="H131">
            <v>19.728667898425101</v>
          </cell>
        </row>
        <row r="132">
          <cell r="D132">
            <v>45846</v>
          </cell>
          <cell r="H132">
            <v>19.483457409176992</v>
          </cell>
        </row>
        <row r="133">
          <cell r="D133">
            <v>45877</v>
          </cell>
          <cell r="H133">
            <v>18.878279219689702</v>
          </cell>
        </row>
        <row r="134">
          <cell r="D134">
            <v>45908</v>
          </cell>
          <cell r="H134">
            <v>18.157560003273176</v>
          </cell>
        </row>
        <row r="135">
          <cell r="D135">
            <v>45938</v>
          </cell>
          <cell r="H135">
            <v>17.430776962368412</v>
          </cell>
        </row>
        <row r="136">
          <cell r="D136">
            <v>45969</v>
          </cell>
          <cell r="H136">
            <v>16.558780988471767</v>
          </cell>
        </row>
        <row r="137">
          <cell r="D137">
            <v>45999</v>
          </cell>
          <cell r="H137">
            <v>15.697220310523321</v>
          </cell>
        </row>
        <row r="138">
          <cell r="D138">
            <v>46030</v>
          </cell>
          <cell r="H138">
            <v>14.564960080128799</v>
          </cell>
        </row>
        <row r="139">
          <cell r="D139">
            <v>46061</v>
          </cell>
          <cell r="H139">
            <v>13.350535116300975</v>
          </cell>
        </row>
        <row r="140">
          <cell r="D140">
            <v>46089</v>
          </cell>
          <cell r="H140">
            <v>12.420449132207082</v>
          </cell>
        </row>
        <row r="141">
          <cell r="D141">
            <v>46120</v>
          </cell>
          <cell r="H141">
            <v>11.578283828266223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DA21-A62B-4EEC-8190-47B55CB0948F}">
  <dimension ref="A1:I149"/>
  <sheetViews>
    <sheetView showGridLines="0" workbookViewId="0">
      <pane xSplit="8" ySplit="4" topLeftCell="I130" activePane="bottomRight" state="frozen"/>
      <selection pane="topRight" activeCell="K1" sqref="K1"/>
      <selection pane="bottomLeft" activeCell="A5" sqref="A5"/>
      <selection pane="bottomRight" activeCell="F141" sqref="F141"/>
    </sheetView>
  </sheetViews>
  <sheetFormatPr defaultColWidth="9.109375" defaultRowHeight="13.2" x14ac:dyDescent="0.25"/>
  <cols>
    <col min="1" max="1" width="2.109375" style="2" customWidth="1"/>
    <col min="2" max="3" width="12" style="2" customWidth="1"/>
    <col min="4" max="4" width="9.109375" style="2"/>
    <col min="5" max="5" width="12.44140625" style="2" customWidth="1"/>
    <col min="6" max="6" width="10.88671875" style="2" customWidth="1"/>
    <col min="7" max="7" width="11.109375" style="2" customWidth="1"/>
    <col min="8" max="13" width="9.109375" style="2"/>
    <col min="14" max="14" width="10.44140625" style="2" customWidth="1"/>
    <col min="15" max="15" width="15.6640625" style="2" customWidth="1"/>
    <col min="16" max="16384" width="9.109375" style="2"/>
  </cols>
  <sheetData>
    <row r="1" spans="1:8" ht="19.5" customHeight="1" thickBot="1" x14ac:dyDescent="0.35">
      <c r="A1" s="24"/>
      <c r="B1" s="71" t="s">
        <v>53</v>
      </c>
      <c r="C1" s="71"/>
      <c r="D1" s="71"/>
      <c r="E1" s="71"/>
      <c r="F1" s="71"/>
      <c r="G1" s="71"/>
      <c r="H1" s="71"/>
    </row>
    <row r="2" spans="1:8" ht="19.5" customHeight="1" thickBot="1" x14ac:dyDescent="0.35">
      <c r="A2" s="24"/>
      <c r="B2" s="72" t="s">
        <v>54</v>
      </c>
      <c r="C2" s="73"/>
      <c r="D2" s="73"/>
      <c r="E2" s="73"/>
      <c r="F2" s="73"/>
      <c r="G2" s="73"/>
      <c r="H2" s="73"/>
    </row>
    <row r="3" spans="1:8" ht="20.100000000000001" customHeight="1" thickBot="1" x14ac:dyDescent="0.3">
      <c r="A3" s="25"/>
      <c r="B3" s="74" t="s">
        <v>55</v>
      </c>
      <c r="C3" s="76" t="s">
        <v>56</v>
      </c>
      <c r="D3" s="76" t="s">
        <v>56</v>
      </c>
      <c r="E3" s="78" t="s">
        <v>57</v>
      </c>
      <c r="F3" s="80" t="s">
        <v>34</v>
      </c>
      <c r="G3" s="81"/>
      <c r="H3" s="81"/>
    </row>
    <row r="4" spans="1:8" ht="48" customHeight="1" thickBot="1" x14ac:dyDescent="0.3">
      <c r="A4" s="25"/>
      <c r="B4" s="75"/>
      <c r="C4" s="77"/>
      <c r="D4" s="77"/>
      <c r="E4" s="79"/>
      <c r="F4" s="26" t="s">
        <v>50</v>
      </c>
      <c r="G4" s="27" t="s">
        <v>51</v>
      </c>
      <c r="H4" s="27" t="s">
        <v>52</v>
      </c>
    </row>
    <row r="5" spans="1:8" ht="13.8" x14ac:dyDescent="0.3">
      <c r="B5" s="28"/>
      <c r="C5" s="29" t="s">
        <v>46</v>
      </c>
      <c r="D5" s="30">
        <v>41974</v>
      </c>
      <c r="E5" s="31">
        <v>100</v>
      </c>
      <c r="F5" s="31"/>
      <c r="G5" s="31"/>
      <c r="H5" s="31"/>
    </row>
    <row r="6" spans="1:8" ht="13.8" x14ac:dyDescent="0.3">
      <c r="B6" s="32">
        <v>2015</v>
      </c>
      <c r="C6" s="33" t="s">
        <v>58</v>
      </c>
      <c r="D6" s="34">
        <v>42005</v>
      </c>
      <c r="E6" s="35">
        <v>100.53</v>
      </c>
      <c r="F6" s="35">
        <v>0.53</v>
      </c>
      <c r="G6" s="35">
        <v>0.53000000000000114</v>
      </c>
      <c r="H6" s="35"/>
    </row>
    <row r="7" spans="1:8" ht="13.8" x14ac:dyDescent="0.3">
      <c r="B7" s="36"/>
      <c r="C7" s="37" t="s">
        <v>37</v>
      </c>
      <c r="D7" s="38">
        <v>42036</v>
      </c>
      <c r="E7" s="39">
        <v>101.1673718124846</v>
      </c>
      <c r="F7" s="39">
        <v>0.63401155126290121</v>
      </c>
      <c r="G7" s="39">
        <v>1.1673718124846033</v>
      </c>
      <c r="H7" s="39"/>
    </row>
    <row r="8" spans="1:8" ht="13.8" x14ac:dyDescent="0.3">
      <c r="B8" s="36"/>
      <c r="C8" s="37" t="s">
        <v>38</v>
      </c>
      <c r="D8" s="38">
        <v>42064</v>
      </c>
      <c r="E8" s="39">
        <v>101.69773764569739</v>
      </c>
      <c r="F8" s="39">
        <v>0.52424593395173247</v>
      </c>
      <c r="G8" s="39">
        <v>1.6977376456973872</v>
      </c>
      <c r="H8" s="39"/>
    </row>
    <row r="9" spans="1:8" ht="13.8" x14ac:dyDescent="0.3">
      <c r="B9" s="36"/>
      <c r="C9" s="37" t="s">
        <v>39</v>
      </c>
      <c r="D9" s="38">
        <v>42095</v>
      </c>
      <c r="E9" s="39">
        <v>102.42211716362681</v>
      </c>
      <c r="F9" s="39">
        <v>0.71228675750198533</v>
      </c>
      <c r="G9" s="39">
        <v>2.4221171636268082</v>
      </c>
      <c r="H9" s="39"/>
    </row>
    <row r="10" spans="1:8" ht="13.8" x14ac:dyDescent="0.3">
      <c r="B10" s="36"/>
      <c r="C10" s="37" t="s">
        <v>40</v>
      </c>
      <c r="D10" s="38">
        <v>42125</v>
      </c>
      <c r="E10" s="39">
        <v>103.48189772652029</v>
      </c>
      <c r="F10" s="39">
        <v>1.0347184692544431</v>
      </c>
      <c r="G10" s="39">
        <v>3.4818977265202733</v>
      </c>
      <c r="H10" s="39"/>
    </row>
    <row r="11" spans="1:8" ht="13.8" x14ac:dyDescent="0.3">
      <c r="B11" s="36"/>
      <c r="C11" s="37" t="s">
        <v>41</v>
      </c>
      <c r="D11" s="38">
        <v>42156</v>
      </c>
      <c r="E11" s="39">
        <v>104.60062898722103</v>
      </c>
      <c r="F11" s="39">
        <v>1.0810888525230666</v>
      </c>
      <c r="G11" s="39">
        <v>4.6006289872210289</v>
      </c>
      <c r="H11" s="39"/>
    </row>
    <row r="12" spans="1:8" ht="13.8" x14ac:dyDescent="0.3">
      <c r="B12" s="36"/>
      <c r="C12" s="37" t="s">
        <v>35</v>
      </c>
      <c r="D12" s="38">
        <v>42186</v>
      </c>
      <c r="E12" s="39">
        <v>105.79388075004506</v>
      </c>
      <c r="F12" s="39">
        <v>1.1407692041410371</v>
      </c>
      <c r="G12" s="39">
        <v>5.793880750045048</v>
      </c>
      <c r="H12" s="39"/>
    </row>
    <row r="13" spans="1:8" ht="13.8" x14ac:dyDescent="0.3">
      <c r="B13" s="36"/>
      <c r="C13" s="37" t="s">
        <v>42</v>
      </c>
      <c r="D13" s="38">
        <v>42217</v>
      </c>
      <c r="E13" s="39">
        <v>106.85030696101495</v>
      </c>
      <c r="F13" s="39">
        <v>0.99857024194609778</v>
      </c>
      <c r="G13" s="39">
        <v>6.8503069610149367</v>
      </c>
      <c r="H13" s="39"/>
    </row>
    <row r="14" spans="1:8" ht="13.8" x14ac:dyDescent="0.3">
      <c r="B14" s="36"/>
      <c r="C14" s="37" t="s">
        <v>43</v>
      </c>
      <c r="D14" s="38">
        <v>42248</v>
      </c>
      <c r="E14" s="39">
        <v>108.00753529392698</v>
      </c>
      <c r="F14" s="39">
        <v>1.0830369755832692</v>
      </c>
      <c r="G14" s="39">
        <v>8.0075352939269635</v>
      </c>
      <c r="H14" s="39"/>
    </row>
    <row r="15" spans="1:8" ht="13.8" x14ac:dyDescent="0.3">
      <c r="B15" s="36"/>
      <c r="C15" s="37" t="s">
        <v>44</v>
      </c>
      <c r="D15" s="38">
        <v>42278</v>
      </c>
      <c r="E15" s="39">
        <v>109.26630050783602</v>
      </c>
      <c r="F15" s="39">
        <v>1.1654420318762959</v>
      </c>
      <c r="G15" s="39">
        <v>9.2663005078360072</v>
      </c>
      <c r="H15" s="39"/>
    </row>
    <row r="16" spans="1:8" ht="13.8" x14ac:dyDescent="0.3">
      <c r="B16" s="36"/>
      <c r="C16" s="37" t="s">
        <v>45</v>
      </c>
      <c r="D16" s="38">
        <v>42309</v>
      </c>
      <c r="E16" s="39">
        <v>110.56617541974705</v>
      </c>
      <c r="F16" s="39">
        <v>1.1896393543751458</v>
      </c>
      <c r="G16" s="39">
        <v>10.566175419747054</v>
      </c>
      <c r="H16" s="39"/>
    </row>
    <row r="17" spans="2:8" ht="13.8" x14ac:dyDescent="0.3">
      <c r="B17" s="40"/>
      <c r="C17" s="41" t="s">
        <v>46</v>
      </c>
      <c r="D17" s="30">
        <v>42339</v>
      </c>
      <c r="E17" s="31">
        <v>112.0942682565683</v>
      </c>
      <c r="F17" s="31">
        <v>1.3820617661957471</v>
      </c>
      <c r="G17" s="31">
        <v>12.094268256568299</v>
      </c>
      <c r="H17" s="31">
        <f>+E17/E5*100-100</f>
        <v>12.094268256568299</v>
      </c>
    </row>
    <row r="18" spans="2:8" ht="13.8" x14ac:dyDescent="0.3">
      <c r="B18" s="32">
        <v>2016</v>
      </c>
      <c r="C18" s="33" t="s">
        <v>58</v>
      </c>
      <c r="D18" s="34">
        <v>42370</v>
      </c>
      <c r="E18" s="35">
        <v>115.81648421409767</v>
      </c>
      <c r="F18" s="35">
        <v>3.3206122091896191</v>
      </c>
      <c r="G18" s="35">
        <v>3.3206122091896191</v>
      </c>
      <c r="H18" s="35">
        <f t="shared" ref="H18:H30" si="0">+E18/E6*100-100</f>
        <v>15.205892981296799</v>
      </c>
    </row>
    <row r="19" spans="2:8" ht="13.8" x14ac:dyDescent="0.3">
      <c r="B19" s="36"/>
      <c r="C19" s="37" t="s">
        <v>37</v>
      </c>
      <c r="D19" s="38">
        <v>42401</v>
      </c>
      <c r="E19" s="39">
        <v>119.63623321612944</v>
      </c>
      <c r="F19" s="39">
        <v>3.2981047801197434</v>
      </c>
      <c r="G19" s="39">
        <v>6.7282342593098861</v>
      </c>
      <c r="H19" s="39">
        <f t="shared" si="0"/>
        <v>18.255748936403322</v>
      </c>
    </row>
    <row r="20" spans="2:8" ht="13.8" x14ac:dyDescent="0.3">
      <c r="B20" s="36"/>
      <c r="C20" s="37" t="s">
        <v>38</v>
      </c>
      <c r="D20" s="38">
        <v>42430</v>
      </c>
      <c r="E20" s="39">
        <v>123.52651133453416</v>
      </c>
      <c r="F20" s="39">
        <v>3.2517557714950129</v>
      </c>
      <c r="G20" s="39">
        <v>10.198775776651686</v>
      </c>
      <c r="H20" s="39">
        <f t="shared" si="0"/>
        <v>21.46436508242256</v>
      </c>
    </row>
    <row r="21" spans="2:8" ht="13.8" x14ac:dyDescent="0.3">
      <c r="B21" s="36"/>
      <c r="C21" s="37" t="s">
        <v>39</v>
      </c>
      <c r="D21" s="38">
        <v>42461</v>
      </c>
      <c r="E21" s="39">
        <v>127.35567403784361</v>
      </c>
      <c r="F21" s="39">
        <v>3.0998711628302402</v>
      </c>
      <c r="G21" s="39">
        <v>13.61479584874408</v>
      </c>
      <c r="H21" s="39">
        <f t="shared" si="0"/>
        <v>24.343918642478002</v>
      </c>
    </row>
    <row r="22" spans="2:8" ht="13.8" x14ac:dyDescent="0.3">
      <c r="B22" s="36"/>
      <c r="C22" s="37" t="s">
        <v>40</v>
      </c>
      <c r="D22" s="38">
        <v>42491</v>
      </c>
      <c r="E22" s="39">
        <v>131.56716780597722</v>
      </c>
      <c r="F22" s="39">
        <v>3.3068756456678727</v>
      </c>
      <c r="G22" s="39">
        <v>17.371895862541464</v>
      </c>
      <c r="H22" s="39">
        <f t="shared" si="0"/>
        <v>27.140273513035169</v>
      </c>
    </row>
    <row r="23" spans="2:8" ht="13.8" x14ac:dyDescent="0.3">
      <c r="B23" s="36"/>
      <c r="C23" s="37" t="s">
        <v>41</v>
      </c>
      <c r="D23" s="38">
        <v>42522</v>
      </c>
      <c r="E23" s="39">
        <v>135.68397484404704</v>
      </c>
      <c r="F23" s="39">
        <v>3.1290534764272735</v>
      </c>
      <c r="G23" s="39">
        <v>21.044525250376893</v>
      </c>
      <c r="H23" s="39">
        <f t="shared" si="0"/>
        <v>29.716213141149893</v>
      </c>
    </row>
    <row r="24" spans="2:8" ht="13.8" x14ac:dyDescent="0.3">
      <c r="B24" s="36"/>
      <c r="C24" s="37" t="s">
        <v>35</v>
      </c>
      <c r="D24" s="38">
        <v>42552</v>
      </c>
      <c r="E24" s="39">
        <v>141.46777405377128</v>
      </c>
      <c r="F24" s="39">
        <v>4.262698831142032</v>
      </c>
      <c r="G24" s="39">
        <v>26.204288813386142</v>
      </c>
      <c r="H24" s="39">
        <f t="shared" si="0"/>
        <v>33.720185941577739</v>
      </c>
    </row>
    <row r="25" spans="2:8" ht="13.8" x14ac:dyDescent="0.3">
      <c r="B25" s="36"/>
      <c r="C25" s="37" t="s">
        <v>42</v>
      </c>
      <c r="D25" s="38">
        <v>42583</v>
      </c>
      <c r="E25" s="39">
        <v>146.14389183963763</v>
      </c>
      <c r="F25" s="39">
        <v>3.3054296762236248</v>
      </c>
      <c r="G25" s="39">
        <v>30.375882828490802</v>
      </c>
      <c r="H25" s="39">
        <f t="shared" si="0"/>
        <v>36.774423954588372</v>
      </c>
    </row>
    <row r="26" spans="2:8" ht="13.8" x14ac:dyDescent="0.3">
      <c r="B26" s="36"/>
      <c r="C26" s="37" t="s">
        <v>43</v>
      </c>
      <c r="D26" s="38">
        <v>42614</v>
      </c>
      <c r="E26" s="39">
        <v>149.267547158534</v>
      </c>
      <c r="F26" s="39">
        <v>2.1373834236766669</v>
      </c>
      <c r="G26" s="39">
        <v>33.162515336539059</v>
      </c>
      <c r="H26" s="39">
        <f t="shared" si="0"/>
        <v>38.201049354865688</v>
      </c>
    </row>
    <row r="27" spans="2:8" ht="13.8" x14ac:dyDescent="0.3">
      <c r="B27" s="36"/>
      <c r="C27" s="37" t="s">
        <v>44</v>
      </c>
      <c r="D27" s="38">
        <v>42644</v>
      </c>
      <c r="E27" s="39">
        <v>151.54358483316619</v>
      </c>
      <c r="F27" s="39">
        <v>1.524804097045191</v>
      </c>
      <c r="G27" s="39">
        <v>35.192982826119049</v>
      </c>
      <c r="H27" s="39">
        <f t="shared" si="0"/>
        <v>38.691970103168529</v>
      </c>
    </row>
    <row r="28" spans="2:8" ht="13.8" x14ac:dyDescent="0.3">
      <c r="B28" s="36"/>
      <c r="C28" s="37" t="s">
        <v>45</v>
      </c>
      <c r="D28" s="38">
        <v>42675</v>
      </c>
      <c r="E28" s="39">
        <v>155.01865659699766</v>
      </c>
      <c r="F28" s="39">
        <v>2.2931170380172432</v>
      </c>
      <c r="G28" s="39">
        <v>38.293116149508535</v>
      </c>
      <c r="H28" s="39">
        <f t="shared" si="0"/>
        <v>40.204412433091562</v>
      </c>
    </row>
    <row r="29" spans="2:8" ht="13.8" x14ac:dyDescent="0.3">
      <c r="B29" s="40"/>
      <c r="C29" s="41" t="s">
        <v>46</v>
      </c>
      <c r="D29" s="30">
        <v>42705</v>
      </c>
      <c r="E29" s="31">
        <v>158.18870341755735</v>
      </c>
      <c r="F29" s="31">
        <v>2.0449453569971752</v>
      </c>
      <c r="G29" s="31">
        <v>41.121134807254577</v>
      </c>
      <c r="H29" s="31">
        <f t="shared" si="0"/>
        <v>41.121134807254577</v>
      </c>
    </row>
    <row r="30" spans="2:8" ht="13.8" x14ac:dyDescent="0.3">
      <c r="B30" s="32">
        <v>2017</v>
      </c>
      <c r="C30" s="33" t="s">
        <v>58</v>
      </c>
      <c r="D30" s="34">
        <v>42736</v>
      </c>
      <c r="E30" s="35">
        <v>161.75502419377696</v>
      </c>
      <c r="F30" s="35">
        <v>2.2544724744382592</v>
      </c>
      <c r="G30" s="35">
        <v>2.2544724744382592</v>
      </c>
      <c r="H30" s="35">
        <f t="shared" si="0"/>
        <v>39.664940868656998</v>
      </c>
    </row>
    <row r="31" spans="2:8" ht="13.8" x14ac:dyDescent="0.3">
      <c r="B31" s="36"/>
      <c r="C31" s="37" t="s">
        <v>37</v>
      </c>
      <c r="D31" s="38">
        <v>42767</v>
      </c>
      <c r="E31" s="39">
        <v>165.47941796478148</v>
      </c>
      <c r="F31" s="39">
        <v>2.3024903180397018</v>
      </c>
      <c r="G31" s="39">
        <v>4.6088718029247957</v>
      </c>
      <c r="H31" s="39">
        <v>38.318813219264257</v>
      </c>
    </row>
    <row r="32" spans="2:8" ht="13.8" x14ac:dyDescent="0.3">
      <c r="B32" s="36"/>
      <c r="C32" s="37" t="s">
        <v>38</v>
      </c>
      <c r="D32" s="38">
        <v>42795</v>
      </c>
      <c r="E32" s="39">
        <v>168.64424970097153</v>
      </c>
      <c r="F32" s="39">
        <v>1.9125228835791006</v>
      </c>
      <c r="G32" s="39">
        <v>6.6095404144097074</v>
      </c>
      <c r="H32" s="39">
        <v>36.524741028466053</v>
      </c>
    </row>
    <row r="33" spans="2:8" ht="13.8" x14ac:dyDescent="0.3">
      <c r="B33" s="36"/>
      <c r="C33" s="37" t="s">
        <v>39</v>
      </c>
      <c r="D33" s="38">
        <v>42826</v>
      </c>
      <c r="E33" s="39">
        <v>171.67992330519249</v>
      </c>
      <c r="F33" s="39">
        <v>1.8000457232331399</v>
      </c>
      <c r="G33" s="39">
        <v>8.5285608871977985</v>
      </c>
      <c r="H33" s="39">
        <v>34.803513547561295</v>
      </c>
    </row>
    <row r="34" spans="2:8" ht="13.8" x14ac:dyDescent="0.3">
      <c r="B34" s="36"/>
      <c r="C34" s="37" t="s">
        <v>40</v>
      </c>
      <c r="D34" s="38">
        <v>42856</v>
      </c>
      <c r="E34" s="39">
        <v>174.42680931498268</v>
      </c>
      <c r="F34" s="39">
        <v>1.6000042153485197</v>
      </c>
      <c r="G34" s="39">
        <v>10.265022436250121</v>
      </c>
      <c r="H34" s="39">
        <v>32.576243924480366</v>
      </c>
    </row>
    <row r="35" spans="2:8" ht="13.8" x14ac:dyDescent="0.3">
      <c r="B35" s="36"/>
      <c r="C35" s="37" t="s">
        <v>41</v>
      </c>
      <c r="D35" s="38">
        <v>42887</v>
      </c>
      <c r="E35" s="39">
        <v>177.08416533071085</v>
      </c>
      <c r="F35" s="39">
        <v>1.5234791177825713</v>
      </c>
      <c r="G35" s="39">
        <v>11.944887027284651</v>
      </c>
      <c r="H35" s="39">
        <v>30.512218214603877</v>
      </c>
    </row>
    <row r="36" spans="2:8" ht="13.8" x14ac:dyDescent="0.3">
      <c r="B36" s="36"/>
      <c r="C36" s="37" t="s">
        <v>35</v>
      </c>
      <c r="D36" s="38">
        <v>42917</v>
      </c>
      <c r="E36" s="39">
        <v>180.07363357202843</v>
      </c>
      <c r="F36" s="39">
        <v>1.6881623694216614</v>
      </c>
      <c r="G36" s="39">
        <v>13.834698484570836</v>
      </c>
      <c r="H36" s="39">
        <v>27.289508000304878</v>
      </c>
    </row>
    <row r="37" spans="2:8" ht="13.8" x14ac:dyDescent="0.3">
      <c r="B37" s="36"/>
      <c r="C37" s="37" t="s">
        <v>42</v>
      </c>
      <c r="D37" s="38">
        <v>42948</v>
      </c>
      <c r="E37" s="39">
        <v>182.9445390366196</v>
      </c>
      <c r="F37" s="39">
        <v>1.5942952933433361</v>
      </c>
      <c r="G37" s="39">
        <v>15.649559724701945</v>
      </c>
      <c r="H37" s="39">
        <v>25.181105233849237</v>
      </c>
    </row>
    <row r="38" spans="2:8" ht="12.75" customHeight="1" x14ac:dyDescent="0.3">
      <c r="B38" s="36"/>
      <c r="C38" s="37" t="s">
        <v>43</v>
      </c>
      <c r="D38" s="38">
        <v>42979</v>
      </c>
      <c r="E38" s="39">
        <v>186.85211093478409</v>
      </c>
      <c r="F38" s="39">
        <v>2.1359325174403239</v>
      </c>
      <c r="G38" s="39">
        <v>18.119756277138421</v>
      </c>
      <c r="H38" s="39">
        <v>25.17932698145853</v>
      </c>
    </row>
    <row r="39" spans="2:8" ht="12.75" customHeight="1" x14ac:dyDescent="0.3">
      <c r="B39" s="36"/>
      <c r="C39" s="37" t="s">
        <v>44</v>
      </c>
      <c r="D39" s="38">
        <v>43009</v>
      </c>
      <c r="E39" s="39">
        <v>191.32537543769013</v>
      </c>
      <c r="F39" s="39">
        <v>2.3940133619722985</v>
      </c>
      <c r="G39" s="39">
        <v>20.947559025542233</v>
      </c>
      <c r="H39" s="39">
        <v>26.251055528559377</v>
      </c>
    </row>
    <row r="40" spans="2:8" ht="15" customHeight="1" x14ac:dyDescent="0.3">
      <c r="B40" s="36"/>
      <c r="C40" s="37" t="s">
        <v>45</v>
      </c>
      <c r="D40" s="38">
        <v>43040</v>
      </c>
      <c r="E40" s="39">
        <v>193.31511021013694</v>
      </c>
      <c r="F40" s="39">
        <v>1.0399743201313356</v>
      </c>
      <c r="G40" s="39">
        <v>22.205382580233589</v>
      </c>
      <c r="H40" s="39">
        <v>24.704415877308691</v>
      </c>
    </row>
    <row r="41" spans="2:8" ht="12.75" customHeight="1" x14ac:dyDescent="0.3">
      <c r="B41" s="40"/>
      <c r="C41" s="41" t="s">
        <v>46</v>
      </c>
      <c r="D41" s="30">
        <v>43070</v>
      </c>
      <c r="E41" s="31">
        <v>195.626511487589</v>
      </c>
      <c r="F41" s="31">
        <v>1.1956650853311572</v>
      </c>
      <c r="G41" s="31">
        <v>23.666549672140775</v>
      </c>
      <c r="H41" s="31">
        <v>23.666549672140775</v>
      </c>
    </row>
    <row r="42" spans="2:8" ht="15" customHeight="1" x14ac:dyDescent="0.3">
      <c r="B42" s="32">
        <v>2018</v>
      </c>
      <c r="C42" s="33" t="s">
        <v>58</v>
      </c>
      <c r="D42" s="34">
        <v>43101</v>
      </c>
      <c r="E42" s="35">
        <v>198.50298493367501</v>
      </c>
      <c r="F42" s="35">
        <v>1.4492992640783342</v>
      </c>
      <c r="G42" s="35">
        <v>1.4492992640783342</v>
      </c>
      <c r="H42" s="35">
        <v>22.718280883736412</v>
      </c>
    </row>
    <row r="43" spans="2:8" ht="15" customHeight="1" x14ac:dyDescent="0.3">
      <c r="B43" s="36"/>
      <c r="C43" s="37" t="s">
        <v>37</v>
      </c>
      <c r="D43" s="38">
        <v>43132</v>
      </c>
      <c r="E43" s="39">
        <v>201.00091871615155</v>
      </c>
      <c r="F43" s="39">
        <v>1.2583860052840805</v>
      </c>
      <c r="G43" s="39">
        <v>2.7259230484762753</v>
      </c>
      <c r="H43" s="39">
        <v>21.465811995380534</v>
      </c>
    </row>
    <row r="44" spans="2:8" ht="12.75" customHeight="1" x14ac:dyDescent="0.3">
      <c r="B44" s="36"/>
      <c r="C44" s="37" t="s">
        <v>38</v>
      </c>
      <c r="D44" s="38">
        <v>43160</v>
      </c>
      <c r="E44" s="39">
        <v>203.89724297167129</v>
      </c>
      <c r="F44" s="39">
        <v>1.4409507548620866</v>
      </c>
      <c r="G44" s="39">
        <v>4.2278172938780472</v>
      </c>
      <c r="H44" s="39">
        <v>20.903762407083534</v>
      </c>
    </row>
    <row r="45" spans="2:8" ht="13.8" x14ac:dyDescent="0.3">
      <c r="B45" s="36"/>
      <c r="C45" s="37" t="s">
        <v>39</v>
      </c>
      <c r="D45" s="38">
        <v>43191</v>
      </c>
      <c r="E45" s="39">
        <v>206.39302588289135</v>
      </c>
      <c r="F45" s="39">
        <v>1.224039557791599</v>
      </c>
      <c r="G45" s="39">
        <v>5.5036070077778732</v>
      </c>
      <c r="H45" s="39">
        <v>20.2196633767071</v>
      </c>
    </row>
    <row r="46" spans="2:8" ht="13.8" x14ac:dyDescent="0.3">
      <c r="B46" s="36"/>
      <c r="C46" s="37" t="s">
        <v>40</v>
      </c>
      <c r="D46" s="38">
        <v>43221</v>
      </c>
      <c r="E46" s="39">
        <v>209.02451500585215</v>
      </c>
      <c r="F46" s="39">
        <v>1.2749893615369814</v>
      </c>
      <c r="G46" s="39">
        <v>6.8487667731648401</v>
      </c>
      <c r="H46" s="39">
        <v>19.835084885599372</v>
      </c>
    </row>
    <row r="47" spans="2:8" ht="13.8" x14ac:dyDescent="0.3">
      <c r="B47" s="36"/>
      <c r="C47" s="37" t="s">
        <v>41</v>
      </c>
      <c r="D47" s="38">
        <v>43252</v>
      </c>
      <c r="E47" s="39">
        <v>211.64973469139258</v>
      </c>
      <c r="F47" s="39">
        <v>1.2559386565095423</v>
      </c>
      <c r="G47" s="39">
        <v>8.1907217390727425</v>
      </c>
      <c r="H47" s="39">
        <v>19.519288636637214</v>
      </c>
    </row>
    <row r="48" spans="2:8" ht="13.8" x14ac:dyDescent="0.3">
      <c r="B48" s="36"/>
      <c r="C48" s="37" t="s">
        <v>35</v>
      </c>
      <c r="D48" s="38">
        <v>43282</v>
      </c>
      <c r="E48" s="39">
        <v>214.3049461784297</v>
      </c>
      <c r="F48" s="39">
        <v>1.2545309782263843</v>
      </c>
      <c r="G48" s="39">
        <v>9.5480078588560957</v>
      </c>
      <c r="H48" s="39">
        <v>19.009619524731221</v>
      </c>
    </row>
    <row r="49" spans="2:9" ht="15" customHeight="1" x14ac:dyDescent="0.3">
      <c r="B49" s="36"/>
      <c r="C49" s="37" t="s">
        <v>42</v>
      </c>
      <c r="D49" s="38">
        <v>43313</v>
      </c>
      <c r="E49" s="39">
        <v>216.90330054712467</v>
      </c>
      <c r="F49" s="39">
        <v>1.2124565554969706</v>
      </c>
      <c r="G49" s="39">
        <v>10.876229861557334</v>
      </c>
      <c r="H49" s="39">
        <v>18.562325877192592</v>
      </c>
    </row>
    <row r="50" spans="2:9" ht="13.8" x14ac:dyDescent="0.3">
      <c r="B50" s="36"/>
      <c r="C50" s="37" t="s">
        <v>43</v>
      </c>
      <c r="D50" s="38">
        <v>43344</v>
      </c>
      <c r="E50" s="39">
        <v>222.74009803843163</v>
      </c>
      <c r="F50" s="39">
        <v>2.6909675770651469</v>
      </c>
      <c r="G50" s="39">
        <v>13.859873257803883</v>
      </c>
      <c r="H50" s="39">
        <v>19.206626526244236</v>
      </c>
    </row>
    <row r="51" spans="2:9" ht="13.8" x14ac:dyDescent="0.3">
      <c r="B51" s="36"/>
      <c r="C51" s="37" t="s">
        <v>44</v>
      </c>
      <c r="D51" s="38">
        <v>43374</v>
      </c>
      <c r="E51" s="39">
        <v>225.83295036632904</v>
      </c>
      <c r="F51" s="39">
        <v>1.3885476190119022</v>
      </c>
      <c r="G51" s="39">
        <v>15.440871816935072</v>
      </c>
      <c r="H51" s="39">
        <v>18.036068059292603</v>
      </c>
    </row>
    <row r="52" spans="2:9" ht="13.8" x14ac:dyDescent="0.3">
      <c r="B52" s="36"/>
      <c r="C52" s="37" t="s">
        <v>45</v>
      </c>
      <c r="D52" s="38">
        <v>43405</v>
      </c>
      <c r="E52" s="39">
        <v>228.80413767048663</v>
      </c>
      <c r="F52" s="39">
        <v>1.3124503888046064</v>
      </c>
      <c r="G52" s="39">
        <v>16.959677873212243</v>
      </c>
      <c r="H52" s="39">
        <v>18.358123905458029</v>
      </c>
    </row>
    <row r="53" spans="2:9" ht="13.8" x14ac:dyDescent="0.3">
      <c r="B53" s="40"/>
      <c r="C53" s="41" t="s">
        <v>46</v>
      </c>
      <c r="D53" s="30">
        <v>43435</v>
      </c>
      <c r="E53" s="31">
        <v>232.02254735017181</v>
      </c>
      <c r="F53" s="31">
        <f>+E53/E52*100-100</f>
        <v>1.4066221496047433</v>
      </c>
      <c r="G53" s="31">
        <f>+E53/E41*100-100</f>
        <v>18.60485860828318</v>
      </c>
      <c r="H53" s="31">
        <f>+E53/E41*100-100</f>
        <v>18.60485860828318</v>
      </c>
      <c r="I53" s="1"/>
    </row>
    <row r="54" spans="2:9" ht="13.8" x14ac:dyDescent="0.3">
      <c r="B54" s="32">
        <v>2019</v>
      </c>
      <c r="C54" s="33" t="s">
        <v>58</v>
      </c>
      <c r="D54" s="34">
        <v>43466</v>
      </c>
      <c r="E54" s="35">
        <v>234.66017693662803</v>
      </c>
      <c r="F54" s="35">
        <v>1.1399999999999999</v>
      </c>
      <c r="G54" s="35">
        <v>1.1400000000000148</v>
      </c>
      <c r="H54" s="35">
        <v>18.214936170876442</v>
      </c>
    </row>
    <row r="55" spans="2:9" ht="13.8" x14ac:dyDescent="0.3">
      <c r="B55" s="36"/>
      <c r="C55" s="37" t="s">
        <v>37</v>
      </c>
      <c r="D55" s="38">
        <v>43497</v>
      </c>
      <c r="E55" s="39">
        <v>237.11043370746842</v>
      </c>
      <c r="F55" s="39">
        <v>1.0441723869926562</v>
      </c>
      <c r="G55" s="39">
        <v>2.1960759522043958</v>
      </c>
      <c r="H55" s="39">
        <v>17.964850719070697</v>
      </c>
    </row>
    <row r="56" spans="2:9" ht="13.8" x14ac:dyDescent="0.3">
      <c r="B56" s="36"/>
      <c r="C56" s="37" t="s">
        <v>38</v>
      </c>
      <c r="D56" s="38">
        <v>43525</v>
      </c>
      <c r="E56" s="39">
        <v>239.70659727424425</v>
      </c>
      <c r="F56" s="39">
        <v>1.0949174720749681</v>
      </c>
      <c r="G56" s="39">
        <v>3.3150386435800954</v>
      </c>
      <c r="H56" s="39">
        <v>17.562451448913492</v>
      </c>
    </row>
    <row r="57" spans="2:9" ht="13.8" x14ac:dyDescent="0.3">
      <c r="B57" s="36"/>
      <c r="C57" s="37" t="s">
        <v>39</v>
      </c>
      <c r="D57" s="38">
        <v>43556</v>
      </c>
      <c r="E57" s="39">
        <v>242.21261810055609</v>
      </c>
      <c r="F57" s="39">
        <v>1.0454227076217535</v>
      </c>
      <c r="G57" s="39">
        <v>4.3951492515322315</v>
      </c>
      <c r="H57" s="39">
        <v>17.355040008953296</v>
      </c>
    </row>
    <row r="58" spans="2:9" ht="13.8" x14ac:dyDescent="0.3">
      <c r="B58" s="36"/>
      <c r="C58" s="37" t="s">
        <v>40</v>
      </c>
      <c r="D58" s="38">
        <v>43586</v>
      </c>
      <c r="E58" s="39">
        <v>244.85822328430089</v>
      </c>
      <c r="F58" s="39">
        <v>1.0922656319442723</v>
      </c>
      <c r="G58" s="39">
        <v>5.5354215882236417</v>
      </c>
      <c r="H58" s="39">
        <v>17.143304113130213</v>
      </c>
    </row>
    <row r="59" spans="2:9" ht="13.8" x14ac:dyDescent="0.3">
      <c r="B59" s="36"/>
      <c r="C59" s="37" t="s">
        <v>41</v>
      </c>
      <c r="D59" s="38">
        <v>43617</v>
      </c>
      <c r="E59" s="39">
        <v>247.49858915928448</v>
      </c>
      <c r="F59" s="39">
        <v>1.0783243623874199</v>
      </c>
      <c r="G59" s="39">
        <v>6.6734357501577364</v>
      </c>
      <c r="H59" s="39">
        <v>16.937821594798436</v>
      </c>
    </row>
    <row r="60" spans="2:9" ht="13.8" x14ac:dyDescent="0.3">
      <c r="B60" s="36"/>
      <c r="C60" s="37" t="s">
        <v>35</v>
      </c>
      <c r="D60" s="38">
        <v>43647</v>
      </c>
      <c r="E60" s="39">
        <v>251.25415202644382</v>
      </c>
      <c r="F60" s="39">
        <v>1.5174077880267589</v>
      </c>
      <c r="G60" s="39">
        <v>8.2921067719863544</v>
      </c>
      <c r="H60" s="39">
        <v>17.241415332173588</v>
      </c>
    </row>
    <row r="61" spans="2:9" ht="13.8" x14ac:dyDescent="0.3">
      <c r="B61" s="36"/>
      <c r="C61" s="37" t="s">
        <v>42</v>
      </c>
      <c r="D61" s="38">
        <v>43678</v>
      </c>
      <c r="E61" s="39">
        <v>254.86912173006314</v>
      </c>
      <c r="F61" s="39">
        <v>1.4387701355235123</v>
      </c>
      <c r="G61" s="39">
        <v>9.8501812633509331</v>
      </c>
      <c r="H61" s="39">
        <v>17.503570064250979</v>
      </c>
    </row>
    <row r="62" spans="2:9" ht="13.8" x14ac:dyDescent="0.3">
      <c r="B62" s="36"/>
      <c r="C62" s="37" t="s">
        <v>43</v>
      </c>
      <c r="D62" s="38">
        <v>43709</v>
      </c>
      <c r="E62" s="39">
        <v>258.56367095653724</v>
      </c>
      <c r="F62" s="39">
        <v>1.4495868316237477</v>
      </c>
      <c r="G62" s="39">
        <v>11.442555025459285</v>
      </c>
      <c r="H62" s="39">
        <v>16.083127031723137</v>
      </c>
    </row>
    <row r="63" spans="2:9" ht="13.8" x14ac:dyDescent="0.3">
      <c r="B63" s="36"/>
      <c r="C63" s="37" t="s">
        <v>44</v>
      </c>
      <c r="D63" s="38">
        <v>43739</v>
      </c>
      <c r="E63" s="39">
        <v>262.1362830319199</v>
      </c>
      <c r="F63" s="39">
        <v>1.3817146322861333</v>
      </c>
      <c r="G63" s="39">
        <v>12.982373114839589</v>
      </c>
      <c r="H63" s="39">
        <v>16.075303717505491</v>
      </c>
    </row>
    <row r="64" spans="2:9" ht="13.8" x14ac:dyDescent="0.3">
      <c r="B64" s="36"/>
      <c r="C64" s="37" t="s">
        <v>45</v>
      </c>
      <c r="D64" s="38">
        <v>43770</v>
      </c>
      <c r="E64" s="39">
        <v>266.14670110143646</v>
      </c>
      <c r="F64" s="39">
        <v>1.5298981213631748</v>
      </c>
      <c r="G64" s="39">
        <v>14.710888318595039</v>
      </c>
      <c r="H64" s="39">
        <v>16.32443708169275</v>
      </c>
    </row>
    <row r="65" spans="2:8" ht="13.8" x14ac:dyDescent="0.3">
      <c r="B65" s="40"/>
      <c r="C65" s="41" t="s">
        <v>46</v>
      </c>
      <c r="D65" s="30">
        <v>43800</v>
      </c>
      <c r="E65" s="31">
        <v>100</v>
      </c>
      <c r="F65" s="31">
        <v>1.9060088999352445</v>
      </c>
      <c r="G65" s="31">
        <v>16.897288059142241</v>
      </c>
      <c r="H65" s="31">
        <v>16.897288059142241</v>
      </c>
    </row>
    <row r="66" spans="2:8" ht="13.8" x14ac:dyDescent="0.3">
      <c r="B66" s="32">
        <v>2020</v>
      </c>
      <c r="C66" s="33" t="s">
        <v>58</v>
      </c>
      <c r="D66" s="34">
        <v>43831</v>
      </c>
      <c r="E66" s="35">
        <v>81.57850931604105</v>
      </c>
      <c r="F66" s="35">
        <v>2.0518845155908849</v>
      </c>
      <c r="G66" s="35">
        <v>2.0518845155908849</v>
      </c>
      <c r="H66" s="35">
        <v>17.951241261591292</v>
      </c>
    </row>
    <row r="67" spans="2:8" ht="13.8" x14ac:dyDescent="0.3">
      <c r="B67" s="36"/>
      <c r="C67" s="37" t="s">
        <v>37</v>
      </c>
      <c r="D67" s="38">
        <v>43862</v>
      </c>
      <c r="E67" s="39">
        <v>82.978353327383758</v>
      </c>
      <c r="F67" s="39">
        <v>1.7159470344323893</v>
      </c>
      <c r="G67" s="39">
        <v>3.8030408015185202</v>
      </c>
      <c r="H67" s="39">
        <v>18.735419622814447</v>
      </c>
    </row>
    <row r="68" spans="2:8" ht="13.8" x14ac:dyDescent="0.3">
      <c r="B68" s="36"/>
      <c r="C68" s="37" t="s">
        <v>38</v>
      </c>
      <c r="D68" s="38">
        <v>43891</v>
      </c>
      <c r="E68" s="39">
        <v>84.514751221666188</v>
      </c>
      <c r="F68" s="39">
        <v>1.8515646944941295</v>
      </c>
      <c r="G68" s="39">
        <v>5.7250212568107628</v>
      </c>
      <c r="H68" s="39">
        <v>19.624097587116566</v>
      </c>
    </row>
    <row r="69" spans="2:8" ht="13.8" x14ac:dyDescent="0.3">
      <c r="B69" s="36"/>
      <c r="C69" s="37" t="s">
        <v>39</v>
      </c>
      <c r="D69" s="38">
        <v>43922</v>
      </c>
      <c r="E69" s="39">
        <v>86.247546054571515</v>
      </c>
      <c r="F69" s="39">
        <v>2.0502868527181732</v>
      </c>
      <c r="G69" s="39">
        <v>7.8926874676726868</v>
      </c>
      <c r="H69" s="39">
        <v>20.813683938465417</v>
      </c>
    </row>
    <row r="70" spans="2:8" ht="13.8" x14ac:dyDescent="0.3">
      <c r="B70" s="36"/>
      <c r="C70" s="37" t="s">
        <v>40</v>
      </c>
      <c r="D70" s="38">
        <v>43952</v>
      </c>
      <c r="E70" s="39">
        <v>87.918352352184641</v>
      </c>
      <c r="F70" s="39">
        <v>1.9372218388172655</v>
      </c>
      <c r="G70" s="39">
        <v>9.9828081717832475</v>
      </c>
      <c r="H70" s="39">
        <v>21.823477036689695</v>
      </c>
    </row>
    <row r="71" spans="2:8" ht="13.8" x14ac:dyDescent="0.3">
      <c r="B71" s="36"/>
      <c r="C71" s="37" t="s">
        <v>41</v>
      </c>
      <c r="D71" s="38">
        <v>43983</v>
      </c>
      <c r="E71" s="39">
        <v>89.446497880145245</v>
      </c>
      <c r="F71" s="39">
        <v>1.7381416815446755</v>
      </c>
      <c r="G71" s="39">
        <v>11.894465203150332</v>
      </c>
      <c r="H71" s="39">
        <v>22.618714200896918</v>
      </c>
    </row>
    <row r="72" spans="2:8" ht="13.8" x14ac:dyDescent="0.3">
      <c r="B72" s="36"/>
      <c r="C72" s="37" t="s">
        <v>35</v>
      </c>
      <c r="D72" s="38">
        <v>44013</v>
      </c>
      <c r="E72" s="39">
        <v>91.034741797687118</v>
      </c>
      <c r="F72" s="39">
        <v>1.7756356650990028</v>
      </c>
      <c r="G72" s="39">
        <v>13.881303234569245</v>
      </c>
      <c r="H72" s="39">
        <v>22.930617065118383</v>
      </c>
    </row>
    <row r="73" spans="2:8" ht="13.8" x14ac:dyDescent="0.3">
      <c r="B73" s="36"/>
      <c r="C73" s="37" t="s">
        <v>42</v>
      </c>
      <c r="D73" s="38">
        <v>44044</v>
      </c>
      <c r="E73" s="39">
        <v>92.701270552423551</v>
      </c>
      <c r="F73" s="39">
        <v>1.8306513775148403</v>
      </c>
      <c r="G73" s="39">
        <v>15.966072880964745</v>
      </c>
      <c r="H73" s="39">
        <v>23.405526242643688</v>
      </c>
    </row>
    <row r="74" spans="2:8" ht="13.8" x14ac:dyDescent="0.3">
      <c r="B74" s="36"/>
      <c r="C74" s="37" t="s">
        <v>43</v>
      </c>
      <c r="D74" s="38">
        <v>44075</v>
      </c>
      <c r="E74" s="39">
        <v>94.359058300785051</v>
      </c>
      <c r="F74" s="39">
        <v>1.7883117874031456</v>
      </c>
      <c r="G74" s="39">
        <v>18.039907831683593</v>
      </c>
      <c r="H74" s="39">
        <v>23.817558787328679</v>
      </c>
    </row>
    <row r="75" spans="2:8" ht="13.8" x14ac:dyDescent="0.3">
      <c r="B75" s="36"/>
      <c r="C75" s="37" t="s">
        <v>44</v>
      </c>
      <c r="D75" s="38">
        <v>44105</v>
      </c>
      <c r="E75" s="39">
        <v>96.068381113169892</v>
      </c>
      <c r="F75" s="39">
        <v>1.8115089776925117</v>
      </c>
      <c r="G75" s="39">
        <v>20.178211359314531</v>
      </c>
      <c r="H75" s="39">
        <v>24.342466921126089</v>
      </c>
    </row>
    <row r="76" spans="2:8" ht="13.8" x14ac:dyDescent="0.3">
      <c r="B76" s="36"/>
      <c r="C76" s="37" t="s">
        <v>45</v>
      </c>
      <c r="D76" s="38">
        <v>44136</v>
      </c>
      <c r="E76" s="39">
        <v>97.978214396804105</v>
      </c>
      <c r="F76" s="39">
        <v>1.9879936161143519</v>
      </c>
      <c r="G76" s="39">
        <v>22.567346529098046</v>
      </c>
      <c r="H76" s="39">
        <v>24.903491062357148</v>
      </c>
    </row>
    <row r="77" spans="2:8" ht="13.8" x14ac:dyDescent="0.3">
      <c r="B77" s="40"/>
      <c r="C77" s="37" t="s">
        <v>46</v>
      </c>
      <c r="D77" s="38">
        <v>44166</v>
      </c>
      <c r="E77" s="39">
        <v>100</v>
      </c>
      <c r="F77" s="39">
        <v>2.0635052553702025</v>
      </c>
      <c r="G77" s="39">
        <v>25.096530166093785</v>
      </c>
      <c r="H77" s="39">
        <v>25.096530166093785</v>
      </c>
    </row>
    <row r="78" spans="2:8" ht="13.8" x14ac:dyDescent="0.3">
      <c r="B78" s="32">
        <v>2021</v>
      </c>
      <c r="C78" s="33" t="s">
        <v>58</v>
      </c>
      <c r="D78" s="34">
        <v>44197</v>
      </c>
      <c r="E78" s="35">
        <v>101.49559223015778</v>
      </c>
      <c r="F78" s="35">
        <f>+E78/E77*100-100</f>
        <v>1.4955922301577829</v>
      </c>
      <c r="G78" s="35">
        <f>+E78/E77*100-100</f>
        <v>1.4955922301577829</v>
      </c>
      <c r="H78" s="35">
        <f>+E78/E66*100-100</f>
        <v>24.414619831990933</v>
      </c>
    </row>
    <row r="79" spans="2:8" ht="13.8" x14ac:dyDescent="0.3">
      <c r="B79" s="36"/>
      <c r="C79" s="37" t="s">
        <v>37</v>
      </c>
      <c r="D79" s="38">
        <v>44228</v>
      </c>
      <c r="E79" s="39">
        <v>103.60020723682292</v>
      </c>
      <c r="F79" s="39">
        <v>2.0695359586394773</v>
      </c>
      <c r="G79" s="39">
        <v>3.5960800077949955</v>
      </c>
      <c r="H79" s="39">
        <v>24.847114763853924</v>
      </c>
    </row>
    <row r="80" spans="2:8" ht="13.8" x14ac:dyDescent="0.3">
      <c r="B80" s="36"/>
      <c r="C80" s="37" t="s">
        <v>38</v>
      </c>
      <c r="D80" s="38">
        <v>44256</v>
      </c>
      <c r="E80" s="39">
        <v>105.44752296475262</v>
      </c>
      <c r="F80" s="39">
        <v>1.7831197226342113</v>
      </c>
      <c r="G80" s="39">
        <v>5.447522964752622</v>
      </c>
      <c r="H80" s="39">
        <v>24.768187139525196</v>
      </c>
    </row>
    <row r="81" spans="2:8" ht="13.8" x14ac:dyDescent="0.3">
      <c r="B81" s="36"/>
      <c r="C81" s="37" t="s">
        <v>39</v>
      </c>
      <c r="D81" s="38">
        <v>44287</v>
      </c>
      <c r="E81" s="42">
        <v>107.65467319916414</v>
      </c>
      <c r="F81" s="39">
        <v>2.0931266779488737</v>
      </c>
      <c r="G81" s="39">
        <v>7.6546731991641366</v>
      </c>
      <c r="H81" s="39">
        <v>24.820563742239955</v>
      </c>
    </row>
    <row r="82" spans="2:8" ht="13.8" x14ac:dyDescent="0.3">
      <c r="B82" s="36"/>
      <c r="C82" s="37" t="s">
        <v>40</v>
      </c>
      <c r="D82" s="38">
        <v>44317</v>
      </c>
      <c r="E82" s="39">
        <v>109.84353470336026</v>
      </c>
      <c r="F82" s="39">
        <v>2.0332247910377959</v>
      </c>
      <c r="G82" s="39">
        <v>9.8435347033602625</v>
      </c>
      <c r="H82" s="39">
        <v>24.938117883906003</v>
      </c>
    </row>
    <row r="83" spans="2:8" ht="13.8" x14ac:dyDescent="0.3">
      <c r="B83" s="36"/>
      <c r="C83" s="37" t="s">
        <v>41</v>
      </c>
      <c r="D83" s="38">
        <v>44348</v>
      </c>
      <c r="E83" s="39">
        <v>112.08994758650772</v>
      </c>
      <c r="F83" s="39">
        <v>2.0451025080484158</v>
      </c>
      <c r="G83" s="39">
        <v>12.089947586507719</v>
      </c>
      <c r="H83" s="39">
        <v>25.315076881717374</v>
      </c>
    </row>
    <row r="84" spans="2:8" ht="13.8" x14ac:dyDescent="0.3">
      <c r="B84" s="36"/>
      <c r="C84" s="37" t="s">
        <v>35</v>
      </c>
      <c r="D84" s="38">
        <v>44378</v>
      </c>
      <c r="E84" s="39">
        <v>114.44895555468038</v>
      </c>
      <c r="F84" s="39">
        <v>2.1045669294760216</v>
      </c>
      <c r="G84" s="39">
        <v>14.448955554680381</v>
      </c>
      <c r="H84" s="39">
        <v>25.720085864612344</v>
      </c>
    </row>
    <row r="85" spans="2:8" ht="13.8" x14ac:dyDescent="0.3">
      <c r="B85" s="36"/>
      <c r="C85" s="37" t="s">
        <v>42</v>
      </c>
      <c r="D85" s="38">
        <v>44409</v>
      </c>
      <c r="E85" s="39">
        <v>116.88322731783354</v>
      </c>
      <c r="F85" s="39">
        <v>2.1269497404807112</v>
      </c>
      <c r="G85" s="39">
        <v>16.883227317833544</v>
      </c>
      <c r="H85" s="39">
        <v>26.085895717831448</v>
      </c>
    </row>
    <row r="86" spans="2:8" ht="13.8" x14ac:dyDescent="0.3">
      <c r="B86" s="36"/>
      <c r="C86" s="37" t="s">
        <v>43</v>
      </c>
      <c r="D86" s="38">
        <v>44440</v>
      </c>
      <c r="E86" s="39">
        <v>119.42794498501198</v>
      </c>
      <c r="F86" s="39">
        <v>2.177145280441934</v>
      </c>
      <c r="G86" s="39">
        <v>19.427944985011976</v>
      </c>
      <c r="H86" s="39">
        <v>26.56754649279749</v>
      </c>
    </row>
    <row r="87" spans="2:8" ht="13.8" x14ac:dyDescent="0.3">
      <c r="B87" s="36"/>
      <c r="C87" s="37" t="s">
        <v>44</v>
      </c>
      <c r="D87" s="38">
        <v>44470</v>
      </c>
      <c r="E87" s="39">
        <v>121.88394594534311</v>
      </c>
      <c r="F87" s="39">
        <v>2.0564709211394074</v>
      </c>
      <c r="G87" s="39">
        <v>21.883945945343115</v>
      </c>
      <c r="H87" s="39">
        <v>26.872072302084689</v>
      </c>
    </row>
    <row r="88" spans="2:8" ht="13.8" x14ac:dyDescent="0.3">
      <c r="B88" s="36"/>
      <c r="C88" s="37" t="s">
        <v>45</v>
      </c>
      <c r="D88" s="38">
        <v>44501</v>
      </c>
      <c r="E88" s="39">
        <v>124.41662087011845</v>
      </c>
      <c r="F88" s="39">
        <v>2.0779397197323135</v>
      </c>
      <c r="G88" s="39">
        <v>24.41662087011845</v>
      </c>
      <c r="H88" s="39">
        <v>26.98396438032735</v>
      </c>
    </row>
    <row r="89" spans="2:8" ht="13.8" x14ac:dyDescent="0.3">
      <c r="B89" s="40"/>
      <c r="C89" s="41" t="s">
        <v>46</v>
      </c>
      <c r="D89" s="30">
        <v>44531</v>
      </c>
      <c r="E89" s="31">
        <v>127.02994379797707</v>
      </c>
      <c r="F89" s="31">
        <v>2.1004612644051264</v>
      </c>
      <c r="G89" s="31">
        <v>27.029943797977069</v>
      </c>
      <c r="H89" s="31">
        <v>27.029943797977069</v>
      </c>
    </row>
    <row r="90" spans="2:8" ht="13.8" x14ac:dyDescent="0.3">
      <c r="B90" s="32">
        <v>2022</v>
      </c>
      <c r="C90" s="33" t="s">
        <v>58</v>
      </c>
      <c r="D90" s="34">
        <v>44562</v>
      </c>
      <c r="E90" s="35">
        <v>129.57147415430859</v>
      </c>
      <c r="F90" s="35">
        <v>2.0007332762214389</v>
      </c>
      <c r="G90" s="35">
        <v>2.0007332762214389</v>
      </c>
      <c r="H90" s="35">
        <v>27.662168678699032</v>
      </c>
    </row>
    <row r="91" spans="2:8" ht="13.8" x14ac:dyDescent="0.3">
      <c r="B91" s="36"/>
      <c r="C91" s="37" t="s">
        <v>37</v>
      </c>
      <c r="D91" s="38">
        <v>44593</v>
      </c>
      <c r="E91" s="39">
        <v>131.86257043371288</v>
      </c>
      <c r="F91" s="39">
        <v>1.7682103984367501</v>
      </c>
      <c r="G91" s="39">
        <v>3.8043208484933331</v>
      </c>
      <c r="H91" s="39">
        <v>27.280218785937492</v>
      </c>
    </row>
    <row r="92" spans="2:8" ht="13.8" x14ac:dyDescent="0.3">
      <c r="B92" s="36"/>
      <c r="C92" s="37" t="s">
        <v>38</v>
      </c>
      <c r="D92" s="38">
        <v>44621</v>
      </c>
      <c r="E92" s="39">
        <v>133.92304314361306</v>
      </c>
      <c r="F92" s="39">
        <v>1.5625910393851825</v>
      </c>
      <c r="G92" s="39">
        <v>5.4263578645665405</v>
      </c>
      <c r="H92" s="39">
        <v>27.004446741132824</v>
      </c>
    </row>
    <row r="93" spans="2:8" ht="13.8" x14ac:dyDescent="0.3">
      <c r="B93" s="36"/>
      <c r="C93" s="37" t="s">
        <v>39</v>
      </c>
      <c r="D93" s="38">
        <v>44652</v>
      </c>
      <c r="E93" s="39">
        <v>135.41852757945819</v>
      </c>
      <c r="F93" s="39">
        <v>1.11667447269805</v>
      </c>
      <c r="G93" s="39">
        <v>6.6036270903354648</v>
      </c>
      <c r="H93" s="39">
        <v>25.789734486426013</v>
      </c>
    </row>
    <row r="94" spans="2:8" ht="13.8" x14ac:dyDescent="0.3">
      <c r="B94" s="36"/>
      <c r="C94" s="37" t="s">
        <v>40</v>
      </c>
      <c r="D94" s="38">
        <v>44682</v>
      </c>
      <c r="E94" s="39">
        <v>136.67154910813537</v>
      </c>
      <c r="F94" s="39">
        <v>0.92529549026603775</v>
      </c>
      <c r="G94" s="39">
        <v>7.5900256442621838</v>
      </c>
      <c r="H94" s="39">
        <v>24.423844769039832</v>
      </c>
    </row>
    <row r="95" spans="2:8" ht="13.8" x14ac:dyDescent="0.3">
      <c r="B95" s="36"/>
      <c r="C95" s="37" t="s">
        <v>41</v>
      </c>
      <c r="D95" s="38">
        <v>44713</v>
      </c>
      <c r="E95" s="39">
        <v>137.82123709881623</v>
      </c>
      <c r="F95" s="39">
        <v>0.84120506292879327</v>
      </c>
      <c r="G95" s="39">
        <v>8.4950783871881015</v>
      </c>
      <c r="H95" s="39">
        <v>22.955929649668064</v>
      </c>
    </row>
    <row r="96" spans="2:8" ht="13.8" x14ac:dyDescent="0.3">
      <c r="B96" s="36"/>
      <c r="C96" s="37" t="s">
        <v>35</v>
      </c>
      <c r="D96" s="38">
        <v>44743</v>
      </c>
      <c r="E96" s="39">
        <v>138.95759657071144</v>
      </c>
      <c r="F96" s="39">
        <v>0.81392114513174363</v>
      </c>
      <c r="G96" s="39">
        <v>9.378142771608708</v>
      </c>
      <c r="H96" s="39">
        <v>21.401713643129526</v>
      </c>
    </row>
    <row r="97" spans="2:8" ht="13.8" x14ac:dyDescent="0.3">
      <c r="B97" s="36"/>
      <c r="C97" s="37" t="s">
        <v>42</v>
      </c>
      <c r="D97" s="38">
        <v>44774</v>
      </c>
      <c r="E97" s="39">
        <v>140.00428660302609</v>
      </c>
      <c r="F97" s="39">
        <v>0.76383363266469928</v>
      </c>
      <c r="G97" s="39">
        <v>10.213609812882268</v>
      </c>
      <c r="H97" s="39">
        <v>19.781332031772905</v>
      </c>
    </row>
    <row r="98" spans="2:8" ht="13.8" x14ac:dyDescent="0.3">
      <c r="B98" s="36"/>
      <c r="C98" s="37" t="s">
        <v>43</v>
      </c>
      <c r="D98" s="38">
        <v>44805</v>
      </c>
      <c r="E98" s="39">
        <v>141.11318523211528</v>
      </c>
      <c r="F98" s="39">
        <v>0.79204619800921705</v>
      </c>
      <c r="G98" s="39">
        <v>11.086552519093914</v>
      </c>
      <c r="H98" s="39">
        <v>18.15759305732405</v>
      </c>
    </row>
    <row r="99" spans="2:8" ht="13.8" x14ac:dyDescent="0.3">
      <c r="B99" s="36"/>
      <c r="C99" s="37" t="s">
        <v>44</v>
      </c>
      <c r="D99" s="38">
        <v>44835</v>
      </c>
      <c r="E99" s="39">
        <v>142.21341946985916</v>
      </c>
      <c r="F99" s="39">
        <v>0.7796820941530882</v>
      </c>
      <c r="G99" s="39">
        <v>11.952674478097251</v>
      </c>
      <c r="H99" s="39">
        <v>16.679369351589983</v>
      </c>
    </row>
    <row r="100" spans="2:8" ht="13.8" x14ac:dyDescent="0.3">
      <c r="B100" s="36"/>
      <c r="C100" s="37" t="s">
        <v>45</v>
      </c>
      <c r="D100" s="38">
        <v>44866</v>
      </c>
      <c r="E100" s="39">
        <v>143.37579551757165</v>
      </c>
      <c r="F100" s="39">
        <v>0.81734624766465913</v>
      </c>
      <c r="G100" s="39">
        <v>12.867715462104215</v>
      </c>
      <c r="H100" s="39">
        <v>15.238458105404689</v>
      </c>
    </row>
    <row r="101" spans="2:8" ht="13.8" x14ac:dyDescent="0.3">
      <c r="B101" s="40"/>
      <c r="C101" s="41" t="s">
        <v>46</v>
      </c>
      <c r="D101" s="30">
        <v>44896</v>
      </c>
      <c r="E101" s="31">
        <v>144.62911708240475</v>
      </c>
      <c r="F101" s="31">
        <v>0.87415142863463302</v>
      </c>
      <c r="G101" s="31">
        <v>13.854350209283453</v>
      </c>
      <c r="H101" s="31">
        <v>13.854350209283453</v>
      </c>
    </row>
    <row r="102" spans="2:8" ht="13.8" x14ac:dyDescent="0.3">
      <c r="B102" s="33">
        <v>2023</v>
      </c>
      <c r="C102" s="33" t="s">
        <v>58</v>
      </c>
      <c r="D102" s="34">
        <v>44934</v>
      </c>
      <c r="E102" s="35">
        <v>145.82618710070363</v>
      </c>
      <c r="F102" s="35">
        <v>0.82768258732910738</v>
      </c>
      <c r="G102" s="35">
        <v>0.82768258732910738</v>
      </c>
      <c r="H102" s="35">
        <v>12.544978015019765</v>
      </c>
    </row>
    <row r="103" spans="2:8" ht="13.8" x14ac:dyDescent="0.3">
      <c r="B103" s="36"/>
      <c r="C103" s="37" t="s">
        <v>37</v>
      </c>
      <c r="D103" s="38">
        <v>44965</v>
      </c>
      <c r="E103" s="39">
        <v>147.07762294217756</v>
      </c>
      <c r="F103" s="39">
        <v>0.85816948680810867</v>
      </c>
      <c r="G103" s="39">
        <v>1.6929549935492929</v>
      </c>
      <c r="H103" s="39">
        <v>11.53856811559217</v>
      </c>
    </row>
    <row r="104" spans="2:8" ht="13.8" x14ac:dyDescent="0.3">
      <c r="B104" s="36"/>
      <c r="C104" s="37" t="s">
        <v>38</v>
      </c>
      <c r="D104" s="38">
        <v>44993</v>
      </c>
      <c r="E104" s="39">
        <v>148.39920076301263</v>
      </c>
      <c r="F104" s="39">
        <v>0.89855805009484868</v>
      </c>
      <c r="G104" s="39">
        <v>2.6067252270231478</v>
      </c>
      <c r="H104" s="39">
        <v>10.809310541036595</v>
      </c>
    </row>
    <row r="105" spans="2:8" ht="13.8" x14ac:dyDescent="0.3">
      <c r="B105" s="36"/>
      <c r="C105" s="37" t="s">
        <v>39</v>
      </c>
      <c r="D105" s="38">
        <v>45024</v>
      </c>
      <c r="E105" s="39">
        <v>149.75786465405147</v>
      </c>
      <c r="F105" s="39">
        <v>0.91554663640577871</v>
      </c>
      <c r="G105" s="39">
        <v>3.5461376485652778</v>
      </c>
      <c r="H105" s="39">
        <v>10.588903402586141</v>
      </c>
    </row>
    <row r="106" spans="2:8" ht="13.8" x14ac:dyDescent="0.3">
      <c r="B106" s="36"/>
      <c r="C106" s="37" t="s">
        <v>40</v>
      </c>
      <c r="D106" s="38">
        <v>45054</v>
      </c>
      <c r="E106" s="39">
        <v>151.18769040165913</v>
      </c>
      <c r="F106" s="39">
        <v>0.95475837005997732</v>
      </c>
      <c r="G106" s="39">
        <v>4.5347530646387924</v>
      </c>
      <c r="H106" s="39">
        <v>10.621187356293518</v>
      </c>
    </row>
    <row r="107" spans="2:8" ht="13.8" x14ac:dyDescent="0.3">
      <c r="B107" s="36"/>
      <c r="C107" s="37" t="s">
        <v>41</v>
      </c>
      <c r="D107" s="38">
        <v>45085</v>
      </c>
      <c r="E107" s="39">
        <v>153.32330152388738</v>
      </c>
      <c r="F107" s="39">
        <v>1.4125562184028411</v>
      </c>
      <c r="G107" s="39">
        <v>6.0113652194453806</v>
      </c>
      <c r="H107" s="39">
        <v>11.247950425779706</v>
      </c>
    </row>
    <row r="108" spans="2:8" ht="13.8" x14ac:dyDescent="0.3">
      <c r="B108" s="36"/>
      <c r="C108" s="37" t="s">
        <v>35</v>
      </c>
      <c r="D108" s="38">
        <v>45115</v>
      </c>
      <c r="E108" s="39">
        <v>155.78157567230758</v>
      </c>
      <c r="F108" s="39">
        <v>1.6033271681390175</v>
      </c>
      <c r="G108" s="39">
        <v>7.7110742393238496</v>
      </c>
      <c r="H108" s="39">
        <v>12.11905831560081</v>
      </c>
    </row>
    <row r="109" spans="2:8" ht="13.8" x14ac:dyDescent="0.3">
      <c r="B109" s="36"/>
      <c r="C109" s="37" t="s">
        <v>42</v>
      </c>
      <c r="D109" s="38">
        <v>45146</v>
      </c>
      <c r="E109" s="39">
        <v>158.9660143837344</v>
      </c>
      <c r="F109" s="39">
        <v>2.0441690217111415</v>
      </c>
      <c r="G109" s="39">
        <v>9.9128706518764034</v>
      </c>
      <c r="H109" s="39">
        <v>13.54367658361295</v>
      </c>
    </row>
    <row r="110" spans="2:8" ht="13.8" x14ac:dyDescent="0.3">
      <c r="B110" s="36"/>
      <c r="C110" s="37" t="s">
        <v>43</v>
      </c>
      <c r="D110" s="38">
        <v>45177</v>
      </c>
      <c r="E110" s="39">
        <v>162.29778039544439</v>
      </c>
      <c r="F110" s="39">
        <v>2.0958983117405978</v>
      </c>
      <c r="G110" s="39">
        <v>12.216532652254685</v>
      </c>
      <c r="H110" s="39">
        <v>15.012484572921252</v>
      </c>
    </row>
    <row r="111" spans="2:8" ht="13.8" x14ac:dyDescent="0.3">
      <c r="B111" s="36"/>
      <c r="C111" s="37" t="s">
        <v>44</v>
      </c>
      <c r="D111" s="38">
        <v>45207</v>
      </c>
      <c r="E111" s="39">
        <v>165.79232269387032</v>
      </c>
      <c r="F111" s="39">
        <v>2.1531670303262018</v>
      </c>
      <c r="G111" s="39">
        <v>14.632742035898289</v>
      </c>
      <c r="H111" s="39">
        <v>16.579942534191346</v>
      </c>
    </row>
    <row r="112" spans="2:8" ht="13.8" x14ac:dyDescent="0.3">
      <c r="B112" s="36"/>
      <c r="C112" s="37" t="s">
        <v>45</v>
      </c>
      <c r="D112" s="38">
        <v>45238</v>
      </c>
      <c r="E112" s="39">
        <v>169.46230085928994</v>
      </c>
      <c r="F112" s="39">
        <v>2.2135995839783931</v>
      </c>
      <c r="G112" s="39">
        <v>17.170251936707942</v>
      </c>
      <c r="H112" s="39">
        <v>18.194497367947449</v>
      </c>
    </row>
    <row r="113" spans="2:8" ht="13.8" x14ac:dyDescent="0.3">
      <c r="B113" s="40"/>
      <c r="C113" s="41" t="s">
        <v>46</v>
      </c>
      <c r="D113" s="30">
        <v>45268</v>
      </c>
      <c r="E113" s="31">
        <v>173.56529645328808</v>
      </c>
      <c r="F113" s="31">
        <v>2.4211848730916188</v>
      </c>
      <c r="G113" s="31">
        <v>20.007160352362845</v>
      </c>
      <c r="H113" s="31">
        <v>20.007160352362845</v>
      </c>
    </row>
    <row r="114" spans="2:8" ht="13.8" x14ac:dyDescent="0.3">
      <c r="B114" s="43">
        <v>2024</v>
      </c>
      <c r="C114" s="44" t="s">
        <v>58</v>
      </c>
      <c r="D114" s="38">
        <v>45299</v>
      </c>
      <c r="E114" s="39">
        <v>177.88800908785728</v>
      </c>
      <c r="F114" s="39">
        <v>2.4905397120861466</v>
      </c>
      <c r="G114" s="39">
        <v>2.4905397120861466</v>
      </c>
      <c r="H114" s="39">
        <v>21.986326752829811</v>
      </c>
    </row>
    <row r="115" spans="2:8" ht="13.8" x14ac:dyDescent="0.3">
      <c r="B115" s="36"/>
      <c r="C115" s="44" t="s">
        <v>37</v>
      </c>
      <c r="D115" s="38">
        <v>45330</v>
      </c>
      <c r="E115" s="39">
        <v>182.4833638673168</v>
      </c>
      <c r="F115" s="39">
        <v>2.5832852945079026</v>
      </c>
      <c r="G115" s="39">
        <v>5.1381627527302669</v>
      </c>
      <c r="H115" s="39">
        <v>24.072826455088105</v>
      </c>
    </row>
    <row r="116" spans="2:8" ht="13.8" x14ac:dyDescent="0.3">
      <c r="B116" s="36"/>
      <c r="C116" s="44" t="s">
        <v>38</v>
      </c>
      <c r="D116" s="38">
        <v>45359</v>
      </c>
      <c r="E116" s="39">
        <v>187.11015564247728</v>
      </c>
      <c r="F116" s="39">
        <v>2.5354594945567754</v>
      </c>
      <c r="G116" s="39">
        <v>7.8038982826469407</v>
      </c>
      <c r="H116" s="39">
        <v>26.085689599692955</v>
      </c>
    </row>
    <row r="117" spans="2:8" ht="13.8" x14ac:dyDescent="0.3">
      <c r="B117" s="36"/>
      <c r="C117" s="44" t="s">
        <v>39</v>
      </c>
      <c r="D117" s="38">
        <v>45390</v>
      </c>
      <c r="E117" s="39">
        <v>191.99447379766957</v>
      </c>
      <c r="F117" s="39">
        <v>2.6103971419515233</v>
      </c>
      <c r="G117" s="39">
        <v>10.618008162329474</v>
      </c>
      <c r="H117" s="39">
        <v>28.203266146447049</v>
      </c>
    </row>
    <row r="118" spans="2:8" ht="13.8" x14ac:dyDescent="0.3">
      <c r="B118" s="36"/>
      <c r="C118" s="44" t="s">
        <v>40</v>
      </c>
      <c r="D118" s="38">
        <v>45420</v>
      </c>
      <c r="E118" s="39">
        <v>196.7846864667323</v>
      </c>
      <c r="F118" s="39">
        <v>2.4949742429101462</v>
      </c>
      <c r="G118" s="39">
        <v>13.377898973999834</v>
      </c>
      <c r="H118" s="39">
        <v>30.159198770704137</v>
      </c>
    </row>
    <row r="119" spans="2:8" ht="13.8" x14ac:dyDescent="0.3">
      <c r="B119" s="36"/>
      <c r="C119" s="44" t="s">
        <v>41</v>
      </c>
      <c r="D119" s="38">
        <v>45451</v>
      </c>
      <c r="E119" s="39">
        <v>200.84898518320901</v>
      </c>
      <c r="F119" s="39">
        <v>2.065353147875058</v>
      </c>
      <c r="G119" s="39">
        <v>15.719552979453951</v>
      </c>
      <c r="H119" s="39">
        <v>30.997039058617759</v>
      </c>
    </row>
    <row r="120" spans="2:8" ht="13.8" x14ac:dyDescent="0.3">
      <c r="B120" s="36"/>
      <c r="C120" s="44" t="s">
        <v>35</v>
      </c>
      <c r="D120" s="38">
        <v>45481</v>
      </c>
      <c r="E120" s="39">
        <v>204.21811760527908</v>
      </c>
      <c r="F120" s="39">
        <v>1.6774455788247167</v>
      </c>
      <c r="G120" s="39">
        <v>17.66068550474354</v>
      </c>
      <c r="H120" s="39">
        <v>31.092599830200442</v>
      </c>
    </row>
    <row r="121" spans="2:8" ht="13.8" x14ac:dyDescent="0.3">
      <c r="B121" s="36"/>
      <c r="C121" s="44" t="s">
        <v>42</v>
      </c>
      <c r="D121" s="38">
        <v>45512</v>
      </c>
      <c r="E121" s="39">
        <v>207.50438046185386</v>
      </c>
      <c r="F121" s="39">
        <v>1.6091926098969367</v>
      </c>
      <c r="G121" s="39">
        <v>19.554072560639952</v>
      </c>
      <c r="H121" s="39">
        <v>30.53380074117652</v>
      </c>
    </row>
    <row r="122" spans="2:8" ht="13.8" x14ac:dyDescent="0.3">
      <c r="B122" s="36"/>
      <c r="C122" s="44" t="s">
        <v>43</v>
      </c>
      <c r="D122" s="38">
        <v>45543</v>
      </c>
      <c r="E122" s="39">
        <v>210.87949049405444</v>
      </c>
      <c r="F122" s="39">
        <v>1.6265247146534563</v>
      </c>
      <c r="G122" s="39">
        <v>21.498649098213463</v>
      </c>
      <c r="H122" s="39">
        <v>29.93368731244442</v>
      </c>
    </row>
    <row r="123" spans="2:8" ht="13.8" x14ac:dyDescent="0.3">
      <c r="B123" s="36"/>
      <c r="C123" s="44" t="s">
        <v>44</v>
      </c>
      <c r="D123" s="38">
        <v>45573</v>
      </c>
      <c r="E123" s="39">
        <v>214.15727655095321</v>
      </c>
      <c r="F123" s="39">
        <v>1.5543408461484205</v>
      </c>
      <c r="G123" s="39">
        <v>23.387152228665542</v>
      </c>
      <c r="H123" s="39">
        <v>29.172010543809733</v>
      </c>
    </row>
    <row r="124" spans="2:8" ht="13.8" x14ac:dyDescent="0.3">
      <c r="B124" s="36"/>
      <c r="C124" s="44" t="s">
        <v>45</v>
      </c>
      <c r="D124" s="38">
        <v>45604</v>
      </c>
      <c r="E124" s="39">
        <v>217.59498561652936</v>
      </c>
      <c r="F124" s="39">
        <v>1.6052263649132641</v>
      </c>
      <c r="G124" s="39">
        <v>25.367795327155761</v>
      </c>
      <c r="H124" s="39">
        <v>28.407519257913322</v>
      </c>
    </row>
    <row r="125" spans="2:8" ht="13.8" x14ac:dyDescent="0.3">
      <c r="B125" s="40"/>
      <c r="C125" s="45" t="s">
        <v>46</v>
      </c>
      <c r="D125" s="30">
        <v>45634</v>
      </c>
      <c r="E125" s="31">
        <v>221.29305608594473</v>
      </c>
      <c r="F125" s="31">
        <v>1.6995200780649071</v>
      </c>
      <c r="G125" s="31">
        <v>27.498446180168102</v>
      </c>
      <c r="H125" s="31">
        <v>27.498446180168102</v>
      </c>
    </row>
    <row r="126" spans="2:8" ht="13.8" x14ac:dyDescent="0.3">
      <c r="B126" s="43">
        <v>2025</v>
      </c>
      <c r="C126" s="44" t="s">
        <v>58</v>
      </c>
      <c r="D126" s="38">
        <v>45665</v>
      </c>
      <c r="E126" s="39">
        <v>224.99335677422891</v>
      </c>
      <c r="F126" s="39">
        <v>1.6721268862801963</v>
      </c>
      <c r="G126" s="39">
        <v>1.6721268862801963</v>
      </c>
      <c r="H126" s="39">
        <v>26.480338909806306</v>
      </c>
    </row>
    <row r="127" spans="2:8" ht="13.8" x14ac:dyDescent="0.3">
      <c r="B127" s="36"/>
      <c r="C127" s="44" t="s">
        <v>37</v>
      </c>
      <c r="D127" s="38">
        <v>45696</v>
      </c>
      <c r="E127" s="39">
        <v>228.57900801754698</v>
      </c>
      <c r="F127" s="39">
        <v>1.5936698286234758</v>
      </c>
      <c r="G127" s="39">
        <v>3.2924448965866162</v>
      </c>
      <c r="H127" s="39">
        <v>25.260189845988478</v>
      </c>
    </row>
    <row r="128" spans="2:8" ht="13.8" x14ac:dyDescent="0.3">
      <c r="B128" s="36"/>
      <c r="C128" s="44" t="s">
        <v>38</v>
      </c>
      <c r="D128" s="38">
        <v>45724</v>
      </c>
      <c r="E128" s="39">
        <v>231.73944581017656</v>
      </c>
      <c r="F128" s="39">
        <v>1.38264568563838</v>
      </c>
      <c r="G128" s="39">
        <v>4.720613429539668</v>
      </c>
      <c r="H128" s="39">
        <v>23.851880200973795</v>
      </c>
    </row>
    <row r="129" spans="2:9" ht="13.8" x14ac:dyDescent="0.3">
      <c r="B129" s="36"/>
      <c r="C129" s="44" t="s">
        <v>39</v>
      </c>
      <c r="D129" s="38">
        <v>45755</v>
      </c>
      <c r="E129" s="39">
        <v>234.84314867236199</v>
      </c>
      <c r="F129" s="39">
        <v>1.3393071047248242</v>
      </c>
      <c r="G129" s="39">
        <v>6.1231440453129125</v>
      </c>
      <c r="H129" s="39">
        <v>22.31766051758764</v>
      </c>
    </row>
    <row r="130" spans="2:9" ht="13.8" x14ac:dyDescent="0.3">
      <c r="B130" s="36"/>
      <c r="C130" s="44" t="s">
        <v>40</v>
      </c>
      <c r="D130" s="38">
        <v>45785</v>
      </c>
      <c r="E130" s="39">
        <v>237.59140791548029</v>
      </c>
      <c r="F130" s="1">
        <v>1.1702531066606809</v>
      </c>
      <c r="G130" s="1">
        <v>7.4038830158021227</v>
      </c>
      <c r="H130" s="39">
        <v>20.736736268168215</v>
      </c>
    </row>
    <row r="131" spans="2:9" ht="13.8" x14ac:dyDescent="0.3">
      <c r="B131" s="36"/>
      <c r="C131" s="44" t="s">
        <v>41</v>
      </c>
      <c r="D131" s="38">
        <v>45816</v>
      </c>
      <c r="E131" s="39">
        <v>240.47381444736141</v>
      </c>
      <c r="F131" s="1">
        <v>1.2131779331458432</v>
      </c>
      <c r="G131" s="1">
        <v>8.6675825715775545</v>
      </c>
      <c r="H131" s="39">
        <v>19.72866789842513</v>
      </c>
    </row>
    <row r="132" spans="2:9" ht="13.8" x14ac:dyDescent="0.3">
      <c r="B132" s="36"/>
      <c r="C132" s="44" t="s">
        <v>35</v>
      </c>
      <c r="D132" s="38">
        <v>45846</v>
      </c>
      <c r="E132" s="39">
        <v>246.67763679852985</v>
      </c>
      <c r="F132" s="1">
        <v>1.4692049242386531</v>
      </c>
      <c r="G132" s="1">
        <v>10.264132045770282</v>
      </c>
      <c r="H132" s="1">
        <v>19.483457409176992</v>
      </c>
      <c r="I132" s="46"/>
    </row>
    <row r="133" spans="2:9" ht="13.8" x14ac:dyDescent="0.3">
      <c r="B133" s="36"/>
      <c r="C133" s="44" t="s">
        <v>42</v>
      </c>
      <c r="D133" s="38">
        <v>45877</v>
      </c>
      <c r="E133" s="1">
        <v>246.67763679852985</v>
      </c>
      <c r="F133" s="1">
        <v>1.0945467455046582</v>
      </c>
      <c r="G133" s="1">
        <v>11.471024514536225</v>
      </c>
      <c r="H133" s="1">
        <v>18.878279219689702</v>
      </c>
    </row>
    <row r="134" spans="2:9" ht="13.8" x14ac:dyDescent="0.3">
      <c r="B134" s="36"/>
      <c r="C134" s="44" t="s">
        <v>43</v>
      </c>
      <c r="D134" s="38">
        <v>45908</v>
      </c>
      <c r="E134" s="1">
        <v>249.17006051510913</v>
      </c>
      <c r="F134" s="1">
        <v>1.0103971113583015</v>
      </c>
      <c r="G134" s="1">
        <v>12.597324526232612</v>
      </c>
      <c r="H134" s="1">
        <v>18.157560003273176</v>
      </c>
    </row>
    <row r="135" spans="2:9" ht="13.8" x14ac:dyDescent="0.3">
      <c r="B135" s="36"/>
      <c r="C135" s="44" t="s">
        <v>44</v>
      </c>
      <c r="D135" s="38">
        <v>45938</v>
      </c>
      <c r="E135" s="1">
        <v>251.48655377523238</v>
      </c>
      <c r="F135" s="1">
        <v>0.92968362865681797</v>
      </c>
      <c r="G135" s="1">
        <v>11.775101887825173</v>
      </c>
      <c r="H135" s="1">
        <v>17.430776962368412</v>
      </c>
    </row>
    <row r="136" spans="2:9" ht="13.8" x14ac:dyDescent="0.3">
      <c r="B136" s="36"/>
      <c r="C136" s="44" t="s">
        <v>45</v>
      </c>
      <c r="D136" s="38">
        <v>45969</v>
      </c>
      <c r="E136" s="1">
        <v>253.6260627266671</v>
      </c>
      <c r="F136" s="1">
        <v>0.85074486858924558</v>
      </c>
      <c r="G136" s="1">
        <v>10.957723076301633</v>
      </c>
      <c r="H136" s="1">
        <v>16.558780988471767</v>
      </c>
    </row>
    <row r="137" spans="2:9" ht="13.8" x14ac:dyDescent="0.3">
      <c r="B137" s="40"/>
      <c r="C137" s="45" t="s">
        <v>46</v>
      </c>
      <c r="D137" s="30">
        <v>45999</v>
      </c>
      <c r="E137" s="47">
        <v>256.0299146316454</v>
      </c>
      <c r="F137" s="47">
        <v>0.94779372401050921</v>
      </c>
      <c r="G137" s="47">
        <v>15.697220310523321</v>
      </c>
      <c r="H137" s="47">
        <v>15.697220310523321</v>
      </c>
    </row>
    <row r="138" spans="2:9" ht="13.8" x14ac:dyDescent="0.3">
      <c r="B138" s="43">
        <v>2026</v>
      </c>
      <c r="C138" s="44" t="s">
        <v>58</v>
      </c>
      <c r="D138" s="38">
        <v>46030</v>
      </c>
      <c r="E138" s="39">
        <v>257.76354937133698</v>
      </c>
      <c r="F138" s="39">
        <v>0.67712194576398599</v>
      </c>
      <c r="G138" s="39">
        <v>0.67712194576398599</v>
      </c>
      <c r="H138" s="39">
        <v>14.564960080128801</v>
      </c>
    </row>
    <row r="139" spans="2:9" ht="13.8" x14ac:dyDescent="0.3">
      <c r="B139" s="36"/>
      <c r="C139" s="44" t="s">
        <v>37</v>
      </c>
      <c r="D139" s="38">
        <v>46061</v>
      </c>
      <c r="E139" s="39">
        <v>259.09552875142202</v>
      </c>
      <c r="F139" s="39">
        <v>0.5167446612732931</v>
      </c>
      <c r="G139" s="39">
        <v>1.1973655985423335</v>
      </c>
      <c r="H139" s="39">
        <v>13.350535116300975</v>
      </c>
    </row>
    <row r="140" spans="2:9" ht="13.8" x14ac:dyDescent="0.3">
      <c r="B140" s="36"/>
      <c r="C140" s="44" t="s">
        <v>38</v>
      </c>
      <c r="D140" s="38">
        <v>46089</v>
      </c>
      <c r="E140" s="39">
        <v>260.52252579628811</v>
      </c>
      <c r="F140" s="39">
        <v>0.5507609690305344</v>
      </c>
      <c r="G140" s="39">
        <v>1.7547211899462241</v>
      </c>
      <c r="H140" s="39">
        <v>12.420449132207082</v>
      </c>
    </row>
    <row r="141" spans="2:9" ht="13.8" x14ac:dyDescent="0.3">
      <c r="B141" s="36"/>
      <c r="C141" s="44" t="s">
        <v>39</v>
      </c>
      <c r="D141" s="38">
        <v>46120</v>
      </c>
      <c r="E141" s="39">
        <v>262.0339549768853</v>
      </c>
      <c r="F141" s="39">
        <v>0.58015297371215979</v>
      </c>
      <c r="G141" s="39">
        <v>2.345054230822214</v>
      </c>
      <c r="H141" s="39">
        <v>11.578283828266223</v>
      </c>
    </row>
    <row r="142" spans="2:9" ht="13.8" x14ac:dyDescent="0.3">
      <c r="B142" s="36"/>
      <c r="C142" s="44"/>
      <c r="D142" s="38"/>
      <c r="E142" s="39"/>
      <c r="F142" s="1"/>
      <c r="G142" s="1"/>
      <c r="H142" s="39"/>
    </row>
    <row r="143" spans="2:9" ht="13.8" x14ac:dyDescent="0.3">
      <c r="B143" s="36"/>
      <c r="C143" s="44"/>
      <c r="D143" s="38"/>
      <c r="E143" s="39"/>
      <c r="F143" s="1"/>
      <c r="G143" s="1"/>
      <c r="H143" s="39"/>
    </row>
    <row r="144" spans="2:9" ht="13.8" x14ac:dyDescent="0.3">
      <c r="B144" s="36"/>
      <c r="C144" s="44"/>
      <c r="D144" s="38"/>
      <c r="E144" s="39"/>
      <c r="F144" s="1"/>
      <c r="G144" s="1"/>
      <c r="H144" s="1"/>
    </row>
    <row r="145" spans="2:8" ht="13.8" x14ac:dyDescent="0.3">
      <c r="B145" s="36"/>
      <c r="C145" s="44"/>
      <c r="D145" s="38"/>
      <c r="E145" s="1"/>
      <c r="F145" s="1"/>
      <c r="G145" s="1"/>
      <c r="H145" s="1"/>
    </row>
    <row r="146" spans="2:8" ht="13.8" x14ac:dyDescent="0.3">
      <c r="B146" s="36"/>
      <c r="C146" s="44"/>
      <c r="D146" s="38"/>
      <c r="E146" s="1"/>
      <c r="F146" s="1"/>
      <c r="G146" s="1"/>
      <c r="H146" s="1"/>
    </row>
    <row r="147" spans="2:8" ht="13.8" x14ac:dyDescent="0.3">
      <c r="B147" s="36"/>
      <c r="C147" s="44"/>
      <c r="D147" s="38"/>
      <c r="E147" s="1"/>
      <c r="F147" s="1"/>
      <c r="G147" s="1"/>
      <c r="H147" s="1"/>
    </row>
    <row r="148" spans="2:8" ht="13.8" x14ac:dyDescent="0.3">
      <c r="B148" s="36"/>
      <c r="C148" s="44"/>
      <c r="D148" s="38"/>
      <c r="E148" s="1"/>
      <c r="F148" s="1"/>
      <c r="G148" s="1"/>
      <c r="H148" s="1"/>
    </row>
    <row r="149" spans="2:8" ht="13.8" x14ac:dyDescent="0.3">
      <c r="B149" s="40"/>
      <c r="C149" s="45"/>
      <c r="D149" s="30"/>
      <c r="E149" s="47"/>
      <c r="F149" s="47"/>
      <c r="G149" s="47"/>
      <c r="H149" s="47"/>
    </row>
  </sheetData>
  <mergeCells count="7">
    <mergeCell ref="B1:H1"/>
    <mergeCell ref="B2:H2"/>
    <mergeCell ref="B3:B4"/>
    <mergeCell ref="C3:C4"/>
    <mergeCell ref="D3:D4"/>
    <mergeCell ref="E3:E4"/>
    <mergeCell ref="F3:H3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C0FE-FD12-4C0E-A4A1-5DACAD579266}">
  <dimension ref="A4:X24"/>
  <sheetViews>
    <sheetView showGridLines="0" topLeftCell="E1" workbookViewId="0">
      <selection activeCell="N16" sqref="N16"/>
    </sheetView>
  </sheetViews>
  <sheetFormatPr defaultRowHeight="14.4" x14ac:dyDescent="0.3"/>
  <cols>
    <col min="14" max="14" width="9.5546875" bestFit="1" customWidth="1"/>
  </cols>
  <sheetData>
    <row r="4" spans="1:24" x14ac:dyDescent="0.3">
      <c r="W4" s="2"/>
    </row>
    <row r="5" spans="1:24" x14ac:dyDescent="0.3"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A6" s="83" t="s">
        <v>47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2" t="s">
        <v>90</v>
      </c>
      <c r="O6" s="82"/>
      <c r="P6" s="82"/>
      <c r="Q6" s="82"/>
      <c r="R6" s="82"/>
      <c r="S6" s="82"/>
      <c r="T6" s="82"/>
      <c r="U6" s="82"/>
      <c r="V6" s="82"/>
      <c r="W6" s="82"/>
      <c r="X6" s="82"/>
    </row>
    <row r="7" spans="1:24" x14ac:dyDescent="0.3">
      <c r="A7" s="84" t="s">
        <v>48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4" ht="15" thickBot="1" x14ac:dyDescent="0.35">
      <c r="E8" s="57"/>
      <c r="F8" s="57"/>
      <c r="G8" s="57"/>
      <c r="H8" s="57"/>
      <c r="I8" s="57"/>
      <c r="J8" s="57"/>
      <c r="N8" s="1"/>
      <c r="O8" s="2"/>
      <c r="P8" s="2"/>
      <c r="Q8" s="2"/>
      <c r="R8" s="2"/>
      <c r="S8" s="2"/>
      <c r="T8" s="2"/>
      <c r="U8" s="2"/>
      <c r="V8" s="2"/>
      <c r="W8" s="2"/>
    </row>
    <row r="9" spans="1:24" ht="15" thickBot="1" x14ac:dyDescent="0.35">
      <c r="A9" s="85" t="s">
        <v>49</v>
      </c>
      <c r="B9" s="87" t="s">
        <v>84</v>
      </c>
      <c r="C9" s="88"/>
      <c r="D9" s="88"/>
      <c r="E9" s="88"/>
      <c r="F9" s="88"/>
      <c r="G9" s="89"/>
      <c r="H9" s="87" t="s">
        <v>85</v>
      </c>
      <c r="I9" s="88"/>
      <c r="J9" s="88"/>
      <c r="K9" s="88"/>
      <c r="L9" s="88"/>
      <c r="M9" s="90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4" ht="15" thickBot="1" x14ac:dyDescent="0.35">
      <c r="A10" s="86"/>
      <c r="B10" s="58">
        <v>2021</v>
      </c>
      <c r="C10" s="58">
        <v>2022</v>
      </c>
      <c r="D10" s="58">
        <v>2023</v>
      </c>
      <c r="E10" s="58">
        <v>2024</v>
      </c>
      <c r="F10" s="58">
        <v>2025</v>
      </c>
      <c r="G10" s="58">
        <v>2026</v>
      </c>
      <c r="H10" s="59">
        <v>2021</v>
      </c>
      <c r="I10" s="59">
        <v>2022</v>
      </c>
      <c r="J10" s="59">
        <v>2023</v>
      </c>
      <c r="K10" s="59">
        <v>2024</v>
      </c>
      <c r="L10" s="59">
        <v>2025</v>
      </c>
      <c r="M10" s="59">
        <v>2026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4" x14ac:dyDescent="0.3">
      <c r="A11" s="60" t="s">
        <v>36</v>
      </c>
      <c r="B11" s="61">
        <v>101.5</v>
      </c>
      <c r="C11" s="62">
        <v>129.57</v>
      </c>
      <c r="D11" s="62">
        <v>145.83000000000001</v>
      </c>
      <c r="E11" s="61">
        <v>177.89</v>
      </c>
      <c r="F11" s="61">
        <v>224.99</v>
      </c>
      <c r="G11" s="63">
        <v>257.76354937133709</v>
      </c>
      <c r="H11" s="61">
        <v>24.41</v>
      </c>
      <c r="I11" s="61">
        <v>27.66</v>
      </c>
      <c r="J11" s="61">
        <v>12.54</v>
      </c>
      <c r="K11" s="63">
        <v>21.986326752829612</v>
      </c>
      <c r="L11" s="63">
        <v>26.480338909806544</v>
      </c>
      <c r="M11" s="63">
        <v>14.564960080128685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4" x14ac:dyDescent="0.3">
      <c r="A12" s="60" t="s">
        <v>37</v>
      </c>
      <c r="B12" s="61">
        <v>103.6</v>
      </c>
      <c r="C12" s="62">
        <v>131.86000000000001</v>
      </c>
      <c r="D12" s="62">
        <v>147.08000000000001</v>
      </c>
      <c r="E12" s="61">
        <v>182.48</v>
      </c>
      <c r="F12" s="61">
        <v>228.58</v>
      </c>
      <c r="G12" s="63">
        <v>259.09552875142202</v>
      </c>
      <c r="H12" s="61">
        <v>24.85</v>
      </c>
      <c r="I12" s="61">
        <v>27.28</v>
      </c>
      <c r="J12" s="61">
        <v>11.54</v>
      </c>
      <c r="K12" s="63">
        <v>24.074195563733582</v>
      </c>
      <c r="L12" s="63">
        <v>25.260189845988478</v>
      </c>
      <c r="M12" s="63">
        <v>13.350535116301</v>
      </c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4" x14ac:dyDescent="0.3">
      <c r="A13" s="60" t="s">
        <v>38</v>
      </c>
      <c r="B13" s="61">
        <v>105.45</v>
      </c>
      <c r="C13" s="62">
        <v>133.91999999999999</v>
      </c>
      <c r="D13" s="62">
        <v>148.4</v>
      </c>
      <c r="E13" s="61">
        <v>187.11</v>
      </c>
      <c r="F13" s="61">
        <v>231.74</v>
      </c>
      <c r="G13" s="63">
        <v>260.52252579628811</v>
      </c>
      <c r="H13" s="61">
        <v>24.77</v>
      </c>
      <c r="I13" s="61">
        <v>27</v>
      </c>
      <c r="J13" s="61">
        <v>10.81</v>
      </c>
      <c r="K13" s="63">
        <v>26.085689599692643</v>
      </c>
      <c r="L13" s="63">
        <v>23.851880200973795</v>
      </c>
      <c r="M13" s="63">
        <v>12.420449132207082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4" x14ac:dyDescent="0.3">
      <c r="A14" s="60" t="s">
        <v>39</v>
      </c>
      <c r="B14" s="61">
        <v>107.65</v>
      </c>
      <c r="C14" s="62">
        <v>135.41999999999999</v>
      </c>
      <c r="D14" s="62">
        <v>149.76</v>
      </c>
      <c r="E14" s="61">
        <v>191.99</v>
      </c>
      <c r="F14" s="61">
        <v>234.84</v>
      </c>
      <c r="G14" s="63">
        <v>262.0339549768853</v>
      </c>
      <c r="H14" s="61">
        <v>24.82</v>
      </c>
      <c r="I14" s="61">
        <v>25.79</v>
      </c>
      <c r="J14" s="61">
        <v>10.59</v>
      </c>
      <c r="K14" s="63">
        <v>28.201438166178949</v>
      </c>
      <c r="L14" s="63">
        <v>22.317660517587633</v>
      </c>
      <c r="M14" s="63">
        <v>11.578283828266223</v>
      </c>
      <c r="N14" s="100">
        <f>+M14-L14</f>
        <v>-10.739376689321411</v>
      </c>
      <c r="O14" s="2"/>
      <c r="P14" s="2"/>
      <c r="Q14" s="2"/>
      <c r="R14" s="2"/>
      <c r="S14" s="2"/>
      <c r="T14" s="2"/>
      <c r="U14" s="2"/>
      <c r="V14" s="2"/>
      <c r="W14" s="2"/>
    </row>
    <row r="15" spans="1:24" x14ac:dyDescent="0.3">
      <c r="A15" s="60" t="s">
        <v>40</v>
      </c>
      <c r="B15" s="61">
        <v>109.84</v>
      </c>
      <c r="C15" s="62">
        <v>136.66999999999999</v>
      </c>
      <c r="D15" s="62">
        <v>151.19</v>
      </c>
      <c r="E15" s="61">
        <v>196.78</v>
      </c>
      <c r="F15" s="61">
        <v>237.59</v>
      </c>
      <c r="G15" s="61"/>
      <c r="H15" s="61">
        <v>24.94</v>
      </c>
      <c r="I15" s="61">
        <v>24.42</v>
      </c>
      <c r="J15" s="61">
        <v>10.62</v>
      </c>
      <c r="K15" s="63">
        <v>30.157210441651095</v>
      </c>
      <c r="L15" s="63">
        <v>20.736736268168077</v>
      </c>
      <c r="M15" s="61"/>
      <c r="N15" s="100">
        <f>+M14-M13</f>
        <v>-0.84216530394085964</v>
      </c>
      <c r="O15" s="2"/>
      <c r="P15" s="2"/>
      <c r="Q15" s="2"/>
      <c r="R15" s="2"/>
      <c r="S15" s="2"/>
      <c r="T15" s="2"/>
      <c r="U15" s="2"/>
      <c r="V15" s="2"/>
      <c r="W15" s="2"/>
    </row>
    <row r="16" spans="1:24" x14ac:dyDescent="0.3">
      <c r="A16" s="60" t="s">
        <v>41</v>
      </c>
      <c r="B16" s="61">
        <v>112.09</v>
      </c>
      <c r="C16" s="62">
        <v>137.82</v>
      </c>
      <c r="D16" s="62">
        <v>153.32</v>
      </c>
      <c r="E16" s="61">
        <v>200.85</v>
      </c>
      <c r="F16" s="61">
        <v>240.47</v>
      </c>
      <c r="G16" s="61"/>
      <c r="H16" s="61">
        <v>25.32</v>
      </c>
      <c r="I16" s="61">
        <v>22.96</v>
      </c>
      <c r="J16" s="61">
        <v>11.25</v>
      </c>
      <c r="K16" s="63">
        <v>30.997039058617748</v>
      </c>
      <c r="L16" s="63">
        <v>19.728667898425133</v>
      </c>
      <c r="M16" s="61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60" t="s">
        <v>35</v>
      </c>
      <c r="B17" s="61">
        <v>114.45</v>
      </c>
      <c r="C17" s="62">
        <v>138.94</v>
      </c>
      <c r="D17" s="62">
        <v>155.78</v>
      </c>
      <c r="E17" s="61">
        <v>204.22</v>
      </c>
      <c r="F17" s="61">
        <v>244.01</v>
      </c>
      <c r="G17" s="61"/>
      <c r="H17" s="61">
        <v>25.72</v>
      </c>
      <c r="I17" s="61">
        <v>21.4</v>
      </c>
      <c r="J17" s="61">
        <v>12.12</v>
      </c>
      <c r="K17" s="63">
        <v>31.092599830200452</v>
      </c>
      <c r="L17" s="63">
        <v>19.483457409176985</v>
      </c>
      <c r="M17" s="61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60" t="s">
        <v>42</v>
      </c>
      <c r="B18" s="61">
        <v>116.88</v>
      </c>
      <c r="C18" s="62">
        <v>140</v>
      </c>
      <c r="D18" s="62">
        <v>158.97</v>
      </c>
      <c r="E18" s="61">
        <v>207.5</v>
      </c>
      <c r="F18" s="61">
        <v>246.68</v>
      </c>
      <c r="G18" s="61"/>
      <c r="H18" s="61">
        <v>26.09</v>
      </c>
      <c r="I18" s="61">
        <v>19.78</v>
      </c>
      <c r="J18" s="61">
        <v>13.54</v>
      </c>
      <c r="K18" s="63">
        <v>30.53380074117651</v>
      </c>
      <c r="L18" s="63">
        <v>18.878279219689698</v>
      </c>
      <c r="M18" s="61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60" t="s">
        <v>43</v>
      </c>
      <c r="B19" s="61">
        <v>119.43</v>
      </c>
      <c r="C19" s="62">
        <v>141.11000000000001</v>
      </c>
      <c r="D19" s="62">
        <v>162.30000000000001</v>
      </c>
      <c r="E19" s="61">
        <v>210.88</v>
      </c>
      <c r="F19" s="61" t="s">
        <v>86</v>
      </c>
      <c r="G19" s="61"/>
      <c r="H19" s="61">
        <v>26.57</v>
      </c>
      <c r="I19" s="61">
        <v>18.16</v>
      </c>
      <c r="J19" s="61">
        <v>15.01</v>
      </c>
      <c r="K19" s="63">
        <v>29.933687312444746</v>
      </c>
      <c r="L19" s="63">
        <v>18.157560003273176</v>
      </c>
      <c r="M19" s="61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60" t="s">
        <v>44</v>
      </c>
      <c r="B20" s="61">
        <v>121.88</v>
      </c>
      <c r="C20" s="62">
        <v>142.21</v>
      </c>
      <c r="D20" s="62">
        <v>165.79</v>
      </c>
      <c r="E20" s="61">
        <v>214.16</v>
      </c>
      <c r="F20" s="61">
        <v>251.49</v>
      </c>
      <c r="G20" s="61"/>
      <c r="H20" s="61">
        <v>26.87</v>
      </c>
      <c r="I20" s="61">
        <v>16.68</v>
      </c>
      <c r="J20" s="61">
        <v>16.579999999999998</v>
      </c>
      <c r="K20" s="63">
        <v>29.172010543809733</v>
      </c>
      <c r="L20" s="63">
        <v>17.430776962368412</v>
      </c>
      <c r="M20" s="61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60" t="s">
        <v>45</v>
      </c>
      <c r="B21" s="61">
        <v>124.42</v>
      </c>
      <c r="C21" s="62">
        <v>143.38</v>
      </c>
      <c r="D21" s="62">
        <v>169.46</v>
      </c>
      <c r="E21" s="61">
        <v>217.59</v>
      </c>
      <c r="F21" s="61">
        <v>253.63</v>
      </c>
      <c r="G21" s="61"/>
      <c r="H21" s="61">
        <v>26.98</v>
      </c>
      <c r="I21" s="61">
        <v>15.24</v>
      </c>
      <c r="J21" s="61">
        <v>18.190000000000001</v>
      </c>
      <c r="K21" s="63">
        <v>28.403181423345323</v>
      </c>
      <c r="L21" s="63">
        <v>16.558780988471767</v>
      </c>
      <c r="M21" s="61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" thickBot="1" x14ac:dyDescent="0.35">
      <c r="A22" s="64" t="s">
        <v>46</v>
      </c>
      <c r="B22" s="65">
        <v>127.03</v>
      </c>
      <c r="C22" s="66">
        <v>144.63</v>
      </c>
      <c r="D22" s="66">
        <v>173.57</v>
      </c>
      <c r="E22" s="65">
        <v>221.29</v>
      </c>
      <c r="F22" s="65" t="s">
        <v>87</v>
      </c>
      <c r="G22" s="65"/>
      <c r="H22" s="65">
        <v>27.03</v>
      </c>
      <c r="I22" s="65">
        <v>13.85</v>
      </c>
      <c r="J22" s="65">
        <v>20.010000000000002</v>
      </c>
      <c r="K22" s="67">
        <v>27.498446180168166</v>
      </c>
      <c r="L22" s="67">
        <v>15.697220310523319</v>
      </c>
      <c r="M22" s="65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" thickBot="1" x14ac:dyDescent="0.35">
      <c r="A23" s="68" t="s">
        <v>88</v>
      </c>
      <c r="B23" s="69" t="s">
        <v>89</v>
      </c>
      <c r="C23" s="69" t="s">
        <v>89</v>
      </c>
      <c r="D23" s="69" t="s">
        <v>89</v>
      </c>
      <c r="E23" s="69" t="s">
        <v>89</v>
      </c>
      <c r="F23" s="69" t="s">
        <v>89</v>
      </c>
      <c r="G23" s="69" t="s">
        <v>89</v>
      </c>
      <c r="H23" s="70">
        <f>+GEOMEAN(H11:H22)</f>
        <v>25.68066093440223</v>
      </c>
      <c r="I23" s="70">
        <f>+GEOMEAN(I11:I22)</f>
        <v>21.141444477117918</v>
      </c>
      <c r="J23" s="70">
        <f>+GEOMEAN(J11:J22)</f>
        <v>13.255283703915669</v>
      </c>
      <c r="K23" s="70">
        <f>+GEOMEAN(K11:K22)</f>
        <v>28.034582123966388</v>
      </c>
      <c r="L23" s="70">
        <f>+GEOMEAN(L11:L22)</f>
        <v>20.122655029003635</v>
      </c>
      <c r="M23" s="70">
        <f>GEOMEAN(L14:L22,M11:M13)</f>
        <v>17.193217504243417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N24" s="2"/>
      <c r="O24" s="2"/>
      <c r="P24" s="2"/>
      <c r="Q24" s="2"/>
      <c r="R24" s="2"/>
      <c r="S24" s="2"/>
      <c r="T24" s="2"/>
      <c r="U24" s="2"/>
      <c r="V24" s="2"/>
      <c r="W24" s="2"/>
    </row>
  </sheetData>
  <mergeCells count="6">
    <mergeCell ref="N6:X6"/>
    <mergeCell ref="A6:M6"/>
    <mergeCell ref="A7:M7"/>
    <mergeCell ref="A9:A10"/>
    <mergeCell ref="B9:G9"/>
    <mergeCell ref="H9:M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5EFF-AD0A-4283-9A33-D9CFEC95BE24}">
  <dimension ref="B2:I55"/>
  <sheetViews>
    <sheetView showGridLines="0" tabSelected="1" topLeftCell="B36" workbookViewId="0">
      <selection activeCell="B47" sqref="A47:XFD47"/>
    </sheetView>
  </sheetViews>
  <sheetFormatPr defaultRowHeight="14.4" x14ac:dyDescent="0.3"/>
  <cols>
    <col min="3" max="3" width="32.88671875" customWidth="1"/>
    <col min="4" max="4" width="10.109375" customWidth="1"/>
    <col min="5" max="5" width="9.33203125" customWidth="1"/>
    <col min="6" max="6" width="11.6640625" bestFit="1" customWidth="1"/>
    <col min="10" max="10" width="2.33203125" customWidth="1"/>
  </cols>
  <sheetData>
    <row r="2" spans="2:6" x14ac:dyDescent="0.3">
      <c r="C2" s="3" t="s">
        <v>15</v>
      </c>
      <c r="D2" s="3" t="s">
        <v>13</v>
      </c>
      <c r="E2" s="3" t="s">
        <v>12</v>
      </c>
      <c r="F2" s="3" t="s">
        <v>16</v>
      </c>
    </row>
    <row r="3" spans="2:6" x14ac:dyDescent="0.3">
      <c r="B3">
        <v>0</v>
      </c>
      <c r="C3" t="s">
        <v>14</v>
      </c>
      <c r="D3" s="4">
        <v>11.578283828266137</v>
      </c>
      <c r="E3" s="4">
        <v>11.578283828266137</v>
      </c>
      <c r="F3" s="5">
        <v>100.00000000000038</v>
      </c>
    </row>
    <row r="4" spans="2:6" x14ac:dyDescent="0.3">
      <c r="B4">
        <v>1</v>
      </c>
      <c r="C4" t="s">
        <v>5</v>
      </c>
      <c r="D4" s="4">
        <v>11.95825636755616</v>
      </c>
      <c r="E4" s="4">
        <v>7.2746841566525093</v>
      </c>
      <c r="F4" s="5">
        <v>62.830418260198265</v>
      </c>
    </row>
    <row r="5" spans="2:6" x14ac:dyDescent="0.3">
      <c r="B5">
        <v>2</v>
      </c>
      <c r="C5" t="s">
        <v>6</v>
      </c>
      <c r="D5" s="4">
        <v>9.6330073591696106</v>
      </c>
      <c r="E5" s="4">
        <v>0.14687797127421254</v>
      </c>
      <c r="F5" s="5">
        <v>1.2685642661103058</v>
      </c>
    </row>
    <row r="6" spans="2:6" x14ac:dyDescent="0.3">
      <c r="B6">
        <v>3</v>
      </c>
      <c r="C6" t="s">
        <v>7</v>
      </c>
      <c r="D6" s="4">
        <v>8.4718753068189443</v>
      </c>
      <c r="E6" s="4">
        <v>0.34821210697105553</v>
      </c>
      <c r="F6" s="5">
        <v>3.0074587230359917</v>
      </c>
    </row>
    <row r="7" spans="2:6" x14ac:dyDescent="0.3">
      <c r="B7">
        <v>4</v>
      </c>
      <c r="C7" t="s">
        <v>8</v>
      </c>
      <c r="D7" s="4">
        <v>15.166285513218568</v>
      </c>
      <c r="E7" s="4">
        <v>0.57723666960200182</v>
      </c>
      <c r="F7" s="5">
        <v>4.9855114813543464</v>
      </c>
    </row>
    <row r="8" spans="2:6" x14ac:dyDescent="0.3">
      <c r="B8">
        <v>5</v>
      </c>
      <c r="C8" t="s">
        <v>0</v>
      </c>
      <c r="D8" s="4">
        <v>10.377933151499548</v>
      </c>
      <c r="E8" s="4">
        <v>0.45866284003173113</v>
      </c>
      <c r="F8" s="5">
        <v>3.9614060843109984</v>
      </c>
    </row>
    <row r="9" spans="2:6" x14ac:dyDescent="0.3">
      <c r="B9">
        <v>6</v>
      </c>
      <c r="C9" t="s">
        <v>1</v>
      </c>
      <c r="D9" s="4">
        <v>12.279166187019342</v>
      </c>
      <c r="E9" s="4">
        <v>0.53214387691338083</v>
      </c>
      <c r="F9" s="5">
        <v>4.5960514080182993</v>
      </c>
    </row>
    <row r="10" spans="2:6" x14ac:dyDescent="0.3">
      <c r="B10">
        <v>7</v>
      </c>
      <c r="C10" t="s">
        <v>2</v>
      </c>
      <c r="D10" s="4">
        <v>16.452007984431049</v>
      </c>
      <c r="E10" s="4">
        <v>0.79114796689763056</v>
      </c>
      <c r="F10" s="5">
        <v>6.83303310432066</v>
      </c>
    </row>
    <row r="11" spans="2:6" x14ac:dyDescent="0.3">
      <c r="B11">
        <v>8</v>
      </c>
      <c r="C11" t="s">
        <v>3</v>
      </c>
      <c r="D11" s="4">
        <v>6.5762143419808581</v>
      </c>
      <c r="E11" s="4">
        <v>0.14281042207861633</v>
      </c>
      <c r="F11" s="5">
        <v>1.2334334189491223</v>
      </c>
    </row>
    <row r="12" spans="2:6" x14ac:dyDescent="0.3">
      <c r="B12">
        <v>9</v>
      </c>
      <c r="C12" t="s">
        <v>4</v>
      </c>
      <c r="D12" s="4">
        <v>6.8042005177462102</v>
      </c>
      <c r="E12" s="4">
        <v>0.12750329414299078</v>
      </c>
      <c r="F12" s="5">
        <v>1.1012279197346688</v>
      </c>
    </row>
    <row r="13" spans="2:6" x14ac:dyDescent="0.3">
      <c r="B13">
        <v>10</v>
      </c>
      <c r="C13" t="s">
        <v>9</v>
      </c>
      <c r="D13" s="4">
        <v>13.401396797642789</v>
      </c>
      <c r="E13" s="4">
        <v>0.25693532215520615</v>
      </c>
      <c r="F13" s="5">
        <v>2.2191140411323165</v>
      </c>
    </row>
    <row r="14" spans="2:6" x14ac:dyDescent="0.3">
      <c r="B14">
        <v>11</v>
      </c>
      <c r="C14" t="s">
        <v>10</v>
      </c>
      <c r="D14" s="4">
        <v>6.6231651004399481</v>
      </c>
      <c r="E14" s="4">
        <v>0.203894224417282</v>
      </c>
      <c r="F14" s="5">
        <v>1.7610055811511007</v>
      </c>
    </row>
    <row r="15" spans="2:6" ht="15" thickBot="1" x14ac:dyDescent="0.35">
      <c r="B15">
        <v>12</v>
      </c>
      <c r="C15" s="6" t="s">
        <v>11</v>
      </c>
      <c r="D15" s="7">
        <v>10.084408213321112</v>
      </c>
      <c r="E15" s="7">
        <v>0.71817497712956413</v>
      </c>
      <c r="F15" s="8">
        <v>6.2027757116843087</v>
      </c>
    </row>
    <row r="21" spans="2:9" x14ac:dyDescent="0.3">
      <c r="B21" s="91" t="s">
        <v>91</v>
      </c>
      <c r="C21" s="91"/>
      <c r="D21" s="91"/>
      <c r="E21" s="91"/>
      <c r="F21" s="91"/>
      <c r="G21" s="91"/>
      <c r="H21" s="91"/>
      <c r="I21" s="91"/>
    </row>
    <row r="22" spans="2:9" ht="25.5" customHeight="1" x14ac:dyDescent="0.3">
      <c r="C22" s="92" t="s">
        <v>17</v>
      </c>
      <c r="D22" s="22" t="s">
        <v>18</v>
      </c>
      <c r="E22" s="22" t="s">
        <v>16</v>
      </c>
    </row>
    <row r="23" spans="2:9" ht="19.5" customHeight="1" x14ac:dyDescent="0.3">
      <c r="C23" s="93"/>
      <c r="D23" s="23" t="s">
        <v>60</v>
      </c>
      <c r="E23" s="23" t="s">
        <v>59</v>
      </c>
    </row>
    <row r="24" spans="2:9" x14ac:dyDescent="0.3">
      <c r="C24" s="54" t="s">
        <v>19</v>
      </c>
      <c r="D24" s="55">
        <v>11.578283828266137</v>
      </c>
      <c r="E24" s="55">
        <v>100.00000000000038</v>
      </c>
    </row>
    <row r="25" spans="2:9" s="48" customFormat="1" x14ac:dyDescent="0.3">
      <c r="C25" s="18" t="s">
        <v>20</v>
      </c>
      <c r="D25" s="19">
        <v>7.2746841566525093</v>
      </c>
      <c r="E25" s="19">
        <v>62.830418260198265</v>
      </c>
    </row>
    <row r="26" spans="2:9" x14ac:dyDescent="0.3">
      <c r="C26" s="18" t="s">
        <v>21</v>
      </c>
      <c r="D26" s="19">
        <v>0.14687797127421254</v>
      </c>
      <c r="E26" s="19">
        <v>1.2685642661103058</v>
      </c>
    </row>
    <row r="27" spans="2:9" x14ac:dyDescent="0.3">
      <c r="C27" s="18" t="s">
        <v>22</v>
      </c>
      <c r="D27" s="19">
        <v>0.34821210697105553</v>
      </c>
      <c r="E27" s="19">
        <v>3.0074587230359917</v>
      </c>
    </row>
    <row r="28" spans="2:9" x14ac:dyDescent="0.3">
      <c r="C28" s="18" t="s">
        <v>23</v>
      </c>
      <c r="D28" s="19">
        <v>0.57723666960200182</v>
      </c>
      <c r="E28" s="19">
        <v>4.9855114813543464</v>
      </c>
    </row>
    <row r="29" spans="2:9" x14ac:dyDescent="0.3">
      <c r="C29" s="18" t="s">
        <v>24</v>
      </c>
      <c r="D29" s="19">
        <v>0.45866284003173113</v>
      </c>
      <c r="E29" s="19">
        <v>3.9614060843109984</v>
      </c>
    </row>
    <row r="30" spans="2:9" s="48" customFormat="1" x14ac:dyDescent="0.3">
      <c r="C30" s="18" t="s">
        <v>25</v>
      </c>
      <c r="D30" s="19">
        <v>0.53214387691338083</v>
      </c>
      <c r="E30" s="19">
        <v>4.5960514080182993</v>
      </c>
    </row>
    <row r="31" spans="2:9" s="48" customFormat="1" x14ac:dyDescent="0.3">
      <c r="C31" s="18" t="s">
        <v>26</v>
      </c>
      <c r="D31" s="19">
        <v>0.79114796689763056</v>
      </c>
      <c r="E31" s="19">
        <v>6.83303310432066</v>
      </c>
    </row>
    <row r="32" spans="2:9" x14ac:dyDescent="0.3">
      <c r="C32" s="18" t="s">
        <v>27</v>
      </c>
      <c r="D32" s="19">
        <v>0.14281042207861633</v>
      </c>
      <c r="E32" s="19">
        <v>1.2334334189491223</v>
      </c>
    </row>
    <row r="33" spans="2:9" x14ac:dyDescent="0.3">
      <c r="C33" s="18" t="s">
        <v>28</v>
      </c>
      <c r="D33" s="19">
        <v>0.12750329414299078</v>
      </c>
      <c r="E33" s="19">
        <v>1.1012279197346688</v>
      </c>
    </row>
    <row r="34" spans="2:9" x14ac:dyDescent="0.3">
      <c r="C34" s="18" t="s">
        <v>29</v>
      </c>
      <c r="D34" s="19">
        <v>0.25693532215520615</v>
      </c>
      <c r="E34" s="19">
        <v>2.2191140411323165</v>
      </c>
    </row>
    <row r="35" spans="2:9" x14ac:dyDescent="0.3">
      <c r="C35" s="18" t="s">
        <v>30</v>
      </c>
      <c r="D35" s="19">
        <v>0.203894224417282</v>
      </c>
      <c r="E35" s="19">
        <v>1.7610055811511007</v>
      </c>
    </row>
    <row r="36" spans="2:9" s="48" customFormat="1" x14ac:dyDescent="0.3">
      <c r="C36" s="56" t="s">
        <v>31</v>
      </c>
      <c r="D36" s="53">
        <v>0.71817497712956413</v>
      </c>
      <c r="E36" s="53">
        <v>6.2027757116843087</v>
      </c>
    </row>
    <row r="37" spans="2:9" x14ac:dyDescent="0.3">
      <c r="D37" s="9"/>
      <c r="E37" s="9"/>
    </row>
    <row r="38" spans="2:9" x14ac:dyDescent="0.3">
      <c r="D38" s="9"/>
      <c r="E38" s="9"/>
    </row>
    <row r="39" spans="2:9" x14ac:dyDescent="0.3">
      <c r="B39" s="91" t="s">
        <v>92</v>
      </c>
      <c r="C39" s="91"/>
      <c r="D39" s="91"/>
      <c r="E39" s="91"/>
      <c r="F39" s="91"/>
      <c r="G39" s="91"/>
      <c r="H39" s="91"/>
      <c r="I39" s="91"/>
    </row>
    <row r="40" spans="2:9" x14ac:dyDescent="0.3">
      <c r="C40" s="94" t="s">
        <v>32</v>
      </c>
      <c r="D40" s="97" t="s">
        <v>61</v>
      </c>
      <c r="E40" s="20"/>
      <c r="F40" s="99"/>
    </row>
    <row r="41" spans="2:9" x14ac:dyDescent="0.3">
      <c r="C41" s="95"/>
      <c r="D41" s="98"/>
      <c r="E41" s="17"/>
      <c r="F41" s="99"/>
    </row>
    <row r="42" spans="2:9" x14ac:dyDescent="0.3">
      <c r="C42" s="96"/>
      <c r="D42" s="98"/>
      <c r="E42" s="17"/>
      <c r="F42" s="17"/>
    </row>
    <row r="43" spans="2:9" x14ac:dyDescent="0.3">
      <c r="C43" s="18" t="s">
        <v>33</v>
      </c>
      <c r="D43" s="55">
        <v>11.578283828266137</v>
      </c>
      <c r="E43" s="17"/>
      <c r="F43" s="17"/>
    </row>
    <row r="44" spans="2:9" x14ac:dyDescent="0.3">
      <c r="C44" s="18" t="s">
        <v>20</v>
      </c>
      <c r="D44" s="19">
        <v>11.95825636755616</v>
      </c>
      <c r="E44" s="17"/>
      <c r="F44" s="17"/>
    </row>
    <row r="45" spans="2:9" s="48" customFormat="1" x14ac:dyDescent="0.3">
      <c r="C45" s="18" t="s">
        <v>21</v>
      </c>
      <c r="D45" s="19">
        <v>9.6330073591696106</v>
      </c>
      <c r="E45" s="9"/>
      <c r="F45" s="9"/>
    </row>
    <row r="46" spans="2:9" x14ac:dyDescent="0.3">
      <c r="C46" s="18" t="s">
        <v>22</v>
      </c>
      <c r="D46" s="19">
        <v>8.4718753068189443</v>
      </c>
      <c r="E46" s="17"/>
      <c r="F46" s="17"/>
    </row>
    <row r="47" spans="2:9" x14ac:dyDescent="0.3">
      <c r="C47" s="18" t="s">
        <v>23</v>
      </c>
      <c r="D47" s="19">
        <v>15.166285513218568</v>
      </c>
      <c r="E47" s="17"/>
      <c r="F47" s="17"/>
    </row>
    <row r="48" spans="2:9" x14ac:dyDescent="0.3">
      <c r="C48" s="18" t="s">
        <v>24</v>
      </c>
      <c r="D48" s="19">
        <v>10.377933151499548</v>
      </c>
      <c r="E48" s="17"/>
      <c r="F48" s="17"/>
    </row>
    <row r="49" spans="3:6" s="48" customFormat="1" x14ac:dyDescent="0.3">
      <c r="C49" s="18" t="s">
        <v>25</v>
      </c>
      <c r="D49" s="19">
        <v>12.279166187019342</v>
      </c>
      <c r="E49" s="9"/>
      <c r="F49" s="9"/>
    </row>
    <row r="50" spans="3:6" s="48" customFormat="1" x14ac:dyDescent="0.3">
      <c r="C50" s="18" t="s">
        <v>26</v>
      </c>
      <c r="D50" s="19">
        <v>16.452007984431049</v>
      </c>
      <c r="E50" s="9"/>
      <c r="F50" s="9"/>
    </row>
    <row r="51" spans="3:6" x14ac:dyDescent="0.3">
      <c r="C51" s="18" t="s">
        <v>27</v>
      </c>
      <c r="D51" s="19">
        <v>6.5762143419808581</v>
      </c>
      <c r="E51" s="17"/>
      <c r="F51" s="17"/>
    </row>
    <row r="52" spans="3:6" x14ac:dyDescent="0.3">
      <c r="C52" s="18" t="s">
        <v>28</v>
      </c>
      <c r="D52" s="19">
        <v>6.8042005177462102</v>
      </c>
      <c r="E52" s="17"/>
      <c r="F52" s="17"/>
    </row>
    <row r="53" spans="3:6" x14ac:dyDescent="0.3">
      <c r="C53" s="18" t="s">
        <v>29</v>
      </c>
      <c r="D53" s="19">
        <v>13.401396797642789</v>
      </c>
      <c r="E53" s="17"/>
      <c r="F53" s="17"/>
    </row>
    <row r="54" spans="3:6" x14ac:dyDescent="0.3">
      <c r="C54" s="18" t="s">
        <v>30</v>
      </c>
      <c r="D54" s="19">
        <v>6.6231651004399481</v>
      </c>
      <c r="E54" s="17"/>
      <c r="F54" s="17"/>
    </row>
    <row r="55" spans="3:6" s="48" customFormat="1" x14ac:dyDescent="0.3">
      <c r="C55" s="52" t="s">
        <v>31</v>
      </c>
      <c r="D55" s="53">
        <v>10.084408213321112</v>
      </c>
      <c r="E55" s="21"/>
      <c r="F55" s="21"/>
    </row>
  </sheetData>
  <mergeCells count="6">
    <mergeCell ref="B21:I21"/>
    <mergeCell ref="C22:C23"/>
    <mergeCell ref="C40:C42"/>
    <mergeCell ref="D40:D42"/>
    <mergeCell ref="F40:F41"/>
    <mergeCell ref="B39:I39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E390-49DA-4391-AAE4-36213DB492DE}">
  <dimension ref="C6:E44"/>
  <sheetViews>
    <sheetView showGridLines="0" zoomScale="80" zoomScaleNormal="80" workbookViewId="0">
      <selection activeCell="T41" sqref="T41"/>
    </sheetView>
  </sheetViews>
  <sheetFormatPr defaultRowHeight="14.4" x14ac:dyDescent="0.3"/>
  <cols>
    <col min="1" max="1" width="6.88671875" customWidth="1"/>
    <col min="2" max="2" width="5.44140625" customWidth="1"/>
    <col min="3" max="3" width="6.88671875" customWidth="1"/>
    <col min="4" max="4" width="17.5546875" customWidth="1"/>
    <col min="23" max="23" width="7.33203125" customWidth="1"/>
  </cols>
  <sheetData>
    <row r="6" spans="3:5" x14ac:dyDescent="0.3">
      <c r="C6" s="10" t="s">
        <v>62</v>
      </c>
      <c r="D6" s="10" t="s">
        <v>63</v>
      </c>
      <c r="E6" s="10"/>
    </row>
    <row r="7" spans="3:5" x14ac:dyDescent="0.3">
      <c r="C7" s="49">
        <v>1</v>
      </c>
      <c r="D7" s="15" t="s">
        <v>64</v>
      </c>
      <c r="E7" s="50">
        <v>17.919213596141347</v>
      </c>
    </row>
    <row r="8" spans="3:5" x14ac:dyDescent="0.3">
      <c r="C8" s="51">
        <v>2</v>
      </c>
      <c r="D8" s="16" t="s">
        <v>65</v>
      </c>
      <c r="E8" s="50">
        <v>10.106744931434548</v>
      </c>
    </row>
    <row r="9" spans="3:5" x14ac:dyDescent="0.3">
      <c r="C9" s="49">
        <v>3</v>
      </c>
      <c r="D9" s="15" t="s">
        <v>66</v>
      </c>
      <c r="E9" s="50">
        <v>12.42539949499178</v>
      </c>
    </row>
    <row r="10" spans="3:5" x14ac:dyDescent="0.3">
      <c r="C10" s="51">
        <v>4</v>
      </c>
      <c r="D10" s="15" t="s">
        <v>67</v>
      </c>
      <c r="E10" s="50">
        <v>11.081509785655967</v>
      </c>
    </row>
    <row r="11" spans="3:5" x14ac:dyDescent="0.3">
      <c r="C11" s="49">
        <v>5</v>
      </c>
      <c r="D11" s="16" t="s">
        <v>68</v>
      </c>
      <c r="E11" s="50">
        <v>10.307704856064731</v>
      </c>
    </row>
    <row r="12" spans="3:5" x14ac:dyDescent="0.3">
      <c r="C12" s="51">
        <v>6</v>
      </c>
      <c r="D12" s="16" t="s">
        <v>69</v>
      </c>
      <c r="E12" s="50">
        <v>11.310036194589571</v>
      </c>
    </row>
    <row r="13" spans="3:5" x14ac:dyDescent="0.3">
      <c r="C13" s="49">
        <v>7</v>
      </c>
      <c r="D13" s="15" t="s">
        <v>70</v>
      </c>
      <c r="E13" s="50">
        <v>14.199683085588006</v>
      </c>
    </row>
    <row r="14" spans="3:5" x14ac:dyDescent="0.3">
      <c r="C14" s="51">
        <v>8</v>
      </c>
      <c r="D14" s="15" t="s">
        <v>71</v>
      </c>
      <c r="E14" s="50">
        <v>9.2559611422768455</v>
      </c>
    </row>
    <row r="15" spans="3:5" x14ac:dyDescent="0.3">
      <c r="C15" s="49">
        <v>9</v>
      </c>
      <c r="D15" s="16" t="s">
        <v>72</v>
      </c>
      <c r="E15" s="50">
        <v>11.515616350846344</v>
      </c>
    </row>
    <row r="16" spans="3:5" x14ac:dyDescent="0.3">
      <c r="C16" s="51">
        <v>10</v>
      </c>
      <c r="D16" s="16" t="s">
        <v>73</v>
      </c>
      <c r="E16" s="50">
        <v>8.7778532649734444</v>
      </c>
    </row>
    <row r="17" spans="3:5" x14ac:dyDescent="0.3">
      <c r="C17" s="49">
        <v>11</v>
      </c>
      <c r="D17" s="16" t="s">
        <v>74</v>
      </c>
      <c r="E17" s="50">
        <v>12.206196935352878</v>
      </c>
    </row>
    <row r="18" spans="3:5" x14ac:dyDescent="0.3">
      <c r="C18" s="51">
        <v>12</v>
      </c>
      <c r="D18" s="15" t="s">
        <v>75</v>
      </c>
      <c r="E18" s="50">
        <v>12.919361286711094</v>
      </c>
    </row>
    <row r="19" spans="3:5" x14ac:dyDescent="0.3">
      <c r="C19" s="49">
        <v>13</v>
      </c>
      <c r="D19" s="15" t="s">
        <v>76</v>
      </c>
      <c r="E19" s="50">
        <v>10.348541799677207</v>
      </c>
    </row>
    <row r="20" spans="3:5" x14ac:dyDescent="0.3">
      <c r="C20" s="51">
        <v>14</v>
      </c>
      <c r="D20" s="15" t="s">
        <v>77</v>
      </c>
      <c r="E20" s="50">
        <v>9.8286768394243893</v>
      </c>
    </row>
    <row r="21" spans="3:5" x14ac:dyDescent="0.3">
      <c r="C21" s="49">
        <v>15</v>
      </c>
      <c r="D21" s="15" t="s">
        <v>78</v>
      </c>
      <c r="E21" s="50">
        <v>11.742636054681128</v>
      </c>
    </row>
    <row r="22" spans="3:5" x14ac:dyDescent="0.3">
      <c r="C22" s="51">
        <v>16</v>
      </c>
      <c r="D22" s="16" t="s">
        <v>79</v>
      </c>
      <c r="E22" s="50">
        <v>8.559123774545327</v>
      </c>
    </row>
    <row r="23" spans="3:5" x14ac:dyDescent="0.3">
      <c r="C23" s="49">
        <v>17</v>
      </c>
      <c r="D23" s="16" t="s">
        <v>80</v>
      </c>
      <c r="E23" s="50">
        <v>13.486664911015581</v>
      </c>
    </row>
    <row r="24" spans="3:5" x14ac:dyDescent="0.3">
      <c r="C24" s="51">
        <v>18</v>
      </c>
      <c r="D24" s="16" t="s">
        <v>81</v>
      </c>
      <c r="E24" s="50">
        <v>11.994667980467227</v>
      </c>
    </row>
    <row r="26" spans="3:5" x14ac:dyDescent="0.3">
      <c r="C26" t="s">
        <v>82</v>
      </c>
      <c r="D26" t="s">
        <v>83</v>
      </c>
      <c r="E26" t="s">
        <v>34</v>
      </c>
    </row>
    <row r="27" spans="3:5" x14ac:dyDescent="0.3">
      <c r="C27" s="12">
        <v>1</v>
      </c>
      <c r="D27" s="12" t="s">
        <v>64</v>
      </c>
      <c r="E27" s="11">
        <v>17.919213596141347</v>
      </c>
    </row>
    <row r="28" spans="3:5" x14ac:dyDescent="0.3">
      <c r="C28" s="12">
        <v>7</v>
      </c>
      <c r="D28" s="12" t="s">
        <v>70</v>
      </c>
      <c r="E28" s="11">
        <v>14.199683085588006</v>
      </c>
    </row>
    <row r="29" spans="3:5" x14ac:dyDescent="0.3">
      <c r="C29" s="12">
        <v>17</v>
      </c>
      <c r="D29" s="12" t="s">
        <v>80</v>
      </c>
      <c r="E29" s="11">
        <v>13.486664911015581</v>
      </c>
    </row>
    <row r="30" spans="3:5" x14ac:dyDescent="0.3">
      <c r="C30" s="12">
        <v>12</v>
      </c>
      <c r="D30" s="12" t="s">
        <v>75</v>
      </c>
      <c r="E30" s="11">
        <v>12.919361286711094</v>
      </c>
    </row>
    <row r="31" spans="3:5" x14ac:dyDescent="0.3">
      <c r="C31" s="12">
        <v>3</v>
      </c>
      <c r="D31" s="12" t="s">
        <v>66</v>
      </c>
      <c r="E31" s="11">
        <v>12.42539949499178</v>
      </c>
    </row>
    <row r="32" spans="3:5" x14ac:dyDescent="0.3">
      <c r="C32" s="13">
        <v>11</v>
      </c>
      <c r="D32" s="13" t="s">
        <v>74</v>
      </c>
      <c r="E32" s="14">
        <v>12.206196935352878</v>
      </c>
    </row>
    <row r="33" spans="3:5" x14ac:dyDescent="0.3">
      <c r="C33" s="12">
        <v>18</v>
      </c>
      <c r="D33" s="12" t="s">
        <v>81</v>
      </c>
      <c r="E33" s="11">
        <v>11.994667980467227</v>
      </c>
    </row>
    <row r="34" spans="3:5" x14ac:dyDescent="0.3">
      <c r="C34" s="12">
        <v>15</v>
      </c>
      <c r="D34" s="12" t="s">
        <v>78</v>
      </c>
      <c r="E34" s="11">
        <v>11.742636054681128</v>
      </c>
    </row>
    <row r="35" spans="3:5" x14ac:dyDescent="0.3">
      <c r="C35" s="13">
        <v>9</v>
      </c>
      <c r="D35" s="13" t="s">
        <v>72</v>
      </c>
      <c r="E35" s="14">
        <v>11.515616350846344</v>
      </c>
    </row>
    <row r="36" spans="3:5" x14ac:dyDescent="0.3">
      <c r="C36" s="12">
        <v>6</v>
      </c>
      <c r="D36" s="12" t="s">
        <v>69</v>
      </c>
      <c r="E36" s="11">
        <v>11.310036194589571</v>
      </c>
    </row>
    <row r="37" spans="3:5" x14ac:dyDescent="0.3">
      <c r="C37" s="12">
        <v>4</v>
      </c>
      <c r="D37" s="12" t="s">
        <v>67</v>
      </c>
      <c r="E37" s="11">
        <v>11.081509785655967</v>
      </c>
    </row>
    <row r="38" spans="3:5" x14ac:dyDescent="0.3">
      <c r="C38" s="12">
        <v>13</v>
      </c>
      <c r="D38" s="12" t="s">
        <v>76</v>
      </c>
      <c r="E38" s="11">
        <v>10.348541799677207</v>
      </c>
    </row>
    <row r="39" spans="3:5" x14ac:dyDescent="0.3">
      <c r="C39" s="13">
        <v>5</v>
      </c>
      <c r="D39" s="13" t="s">
        <v>68</v>
      </c>
      <c r="E39" s="14">
        <v>10.307704856064731</v>
      </c>
    </row>
    <row r="40" spans="3:5" x14ac:dyDescent="0.3">
      <c r="C40" s="12">
        <v>2</v>
      </c>
      <c r="D40" s="12" t="s">
        <v>65</v>
      </c>
      <c r="E40" s="11">
        <v>10.106744931434548</v>
      </c>
    </row>
    <row r="41" spans="3:5" x14ac:dyDescent="0.3">
      <c r="C41" s="12">
        <v>14</v>
      </c>
      <c r="D41" s="12" t="s">
        <v>77</v>
      </c>
      <c r="E41" s="11">
        <v>9.8286768394243893</v>
      </c>
    </row>
    <row r="42" spans="3:5" x14ac:dyDescent="0.3">
      <c r="C42" s="13">
        <v>8</v>
      </c>
      <c r="D42" s="13" t="s">
        <v>71</v>
      </c>
      <c r="E42" s="14">
        <v>9.2559611422768455</v>
      </c>
    </row>
    <row r="43" spans="3:5" x14ac:dyDescent="0.3">
      <c r="C43" s="12">
        <v>10</v>
      </c>
      <c r="D43" s="12" t="s">
        <v>73</v>
      </c>
      <c r="E43" s="11">
        <v>8.7778532649734444</v>
      </c>
    </row>
    <row r="44" spans="3:5" x14ac:dyDescent="0.3">
      <c r="C44" s="12">
        <v>16</v>
      </c>
      <c r="D44" s="12" t="s">
        <v>79</v>
      </c>
      <c r="E44" s="11">
        <v>8.559123774545327</v>
      </c>
    </row>
  </sheetData>
  <autoFilter ref="C26:E26" xr:uid="{BCA5E390-49DA-4391-AAE4-36213DB492DE}">
    <sortState xmlns:xlrd2="http://schemas.microsoft.com/office/spreadsheetml/2017/richdata2" ref="C27:E44">
      <sortCondition descending="1" ref="E26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IPC-Geral LKA</vt:lpstr>
      <vt:lpstr>QUAD_RESUM_GRAF_VH</vt:lpstr>
      <vt:lpstr>Classes VH_CH</vt:lpstr>
      <vt:lpstr>VAR HOMOL IPCN Prov_18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Série dos Indices de Preços no Consumidor</dc:subject>
  <dc:creator>INE_DEEF_DES</dc:creator>
  <cp:lastModifiedBy>Carlos Pedro</cp:lastModifiedBy>
  <dcterms:created xsi:type="dcterms:W3CDTF">2017-01-16T08:00:48Z</dcterms:created>
  <dcterms:modified xsi:type="dcterms:W3CDTF">2026-05-06T20:39:49Z</dcterms:modified>
  <cp:category>Estatisticas de Preços</cp:category>
</cp:coreProperties>
</file>